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69e449fa9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e8f54df2f7244efc"/>
    <x:sheet xmlns:r="http://schemas.openxmlformats.org/officeDocument/2006/relationships" name="Customers" sheetId="2" r:id="Rb2567536658b4190"/>
    <x:sheet xmlns:r="http://schemas.openxmlformats.org/officeDocument/2006/relationships" name="Monthly_Data" sheetId="3" r:id="R5a890cef09304d15"/>
    <x:sheet xmlns:r="http://schemas.openxmlformats.org/officeDocument/2006/relationships" name="Support_Tickets" sheetId="4" r:id="R2f92becac0f7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$#,##0.00"/>
    <x:numFmt numFmtId="203" formatCode="0.0%"/>
    <x:numFmt numFmtId="204" formatCode="mmm-yy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F536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36C8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942"/>
      </x:patternFill>
    </x:fill>
    <x:fill>
      <x:patternFill patternType="solid">
        <x:fgColor rgb="FFE6F2FA"/>
      </x:patternFill>
    </x:fill>
    <x:fill>
      <x:patternFill patternType="solid">
        <x:fgColor rgb="FF123047"/>
      </x:patternFill>
    </x:fill>
    <x:fill>
      <x:patternFill patternType="solid">
        <x:fgColor rgb="FFEAF1F6"/>
      </x:patternFill>
    </x:fill>
    <x:fill>
      <x:patternFill patternType="solid">
        <x:fgColor rgb="FFF6FBFF"/>
      </x:patternFill>
    </x:fill>
    <x:fill>
      <x:patternFill patternType="solid">
        <x:fgColor rgb="FF16475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a4bff052a407f" /><Relationship Type="http://schemas.openxmlformats.org/officeDocument/2006/relationships/theme" Target="/xl/theme/theme1.xml" Id="R011f75f1ad6a4d30" /><Relationship Type="http://schemas.openxmlformats.org/officeDocument/2006/relationships/sharedStrings" Target="/xl/sharedStrings.xml" Id="Rb481afa7cf374e4f" /><Relationship Type="http://schemas.openxmlformats.org/officeDocument/2006/relationships/worksheet" Target="/xl/worksheets/sheet1.xml" Id="Re8f54df2f7244efc" /><Relationship Type="http://schemas.openxmlformats.org/officeDocument/2006/relationships/worksheet" Target="/xl/worksheets/sheet2.xml" Id="Rb2567536658b4190" /><Relationship Type="http://schemas.openxmlformats.org/officeDocument/2006/relationships/worksheet" Target="/xl/worksheets/sheet3.xml" Id="R5a890cef09304d15" /><Relationship Type="http://schemas.openxmlformats.org/officeDocument/2006/relationships/worksheet" Target="/xl/worksheets/sheet4.xml" Id="R2f92becac0f74a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5ec6ca82e2497d" /><Relationship Type="http://schemas.openxmlformats.org/officeDocument/2006/relationships/chart" Target="/xl/drawings/charts/chart2.xml" Id="Rd5e65acf31b849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recognised revenue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Monthly recognised revenue</c:v>
          </c:tx>
          <c:cat>
            <c:strRef>
              <c:f>'Executive_Dashboard'!$A$16:$A$21</c:f>
              <c:strCache>
                <c:ptCount val="0"/>
              </c:strCache>
            </c:strRef>
          </c:cat>
          <c:val>
            <c:numRef>
              <c:f>'Executive_Dashboard'!$C$16:$C$21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membership plan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 by membership plan</c:v>
          </c:tx>
          <c:cat>
            <c:strRef>
              <c:f>'Executive_Dashboard'!$A$26:$A$29</c:f>
              <c:strCache>
                <c:ptCount val="0"/>
              </c:strCache>
            </c:strRef>
          </c:cat>
          <c:val>
            <c:numRef>
              <c:f>'Executive_Dashboard'!$B$26:$B$29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ec6ca82e2497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e65acf31b849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5ca5a710b0452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3" customHeight="1">
      <x:c r="A1" s="3" t="str">
        <x:v>FINTECH | CHURN &amp; REVENUE INTELLIGENCE</x:v>
      </x:c>
      <x:c r="B1" s="3"/>
      <x:c r="C1" s="3"/>
      <x:c r="D1" s="3"/>
      <x:c r="E1" s="3"/>
      <x:c r="F1" s="3"/>
      <x:c r="G1" s="3"/>
    </x:row>
    <x:row r="2" ht="29" customHeight="1">
      <x:c r="A2" s="7" t="str">
        <x:v>Synthetic portfolio | April-September 2026 | USD | Churn = month-to-month inactivity proxy</x:v>
      </x:c>
      <x:c r="B2" s="7"/>
      <x:c r="C2" s="7"/>
      <x:c r="D2" s="7"/>
      <x:c r="E2" s="7"/>
      <x:c r="F2" s="7"/>
      <x:c r="G2" s="7"/>
    </x:row>
    <x:row r="5" ht="29" customHeight="1">
      <x:c r="A5" s="21" t="str">
        <x:v>Customers</x:v>
      </x:c>
      <x:c r="B5" s="25" t="n">
        <x:f>COUNTA(Customers!$A$2:$A$451)</x:f>
        <x:v>450</x:v>
      </x:c>
    </x:row>
    <x:row r="6" ht="29" customHeight="1">
      <x:c r="A6" s="21" t="str">
        <x:v>Total recognised revenue</x:v>
      </x:c>
      <x:c r="B6" s="28" t="n">
        <x:f>SUM(Monthly_Data!$I$2:$I$2459)</x:f>
        <x:v>37509.000000000065</x:v>
      </x:c>
    </x:row>
    <x:row r="7" ht="29" customHeight="1">
      <x:c r="A7" s="21" t="str">
        <x:v>September MAU</x:v>
      </x:c>
      <x:c r="B7" s="25" t="n">
        <x:f>SUMIFS(Monthly_Data!$C$2:$C$2459,Monthly_Data!$B$2:$B$2459,DATE(2026,9,1))</x:f>
        <x:v>287</x:v>
      </x:c>
    </x:row>
    <x:row r="8" ht="29" customHeight="1">
      <x:c r="A8" s="21" t="str">
        <x:v>August active base</x:v>
      </x:c>
      <x:c r="B8" s="25" t="n">
        <x:f>SUMIFS(Monthly_Data!$C$2:$C$2459,Monthly_Data!$B$2:$B$2459,DATE(2026,8,1))</x:f>
        <x:v>379</x:v>
      </x:c>
    </x:row>
    <x:row r="9" ht="29" customHeight="1">
      <x:c r="A9" s="21" t="str">
        <x:v>September newly inactive</x:v>
      </x:c>
      <x:c r="B9" s="25" t="n">
        <x:f>SUMIFS(Monthly_Data!$K$2:$K$2459,Monthly_Data!$B$2:$B$2459,DATE(2026,9,1))</x:f>
        <x:v>134</x:v>
      </x:c>
    </x:row>
    <x:row r="10" ht="29" customHeight="1">
      <x:c r="A10" s="21" t="str">
        <x:v>September churn proxy</x:v>
      </x:c>
      <x:c r="B10" s="30" t="n">
        <x:f>IFERROR(B9/B8,0)</x:f>
        <x:v>0.35356200527704484</x:v>
      </x:c>
    </x:row>
    <x:row r="11" ht="29" customHeight="1">
      <x:c r="A11" s="21" t="str">
        <x:v>September retention</x:v>
      </x:c>
      <x:c r="B11" s="30" t="n">
        <x:f>1-B10</x:f>
        <x:v>0.6464379947229552</x:v>
      </x:c>
    </x:row>
    <x:row r="15">
      <x:c r="A15" s="33" t="str">
        <x:v>Month</x:v>
      </x:c>
      <x:c r="B15" s="33" t="str">
        <x:v>Active users</x:v>
      </x:c>
      <x:c r="C15" s="33" t="str">
        <x:v>Revenue USD</x:v>
      </x:c>
      <x:c r="D15" s="33" t="str">
        <x:v>Transactions</x:v>
      </x:c>
    </x:row>
    <x:row r="16">
      <x:c r="A16" s="36" t="n">
        <x:v>46113</x:v>
      </x:c>
      <x:c r="B16" t="n">
        <x:f>SUMIFS(Monthly_Data!$C$2:$C$2459,Monthly_Data!$B$2:$B$2459,A16)</x:f>
        <x:v>216</x:v>
      </x:c>
      <x:c r="C16" s="38" t="n">
        <x:f>SUMIFS(Monthly_Data!$I$2:$I$2459,Monthly_Data!$B$2:$B$2459,A16)</x:f>
        <x:v>4169.510000000001</x:v>
      </x:c>
      <x:c r="D16" t="n">
        <x:f>SUMIFS(Monthly_Data!$D$2:$D$2459,Monthly_Data!$B$2:$B$2459,A16)</x:f>
        <x:v>4128</x:v>
      </x:c>
    </x:row>
    <x:row r="17">
      <x:c r="A17" s="36" t="n">
        <x:v>46143</x:v>
      </x:c>
      <x:c r="B17" t="n">
        <x:f>SUMIFS(Monthly_Data!$C$2:$C$2459,Monthly_Data!$B$2:$B$2459,A17)</x:f>
        <x:v>308</x:v>
      </x:c>
      <x:c r="C17" s="38" t="n">
        <x:f>SUMIFS(Monthly_Data!$I$2:$I$2459,Monthly_Data!$B$2:$B$2459,A17)</x:f>
        <x:v>6181.2900000000045</x:v>
      </x:c>
      <x:c r="D17" t="n">
        <x:f>SUMIFS(Monthly_Data!$D$2:$D$2459,Monthly_Data!$B$2:$B$2459,A17)</x:f>
        <x:v>6311</x:v>
      </x:c>
    </x:row>
    <x:row r="18">
      <x:c r="A18" s="36" t="n">
        <x:v>46174</x:v>
      </x:c>
      <x:c r="B18" t="n">
        <x:f>SUMIFS(Monthly_Data!$C$2:$C$2459,Monthly_Data!$B$2:$B$2459,A18)</x:f>
        <x:v>368</x:v>
      </x:c>
      <x:c r="C18" s="38" t="n">
        <x:f>SUMIFS(Monthly_Data!$I$2:$I$2459,Monthly_Data!$B$2:$B$2459,A18)</x:f>
        <x:v>7605.120000000005</x:v>
      </x:c>
      <x:c r="D18" t="n">
        <x:f>SUMIFS(Monthly_Data!$D$2:$D$2459,Monthly_Data!$B$2:$B$2459,A18)</x:f>
        <x:v>7725</x:v>
      </x:c>
    </x:row>
    <x:row r="19">
      <x:c r="A19" s="36" t="n">
        <x:v>46204</x:v>
      </x:c>
      <x:c r="B19" t="n">
        <x:f>SUMIFS(Monthly_Data!$C$2:$C$2459,Monthly_Data!$B$2:$B$2459,A19)</x:f>
        <x:v>361</x:v>
      </x:c>
      <x:c r="C19" s="38" t="n">
        <x:f>SUMIFS(Monthly_Data!$I$2:$I$2459,Monthly_Data!$B$2:$B$2459,A19)</x:f>
        <x:v>6974.7200000000075</x:v>
      </x:c>
      <x:c r="D19" t="n">
        <x:f>SUMIFS(Monthly_Data!$D$2:$D$2459,Monthly_Data!$B$2:$B$2459,A19)</x:f>
        <x:v>7168</x:v>
      </x:c>
    </x:row>
    <x:row r="20">
      <x:c r="A20" s="36" t="n">
        <x:v>46235</x:v>
      </x:c>
      <x:c r="B20" t="n">
        <x:f>SUMIFS(Monthly_Data!$C$2:$C$2459,Monthly_Data!$B$2:$B$2459,A20)</x:f>
        <x:v>379</x:v>
      </x:c>
      <x:c r="C20" s="38" t="n">
        <x:f>SUMIFS(Monthly_Data!$I$2:$I$2459,Monthly_Data!$B$2:$B$2459,A20)</x:f>
        <x:v>7130.440000000004</x:v>
      </x:c>
      <x:c r="D20" t="n">
        <x:f>SUMIFS(Monthly_Data!$D$2:$D$2459,Monthly_Data!$B$2:$B$2459,A20)</x:f>
        <x:v>7359</x:v>
      </x:c>
    </x:row>
    <x:row r="21">
      <x:c r="A21" s="36" t="n">
        <x:v>46266</x:v>
      </x:c>
      <x:c r="B21" t="n">
        <x:f>SUMIFS(Monthly_Data!$C$2:$C$2459,Monthly_Data!$B$2:$B$2459,A21)</x:f>
        <x:v>287</x:v>
      </x:c>
      <x:c r="C21" s="38" t="n">
        <x:f>SUMIFS(Monthly_Data!$I$2:$I$2459,Monthly_Data!$B$2:$B$2459,A21)</x:f>
        <x:v>5447.919999999998</x:v>
      </x:c>
      <x:c r="D21" t="n">
        <x:f>SUMIFS(Monthly_Data!$D$2:$D$2459,Monthly_Data!$B$2:$B$2459,A21)</x:f>
        <x:v>5841</x:v>
      </x:c>
    </x:row>
    <x:row r="25">
      <x:c r="A25" s="33" t="str">
        <x:v>Plan</x:v>
      </x:c>
      <x:c r="B25" s="33" t="str">
        <x:v>Revenue USD</x:v>
      </x:c>
      <x:c r="C25" s="33" t="str">
        <x:v>Active customer-months</x:v>
      </x:c>
    </x:row>
    <x:row r="26">
      <x:c r="A26" t="str">
        <x:v>Standard</x:v>
      </x:c>
      <x:c r="B26" s="38" t="n">
        <x:f>SUMIFS(Monthly_Data!$I$2:$I$2459,Monthly_Data!$L$2:$L$2459,A26)</x:f>
        <x:v>11732.639999999983</x:v>
      </x:c>
      <x:c r="C26" t="n">
        <x:f>SUMIFS(Monthly_Data!$C$2:$C$2459,Monthly_Data!$L$2:$L$2459,A26)</x:f>
        <x:v>984</x:v>
      </x:c>
    </x:row>
    <x:row r="27">
      <x:c r="A27" t="str">
        <x:v>Plus</x:v>
      </x:c>
      <x:c r="B27" s="38" t="n">
        <x:f>SUMIFS(Monthly_Data!$I$2:$I$2459,Monthly_Data!$L$2:$L$2459,A27)</x:f>
        <x:v>7788.71</x:v>
      </x:c>
      <x:c r="C27" t="n">
        <x:f>SUMIFS(Monthly_Data!$C$2:$C$2459,Monthly_Data!$L$2:$L$2459,A27)</x:f>
        <x:v>406</x:v>
      </x:c>
    </x:row>
    <x:row r="28">
      <x:c r="A28" t="str">
        <x:v>Premium</x:v>
      </x:c>
      <x:c r="B28" s="38" t="n">
        <x:f>SUMIFS(Monthly_Data!$I$2:$I$2459,Monthly_Data!$L$2:$L$2459,A28)</x:f>
        <x:v>11208.830000000002</x:v>
      </x:c>
      <x:c r="C28" t="n">
        <x:f>SUMIFS(Monthly_Data!$C$2:$C$2459,Monthly_Data!$L$2:$L$2459,A28)</x:f>
        <x:v>382</x:v>
      </x:c>
    </x:row>
    <x:row r="29">
      <x:c r="A29" t="str">
        <x:v>Metal</x:v>
      </x:c>
      <x:c r="B29" s="38" t="n">
        <x:f>SUMIFS(Monthly_Data!$I$2:$I$2459,Monthly_Data!$L$2:$L$2459,A29)</x:f>
        <x:v>6778.8200000000015</x:v>
      </x:c>
      <x:c r="C29" t="n">
        <x:f>SUMIFS(Monthly_Data!$C$2:$C$2459,Monthly_Data!$L$2:$L$2459,A29)</x:f>
        <x:v>147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935ca5a710b04527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2" hidden="0" customWidth="1"/>
    <x:col min="6" max="6" width="17" hidden="0" customWidth="1"/>
  </x:cols>
  <x:sheetData>
    <x:row r="1" ht="29" customHeight="1">
      <x:c r="A1" s="12" t="str">
        <x:v>customer_id</x:v>
      </x:c>
      <x:c r="B1" s="12" t="str">
        <x:v>signup_date</x:v>
      </x:c>
      <x:c r="C1" s="12" t="str">
        <x:v>plan</x:v>
      </x:c>
      <x:c r="D1" s="12" t="str">
        <x:v>country</x:v>
      </x:c>
      <x:c r="E1" s="12" t="str">
        <x:v>acquisition_channel</x:v>
      </x:c>
      <x:c r="F1" s="12" t="str">
        <x:v>age_band</x:v>
      </x:c>
    </x:row>
    <x:row r="2">
      <x:c r="A2" t="n">
        <x:v>1</x:v>
      </x:c>
      <x:c r="B2" s="16" t="n">
        <x:v>46082</x:v>
      </x:c>
      <x:c r="C2" t="str">
        <x:v>Plus</x:v>
      </x:c>
      <x:c r="D2" t="str">
        <x:v>Singapore</x:v>
      </x:c>
      <x:c r="E2" t="str">
        <x:v>Referral</x:v>
      </x:c>
      <x:c r="F2" t="str">
        <x:v>25-34</x:v>
      </x:c>
    </x:row>
    <x:row r="3">
      <x:c r="A3" t="n">
        <x:v>2</x:v>
      </x:c>
      <x:c r="B3" s="16" t="n">
        <x:v>46082</x:v>
      </x:c>
      <x:c r="C3" t="str">
        <x:v>Plus</x:v>
      </x:c>
      <x:c r="D3" t="str">
        <x:v>UAE</x:v>
      </x:c>
      <x:c r="E3" t="str">
        <x:v>Referral</x:v>
      </x:c>
      <x:c r="F3" t="str">
        <x:v>45+</x:v>
      </x:c>
    </x:row>
    <x:row r="4">
      <x:c r="A4" t="n">
        <x:v>3</x:v>
      </x:c>
      <x:c r="B4" s="16" t="n">
        <x:v>46113</x:v>
      </x:c>
      <x:c r="C4" t="str">
        <x:v>Standard</x:v>
      </x:c>
      <x:c r="D4" t="str">
        <x:v>Germany</x:v>
      </x:c>
      <x:c r="E4" t="str">
        <x:v>Paid Search</x:v>
      </x:c>
      <x:c r="F4" t="str">
        <x:v>18-24</x:v>
      </x:c>
    </x:row>
    <x:row r="5">
      <x:c r="A5" t="n">
        <x:v>4</x:v>
      </x:c>
      <x:c r="B5" s="16" t="n">
        <x:v>46113</x:v>
      </x:c>
      <x:c r="C5" t="str">
        <x:v>Plus</x:v>
      </x:c>
      <x:c r="D5" t="str">
        <x:v>United Kingdom</x:v>
      </x:c>
      <x:c r="E5" t="str">
        <x:v>Referral</x:v>
      </x:c>
      <x:c r="F5" t="str">
        <x:v>45+</x:v>
      </x:c>
    </x:row>
    <x:row r="6">
      <x:c r="A6" t="n">
        <x:v>5</x:v>
      </x:c>
      <x:c r="B6" s="16" t="n">
        <x:v>46054</x:v>
      </x:c>
      <x:c r="C6" t="str">
        <x:v>Plus</x:v>
      </x:c>
      <x:c r="D6" t="str">
        <x:v>UAE</x:v>
      </x:c>
      <x:c r="E6" t="str">
        <x:v>Paid Search</x:v>
      </x:c>
      <x:c r="F6" t="str">
        <x:v>35-44</x:v>
      </x:c>
    </x:row>
    <x:row r="7">
      <x:c r="A7" t="n">
        <x:v>6</x:v>
      </x:c>
      <x:c r="B7" s="16" t="n">
        <x:v>46082</x:v>
      </x:c>
      <x:c r="C7" t="str">
        <x:v>Standard</x:v>
      </x:c>
      <x:c r="D7" t="str">
        <x:v>Singapore</x:v>
      </x:c>
      <x:c r="E7" t="str">
        <x:v>Organic</x:v>
      </x:c>
      <x:c r="F7" t="str">
        <x:v>45+</x:v>
      </x:c>
    </x:row>
    <x:row r="8">
      <x:c r="A8" t="n">
        <x:v>7</x:v>
      </x:c>
      <x:c r="B8" s="16" t="n">
        <x:v>46113</x:v>
      </x:c>
      <x:c r="C8" t="str">
        <x:v>Plus</x:v>
      </x:c>
      <x:c r="D8" t="str">
        <x:v>India</x:v>
      </x:c>
      <x:c r="E8" t="str">
        <x:v>Paid Search</x:v>
      </x:c>
      <x:c r="F8" t="str">
        <x:v>45+</x:v>
      </x:c>
    </x:row>
    <x:row r="9">
      <x:c r="A9" t="n">
        <x:v>8</x:v>
      </x:c>
      <x:c r="B9" s="16" t="n">
        <x:v>46082</x:v>
      </x:c>
      <x:c r="C9" t="str">
        <x:v>Standard</x:v>
      </x:c>
      <x:c r="D9" t="str">
        <x:v>United Kingdom</x:v>
      </x:c>
      <x:c r="E9" t="str">
        <x:v>Referral</x:v>
      </x:c>
      <x:c r="F9" t="str">
        <x:v>35-44</x:v>
      </x:c>
    </x:row>
    <x:row r="10">
      <x:c r="A10" t="n">
        <x:v>9</x:v>
      </x:c>
      <x:c r="B10" s="16" t="n">
        <x:v>46143</x:v>
      </x:c>
      <x:c r="C10" t="str">
        <x:v>Metal</x:v>
      </x:c>
      <x:c r="D10" t="str">
        <x:v>United Kingdom</x:v>
      </x:c>
      <x:c r="E10" t="str">
        <x:v>Referral</x:v>
      </x:c>
      <x:c r="F10" t="str">
        <x:v>35-44</x:v>
      </x:c>
    </x:row>
    <x:row r="11">
      <x:c r="A11" t="n">
        <x:v>10</x:v>
      </x:c>
      <x:c r="B11" s="16" t="n">
        <x:v>46054</x:v>
      </x:c>
      <x:c r="C11" t="str">
        <x:v>Premium</x:v>
      </x:c>
      <x:c r="D11" t="str">
        <x:v>UAE</x:v>
      </x:c>
      <x:c r="E11" t="str">
        <x:v>Referral</x:v>
      </x:c>
      <x:c r="F11" t="str">
        <x:v>45+</x:v>
      </x:c>
    </x:row>
    <x:row r="12">
      <x:c r="A12" t="n">
        <x:v>11</x:v>
      </x:c>
      <x:c r="B12" s="16" t="n">
        <x:v>46082</x:v>
      </x:c>
      <x:c r="C12" t="str">
        <x:v>Standard</x:v>
      </x:c>
      <x:c r="D12" t="str">
        <x:v>India</x:v>
      </x:c>
      <x:c r="E12" t="str">
        <x:v>Paid Search</x:v>
      </x:c>
      <x:c r="F12" t="str">
        <x:v>45+</x:v>
      </x:c>
    </x:row>
    <x:row r="13">
      <x:c r="A13" t="n">
        <x:v>12</x:v>
      </x:c>
      <x:c r="B13" s="16" t="n">
        <x:v>46143</x:v>
      </x:c>
      <x:c r="C13" t="str">
        <x:v>Standard</x:v>
      </x:c>
      <x:c r="D13" t="str">
        <x:v>Singapore</x:v>
      </x:c>
      <x:c r="E13" t="str">
        <x:v>Organic</x:v>
      </x:c>
      <x:c r="F13" t="str">
        <x:v>45+</x:v>
      </x:c>
    </x:row>
    <x:row r="14">
      <x:c r="A14" t="n">
        <x:v>13</x:v>
      </x:c>
      <x:c r="B14" s="16" t="n">
        <x:v>46082</x:v>
      </x:c>
      <x:c r="C14" t="str">
        <x:v>Premium</x:v>
      </x:c>
      <x:c r="D14" t="str">
        <x:v>India</x:v>
      </x:c>
      <x:c r="E14" t="str">
        <x:v>Organic</x:v>
      </x:c>
      <x:c r="F14" t="str">
        <x:v>35-44</x:v>
      </x:c>
    </x:row>
    <x:row r="15">
      <x:c r="A15" t="n">
        <x:v>14</x:v>
      </x:c>
      <x:c r="B15" s="16" t="n">
        <x:v>46113</x:v>
      </x:c>
      <x:c r="C15" t="str">
        <x:v>Standard</x:v>
      </x:c>
      <x:c r="D15" t="str">
        <x:v>Germany</x:v>
      </x:c>
      <x:c r="E15" t="str">
        <x:v>Paid Search</x:v>
      </x:c>
      <x:c r="F15" t="str">
        <x:v>18-24</x:v>
      </x:c>
    </x:row>
    <x:row r="16">
      <x:c r="A16" t="n">
        <x:v>15</x:v>
      </x:c>
      <x:c r="B16" s="16" t="n">
        <x:v>46113</x:v>
      </x:c>
      <x:c r="C16" t="str">
        <x:v>Standard</x:v>
      </x:c>
      <x:c r="D16" t="str">
        <x:v>India</x:v>
      </x:c>
      <x:c r="E16" t="str">
        <x:v>Partnership</x:v>
      </x:c>
      <x:c r="F16" t="str">
        <x:v>45+</x:v>
      </x:c>
    </x:row>
    <x:row r="17">
      <x:c r="A17" t="n">
        <x:v>16</x:v>
      </x:c>
      <x:c r="B17" s="16" t="n">
        <x:v>46054</x:v>
      </x:c>
      <x:c r="C17" t="str">
        <x:v>Standard</x:v>
      </x:c>
      <x:c r="D17" t="str">
        <x:v>UAE</x:v>
      </x:c>
      <x:c r="E17" t="str">
        <x:v>Paid Search</x:v>
      </x:c>
      <x:c r="F17" t="str">
        <x:v>25-34</x:v>
      </x:c>
    </x:row>
    <x:row r="18">
      <x:c r="A18" t="n">
        <x:v>17</x:v>
      </x:c>
      <x:c r="B18" s="16" t="n">
        <x:v>46113</x:v>
      </x:c>
      <x:c r="C18" t="str">
        <x:v>Plus</x:v>
      </x:c>
      <x:c r="D18" t="str">
        <x:v>UAE</x:v>
      </x:c>
      <x:c r="E18" t="str">
        <x:v>Organic</x:v>
      </x:c>
      <x:c r="F18" t="str">
        <x:v>45+</x:v>
      </x:c>
    </x:row>
    <x:row r="19">
      <x:c r="A19" t="n">
        <x:v>18</x:v>
      </x:c>
      <x:c r="B19" s="16" t="n">
        <x:v>46113</x:v>
      </x:c>
      <x:c r="C19" t="str">
        <x:v>Plus</x:v>
      </x:c>
      <x:c r="D19" t="str">
        <x:v>United Kingdom</x:v>
      </x:c>
      <x:c r="E19" t="str">
        <x:v>Partnership</x:v>
      </x:c>
      <x:c r="F19" t="str">
        <x:v>25-34</x:v>
      </x:c>
    </x:row>
    <x:row r="20">
      <x:c r="A20" t="n">
        <x:v>19</x:v>
      </x:c>
      <x:c r="B20" s="16" t="n">
        <x:v>46113</x:v>
      </x:c>
      <x:c r="C20" t="str">
        <x:v>Standard</x:v>
      </x:c>
      <x:c r="D20" t="str">
        <x:v>UAE</x:v>
      </x:c>
      <x:c r="E20" t="str">
        <x:v>Referral</x:v>
      </x:c>
      <x:c r="F20" t="str">
        <x:v>35-44</x:v>
      </x:c>
    </x:row>
    <x:row r="21">
      <x:c r="A21" t="n">
        <x:v>20</x:v>
      </x:c>
      <x:c r="B21" s="16" t="n">
        <x:v>46113</x:v>
      </x:c>
      <x:c r="C21" t="str">
        <x:v>Premium</x:v>
      </x:c>
      <x:c r="D21" t="str">
        <x:v>India</x:v>
      </x:c>
      <x:c r="E21" t="str">
        <x:v>Organic</x:v>
      </x:c>
      <x:c r="F21" t="str">
        <x:v>35-44</x:v>
      </x:c>
    </x:row>
    <x:row r="22">
      <x:c r="A22" t="n">
        <x:v>21</x:v>
      </x:c>
      <x:c r="B22" s="16" t="n">
        <x:v>46143</x:v>
      </x:c>
      <x:c r="C22" t="str">
        <x:v>Premium</x:v>
      </x:c>
      <x:c r="D22" t="str">
        <x:v>United Kingdom</x:v>
      </x:c>
      <x:c r="E22" t="str">
        <x:v>Referral</x:v>
      </x:c>
      <x:c r="F22" t="str">
        <x:v>25-34</x:v>
      </x:c>
    </x:row>
    <x:row r="23">
      <x:c r="A23" t="n">
        <x:v>22</x:v>
      </x:c>
      <x:c r="B23" s="16" t="n">
        <x:v>46054</x:v>
      </x:c>
      <x:c r="C23" t="str">
        <x:v>Premium</x:v>
      </x:c>
      <x:c r="D23" t="str">
        <x:v>Singapore</x:v>
      </x:c>
      <x:c r="E23" t="str">
        <x:v>Organic</x:v>
      </x:c>
      <x:c r="F23" t="str">
        <x:v>18-24</x:v>
      </x:c>
    </x:row>
    <x:row r="24">
      <x:c r="A24" t="n">
        <x:v>23</x:v>
      </x:c>
      <x:c r="B24" s="16" t="n">
        <x:v>46113</x:v>
      </x:c>
      <x:c r="C24" t="str">
        <x:v>Plus</x:v>
      </x:c>
      <x:c r="D24" t="str">
        <x:v>Germany</x:v>
      </x:c>
      <x:c r="E24" t="str">
        <x:v>Organic</x:v>
      </x:c>
      <x:c r="F24" t="str">
        <x:v>25-34</x:v>
      </x:c>
    </x:row>
    <x:row r="25">
      <x:c r="A25" t="n">
        <x:v>24</x:v>
      </x:c>
      <x:c r="B25" s="16" t="n">
        <x:v>46054</x:v>
      </x:c>
      <x:c r="C25" t="str">
        <x:v>Plus</x:v>
      </x:c>
      <x:c r="D25" t="str">
        <x:v>United Kingdom</x:v>
      </x:c>
      <x:c r="E25" t="str">
        <x:v>Referral</x:v>
      </x:c>
      <x:c r="F25" t="str">
        <x:v>45+</x:v>
      </x:c>
    </x:row>
    <x:row r="26">
      <x:c r="A26" t="n">
        <x:v>25</x:v>
      </x:c>
      <x:c r="B26" s="16" t="n">
        <x:v>46082</x:v>
      </x:c>
      <x:c r="C26" t="str">
        <x:v>Standard</x:v>
      </x:c>
      <x:c r="D26" t="str">
        <x:v>India</x:v>
      </x:c>
      <x:c r="E26" t="str">
        <x:v>Partnership</x:v>
      </x:c>
      <x:c r="F26" t="str">
        <x:v>45+</x:v>
      </x:c>
    </x:row>
    <x:row r="27">
      <x:c r="A27" t="n">
        <x:v>26</x:v>
      </x:c>
      <x:c r="B27" s="16" t="n">
        <x:v>46174</x:v>
      </x:c>
      <x:c r="C27" t="str">
        <x:v>Plus</x:v>
      </x:c>
      <x:c r="D27" t="str">
        <x:v>Singapore</x:v>
      </x:c>
      <x:c r="E27" t="str">
        <x:v>Paid Search</x:v>
      </x:c>
      <x:c r="F27" t="str">
        <x:v>25-34</x:v>
      </x:c>
    </x:row>
    <x:row r="28">
      <x:c r="A28" t="n">
        <x:v>27</x:v>
      </x:c>
      <x:c r="B28" s="16" t="n">
        <x:v>46054</x:v>
      </x:c>
      <x:c r="C28" t="str">
        <x:v>Standard</x:v>
      </x:c>
      <x:c r="D28" t="str">
        <x:v>United Kingdom</x:v>
      </x:c>
      <x:c r="E28" t="str">
        <x:v>Referral</x:v>
      </x:c>
      <x:c r="F28" t="str">
        <x:v>45+</x:v>
      </x:c>
    </x:row>
    <x:row r="29">
      <x:c r="A29" t="n">
        <x:v>28</x:v>
      </x:c>
      <x:c r="B29" s="16" t="n">
        <x:v>46082</x:v>
      </x:c>
      <x:c r="C29" t="str">
        <x:v>Standard</x:v>
      </x:c>
      <x:c r="D29" t="str">
        <x:v>United Kingdom</x:v>
      </x:c>
      <x:c r="E29" t="str">
        <x:v>Referral</x:v>
      </x:c>
      <x:c r="F29" t="str">
        <x:v>35-44</x:v>
      </x:c>
    </x:row>
    <x:row r="30">
      <x:c r="A30" t="n">
        <x:v>29</x:v>
      </x:c>
      <x:c r="B30" s="16" t="n">
        <x:v>46113</x:v>
      </x:c>
      <x:c r="C30" t="str">
        <x:v>Standard</x:v>
      </x:c>
      <x:c r="D30" t="str">
        <x:v>UAE</x:v>
      </x:c>
      <x:c r="E30" t="str">
        <x:v>Organic</x:v>
      </x:c>
      <x:c r="F30" t="str">
        <x:v>18-24</x:v>
      </x:c>
    </x:row>
    <x:row r="31">
      <x:c r="A31" t="n">
        <x:v>30</x:v>
      </x:c>
      <x:c r="B31" s="16" t="n">
        <x:v>46143</x:v>
      </x:c>
      <x:c r="C31" t="str">
        <x:v>Premium</x:v>
      </x:c>
      <x:c r="D31" t="str">
        <x:v>United Kingdom</x:v>
      </x:c>
      <x:c r="E31" t="str">
        <x:v>Referral</x:v>
      </x:c>
      <x:c r="F31" t="str">
        <x:v>25-34</x:v>
      </x:c>
    </x:row>
    <x:row r="32">
      <x:c r="A32" t="n">
        <x:v>31</x:v>
      </x:c>
      <x:c r="B32" s="16" t="n">
        <x:v>46082</x:v>
      </x:c>
      <x:c r="C32" t="str">
        <x:v>Standard</x:v>
      </x:c>
      <x:c r="D32" t="str">
        <x:v>United Kingdom</x:v>
      </x:c>
      <x:c r="E32" t="str">
        <x:v>Organic</x:v>
      </x:c>
      <x:c r="F32" t="str">
        <x:v>35-44</x:v>
      </x:c>
    </x:row>
    <x:row r="33">
      <x:c r="A33" t="n">
        <x:v>32</x:v>
      </x:c>
      <x:c r="B33" s="16" t="n">
        <x:v>46143</x:v>
      </x:c>
      <x:c r="C33" t="str">
        <x:v>Standard</x:v>
      </x:c>
      <x:c r="D33" t="str">
        <x:v>United Kingdom</x:v>
      </x:c>
      <x:c r="E33" t="str">
        <x:v>Organic</x:v>
      </x:c>
      <x:c r="F33" t="str">
        <x:v>25-34</x:v>
      </x:c>
    </x:row>
    <x:row r="34">
      <x:c r="A34" t="n">
        <x:v>33</x:v>
      </x:c>
      <x:c r="B34" s="16" t="n">
        <x:v>46113</x:v>
      </x:c>
      <x:c r="C34" t="str">
        <x:v>Standard</x:v>
      </x:c>
      <x:c r="D34" t="str">
        <x:v>India</x:v>
      </x:c>
      <x:c r="E34" t="str">
        <x:v>Paid Search</x:v>
      </x:c>
      <x:c r="F34" t="str">
        <x:v>18-24</x:v>
      </x:c>
    </x:row>
    <x:row r="35">
      <x:c r="A35" t="n">
        <x:v>34</x:v>
      </x:c>
      <x:c r="B35" s="16" t="n">
        <x:v>46143</x:v>
      </x:c>
      <x:c r="C35" t="str">
        <x:v>Premium</x:v>
      </x:c>
      <x:c r="D35" t="str">
        <x:v>United Kingdom</x:v>
      </x:c>
      <x:c r="E35" t="str">
        <x:v>Paid Search</x:v>
      </x:c>
      <x:c r="F35" t="str">
        <x:v>25-34</x:v>
      </x:c>
    </x:row>
    <x:row r="36">
      <x:c r="A36" t="n">
        <x:v>35</x:v>
      </x:c>
      <x:c r="B36" s="16" t="n">
        <x:v>46143</x:v>
      </x:c>
      <x:c r="C36" t="str">
        <x:v>Standard</x:v>
      </x:c>
      <x:c r="D36" t="str">
        <x:v>India</x:v>
      </x:c>
      <x:c r="E36" t="str">
        <x:v>Organic</x:v>
      </x:c>
      <x:c r="F36" t="str">
        <x:v>35-44</x:v>
      </x:c>
    </x:row>
    <x:row r="37">
      <x:c r="A37" t="n">
        <x:v>36</x:v>
      </x:c>
      <x:c r="B37" s="16" t="n">
        <x:v>46143</x:v>
      </x:c>
      <x:c r="C37" t="str">
        <x:v>Standard</x:v>
      </x:c>
      <x:c r="D37" t="str">
        <x:v>United Kingdom</x:v>
      </x:c>
      <x:c r="E37" t="str">
        <x:v>Paid Search</x:v>
      </x:c>
      <x:c r="F37" t="str">
        <x:v>45+</x:v>
      </x:c>
    </x:row>
    <x:row r="38">
      <x:c r="A38" t="n">
        <x:v>37</x:v>
      </x:c>
      <x:c r="B38" s="16" t="n">
        <x:v>46143</x:v>
      </x:c>
      <x:c r="C38" t="str">
        <x:v>Standard</x:v>
      </x:c>
      <x:c r="D38" t="str">
        <x:v>UAE</x:v>
      </x:c>
      <x:c r="E38" t="str">
        <x:v>Organic</x:v>
      </x:c>
      <x:c r="F38" t="str">
        <x:v>35-44</x:v>
      </x:c>
    </x:row>
    <x:row r="39">
      <x:c r="A39" t="n">
        <x:v>38</x:v>
      </x:c>
      <x:c r="B39" s="16" t="n">
        <x:v>46113</x:v>
      </x:c>
      <x:c r="C39" t="str">
        <x:v>Premium</x:v>
      </x:c>
      <x:c r="D39" t="str">
        <x:v>India</x:v>
      </x:c>
      <x:c r="E39" t="str">
        <x:v>Organic</x:v>
      </x:c>
      <x:c r="F39" t="str">
        <x:v>45+</x:v>
      </x:c>
    </x:row>
    <x:row r="40">
      <x:c r="A40" t="n">
        <x:v>39</x:v>
      </x:c>
      <x:c r="B40" s="16" t="n">
        <x:v>46174</x:v>
      </x:c>
      <x:c r="C40" t="str">
        <x:v>Standard</x:v>
      </x:c>
      <x:c r="D40" t="str">
        <x:v>Singapore</x:v>
      </x:c>
      <x:c r="E40" t="str">
        <x:v>Referral</x:v>
      </x:c>
      <x:c r="F40" t="str">
        <x:v>25-34</x:v>
      </x:c>
    </x:row>
    <x:row r="41">
      <x:c r="A41" t="n">
        <x:v>40</x:v>
      </x:c>
      <x:c r="B41" s="16" t="n">
        <x:v>46113</x:v>
      </x:c>
      <x:c r="C41" t="str">
        <x:v>Metal</x:v>
      </x:c>
      <x:c r="D41" t="str">
        <x:v>India</x:v>
      </x:c>
      <x:c r="E41" t="str">
        <x:v>Organic</x:v>
      </x:c>
      <x:c r="F41" t="str">
        <x:v>25-34</x:v>
      </x:c>
    </x:row>
    <x:row r="42">
      <x:c r="A42" t="n">
        <x:v>41</x:v>
      </x:c>
      <x:c r="B42" s="16" t="n">
        <x:v>46143</x:v>
      </x:c>
      <x:c r="C42" t="str">
        <x:v>Standard</x:v>
      </x:c>
      <x:c r="D42" t="str">
        <x:v>India</x:v>
      </x:c>
      <x:c r="E42" t="str">
        <x:v>Referral</x:v>
      </x:c>
      <x:c r="F42" t="str">
        <x:v>18-24</x:v>
      </x:c>
    </x:row>
    <x:row r="43">
      <x:c r="A43" t="n">
        <x:v>42</x:v>
      </x:c>
      <x:c r="B43" s="16" t="n">
        <x:v>46082</x:v>
      </x:c>
      <x:c r="C43" t="str">
        <x:v>Standard</x:v>
      </x:c>
      <x:c r="D43" t="str">
        <x:v>United Kingdom</x:v>
      </x:c>
      <x:c r="E43" t="str">
        <x:v>Paid Search</x:v>
      </x:c>
      <x:c r="F43" t="str">
        <x:v>35-44</x:v>
      </x:c>
    </x:row>
    <x:row r="44">
      <x:c r="A44" t="n">
        <x:v>43</x:v>
      </x:c>
      <x:c r="B44" s="16" t="n">
        <x:v>46143</x:v>
      </x:c>
      <x:c r="C44" t="str">
        <x:v>Plus</x:v>
      </x:c>
      <x:c r="D44" t="str">
        <x:v>UAE</x:v>
      </x:c>
      <x:c r="E44" t="str">
        <x:v>Organic</x:v>
      </x:c>
      <x:c r="F44" t="str">
        <x:v>35-44</x:v>
      </x:c>
    </x:row>
    <x:row r="45">
      <x:c r="A45" t="n">
        <x:v>44</x:v>
      </x:c>
      <x:c r="B45" s="16" t="n">
        <x:v>46113</x:v>
      </x:c>
      <x:c r="C45" t="str">
        <x:v>Premium</x:v>
      </x:c>
      <x:c r="D45" t="str">
        <x:v>UAE</x:v>
      </x:c>
      <x:c r="E45" t="str">
        <x:v>Organic</x:v>
      </x:c>
      <x:c r="F45" t="str">
        <x:v>25-34</x:v>
      </x:c>
    </x:row>
    <x:row r="46">
      <x:c r="A46" t="n">
        <x:v>45</x:v>
      </x:c>
      <x:c r="B46" s="16" t="n">
        <x:v>46082</x:v>
      </x:c>
      <x:c r="C46" t="str">
        <x:v>Plus</x:v>
      </x:c>
      <x:c r="D46" t="str">
        <x:v>UAE</x:v>
      </x:c>
      <x:c r="E46" t="str">
        <x:v>Organic</x:v>
      </x:c>
      <x:c r="F46" t="str">
        <x:v>45+</x:v>
      </x:c>
    </x:row>
    <x:row r="47">
      <x:c r="A47" t="n">
        <x:v>46</x:v>
      </x:c>
      <x:c r="B47" s="16" t="n">
        <x:v>46143</x:v>
      </x:c>
      <x:c r="C47" t="str">
        <x:v>Plus</x:v>
      </x:c>
      <x:c r="D47" t="str">
        <x:v>UAE</x:v>
      </x:c>
      <x:c r="E47" t="str">
        <x:v>Paid Search</x:v>
      </x:c>
      <x:c r="F47" t="str">
        <x:v>45+</x:v>
      </x:c>
    </x:row>
    <x:row r="48">
      <x:c r="A48" t="n">
        <x:v>47</x:v>
      </x:c>
      <x:c r="B48" s="16" t="n">
        <x:v>46113</x:v>
      </x:c>
      <x:c r="C48" t="str">
        <x:v>Plus</x:v>
      </x:c>
      <x:c r="D48" t="str">
        <x:v>UAE</x:v>
      </x:c>
      <x:c r="E48" t="str">
        <x:v>Partnership</x:v>
      </x:c>
      <x:c r="F48" t="str">
        <x:v>18-24</x:v>
      </x:c>
    </x:row>
    <x:row r="49">
      <x:c r="A49" t="n">
        <x:v>48</x:v>
      </x:c>
      <x:c r="B49" s="16" t="n">
        <x:v>46054</x:v>
      </x:c>
      <x:c r="C49" t="str">
        <x:v>Standard</x:v>
      </x:c>
      <x:c r="D49" t="str">
        <x:v>UAE</x:v>
      </x:c>
      <x:c r="E49" t="str">
        <x:v>Organic</x:v>
      </x:c>
      <x:c r="F49" t="str">
        <x:v>35-44</x:v>
      </x:c>
    </x:row>
    <x:row r="50">
      <x:c r="A50" t="n">
        <x:v>49</x:v>
      </x:c>
      <x:c r="B50" s="16" t="n">
        <x:v>46082</x:v>
      </x:c>
      <x:c r="C50" t="str">
        <x:v>Standard</x:v>
      </x:c>
      <x:c r="D50" t="str">
        <x:v>India</x:v>
      </x:c>
      <x:c r="E50" t="str">
        <x:v>Paid Search</x:v>
      </x:c>
      <x:c r="F50" t="str">
        <x:v>25-34</x:v>
      </x:c>
    </x:row>
    <x:row r="51">
      <x:c r="A51" t="n">
        <x:v>50</x:v>
      </x:c>
      <x:c r="B51" s="16" t="n">
        <x:v>46082</x:v>
      </x:c>
      <x:c r="C51" t="str">
        <x:v>Standard</x:v>
      </x:c>
      <x:c r="D51" t="str">
        <x:v>United Kingdom</x:v>
      </x:c>
      <x:c r="E51" t="str">
        <x:v>Partnership</x:v>
      </x:c>
      <x:c r="F51" t="str">
        <x:v>45+</x:v>
      </x:c>
    </x:row>
    <x:row r="52">
      <x:c r="A52" t="n">
        <x:v>51</x:v>
      </x:c>
      <x:c r="B52" s="16" t="n">
        <x:v>46143</x:v>
      </x:c>
      <x:c r="C52" t="str">
        <x:v>Standard</x:v>
      </x:c>
      <x:c r="D52" t="str">
        <x:v>UAE</x:v>
      </x:c>
      <x:c r="E52" t="str">
        <x:v>Partnership</x:v>
      </x:c>
      <x:c r="F52" t="str">
        <x:v>18-24</x:v>
      </x:c>
    </x:row>
    <x:row r="53">
      <x:c r="A53" t="n">
        <x:v>52</x:v>
      </x:c>
      <x:c r="B53" s="16" t="n">
        <x:v>46113</x:v>
      </x:c>
      <x:c r="C53" t="str">
        <x:v>Premium</x:v>
      </x:c>
      <x:c r="D53" t="str">
        <x:v>India</x:v>
      </x:c>
      <x:c r="E53" t="str">
        <x:v>Organic</x:v>
      </x:c>
      <x:c r="F53" t="str">
        <x:v>45+</x:v>
      </x:c>
    </x:row>
    <x:row r="54">
      <x:c r="A54" t="n">
        <x:v>53</x:v>
      </x:c>
      <x:c r="B54" s="16" t="n">
        <x:v>46113</x:v>
      </x:c>
      <x:c r="C54" t="str">
        <x:v>Standard</x:v>
      </x:c>
      <x:c r="D54" t="str">
        <x:v>UAE</x:v>
      </x:c>
      <x:c r="E54" t="str">
        <x:v>Referral</x:v>
      </x:c>
      <x:c r="F54" t="str">
        <x:v>18-24</x:v>
      </x:c>
    </x:row>
    <x:row r="55">
      <x:c r="A55" t="n">
        <x:v>54</x:v>
      </x:c>
      <x:c r="B55" s="16" t="n">
        <x:v>46082</x:v>
      </x:c>
      <x:c r="C55" t="str">
        <x:v>Premium</x:v>
      </x:c>
      <x:c r="D55" t="str">
        <x:v>Singapore</x:v>
      </x:c>
      <x:c r="E55" t="str">
        <x:v>Organic</x:v>
      </x:c>
      <x:c r="F55" t="str">
        <x:v>18-24</x:v>
      </x:c>
    </x:row>
    <x:row r="56">
      <x:c r="A56" t="n">
        <x:v>55</x:v>
      </x:c>
      <x:c r="B56" s="16" t="n">
        <x:v>46054</x:v>
      </x:c>
      <x:c r="C56" t="str">
        <x:v>Standard</x:v>
      </x:c>
      <x:c r="D56" t="str">
        <x:v>United Kingdom</x:v>
      </x:c>
      <x:c r="E56" t="str">
        <x:v>Partnership</x:v>
      </x:c>
      <x:c r="F56" t="str">
        <x:v>25-34</x:v>
      </x:c>
    </x:row>
    <x:row r="57">
      <x:c r="A57" t="n">
        <x:v>56</x:v>
      </x:c>
      <x:c r="B57" s="16" t="n">
        <x:v>46143</x:v>
      </x:c>
      <x:c r="C57" t="str">
        <x:v>Plus</x:v>
      </x:c>
      <x:c r="D57" t="str">
        <x:v>India</x:v>
      </x:c>
      <x:c r="E57" t="str">
        <x:v>Referral</x:v>
      </x:c>
      <x:c r="F57" t="str">
        <x:v>25-34</x:v>
      </x:c>
    </x:row>
    <x:row r="58">
      <x:c r="A58" t="n">
        <x:v>57</x:v>
      </x:c>
      <x:c r="B58" s="16" t="n">
        <x:v>46113</x:v>
      </x:c>
      <x:c r="C58" t="str">
        <x:v>Plus</x:v>
      </x:c>
      <x:c r="D58" t="str">
        <x:v>India</x:v>
      </x:c>
      <x:c r="E58" t="str">
        <x:v>Referral</x:v>
      </x:c>
      <x:c r="F58" t="str">
        <x:v>18-24</x:v>
      </x:c>
    </x:row>
    <x:row r="59">
      <x:c r="A59" t="n">
        <x:v>58</x:v>
      </x:c>
      <x:c r="B59" s="16" t="n">
        <x:v>46143</x:v>
      </x:c>
      <x:c r="C59" t="str">
        <x:v>Standard</x:v>
      </x:c>
      <x:c r="D59" t="str">
        <x:v>UAE</x:v>
      </x:c>
      <x:c r="E59" t="str">
        <x:v>Referral</x:v>
      </x:c>
      <x:c r="F59" t="str">
        <x:v>25-34</x:v>
      </x:c>
    </x:row>
    <x:row r="60">
      <x:c r="A60" t="n">
        <x:v>59</x:v>
      </x:c>
      <x:c r="B60" s="16" t="n">
        <x:v>46113</x:v>
      </x:c>
      <x:c r="C60" t="str">
        <x:v>Premium</x:v>
      </x:c>
      <x:c r="D60" t="str">
        <x:v>India</x:v>
      </x:c>
      <x:c r="E60" t="str">
        <x:v>Organic</x:v>
      </x:c>
      <x:c r="F60" t="str">
        <x:v>35-44</x:v>
      </x:c>
    </x:row>
    <x:row r="61">
      <x:c r="A61" t="n">
        <x:v>60</x:v>
      </x:c>
      <x:c r="B61" s="16" t="n">
        <x:v>46054</x:v>
      </x:c>
      <x:c r="C61" t="str">
        <x:v>Standard</x:v>
      </x:c>
      <x:c r="D61" t="str">
        <x:v>UAE</x:v>
      </x:c>
      <x:c r="E61" t="str">
        <x:v>Partnership</x:v>
      </x:c>
      <x:c r="F61" t="str">
        <x:v>35-44</x:v>
      </x:c>
    </x:row>
    <x:row r="62">
      <x:c r="A62" t="n">
        <x:v>61</x:v>
      </x:c>
      <x:c r="B62" s="16" t="n">
        <x:v>46113</x:v>
      </x:c>
      <x:c r="C62" t="str">
        <x:v>Standard</x:v>
      </x:c>
      <x:c r="D62" t="str">
        <x:v>Singapore</x:v>
      </x:c>
      <x:c r="E62" t="str">
        <x:v>Referral</x:v>
      </x:c>
      <x:c r="F62" t="str">
        <x:v>45+</x:v>
      </x:c>
    </x:row>
    <x:row r="63">
      <x:c r="A63" t="n">
        <x:v>62</x:v>
      </x:c>
      <x:c r="B63" s="16" t="n">
        <x:v>46174</x:v>
      </x:c>
      <x:c r="C63" t="str">
        <x:v>Standard</x:v>
      </x:c>
      <x:c r="D63" t="str">
        <x:v>Singapore</x:v>
      </x:c>
      <x:c r="E63" t="str">
        <x:v>Organic</x:v>
      </x:c>
      <x:c r="F63" t="str">
        <x:v>35-44</x:v>
      </x:c>
    </x:row>
    <x:row r="64">
      <x:c r="A64" t="n">
        <x:v>63</x:v>
      </x:c>
      <x:c r="B64" s="16" t="n">
        <x:v>46082</x:v>
      </x:c>
      <x:c r="C64" t="str">
        <x:v>Standard</x:v>
      </x:c>
      <x:c r="D64" t="str">
        <x:v>Germany</x:v>
      </x:c>
      <x:c r="E64" t="str">
        <x:v>Organic</x:v>
      </x:c>
      <x:c r="F64" t="str">
        <x:v>18-24</x:v>
      </x:c>
    </x:row>
    <x:row r="65">
      <x:c r="A65" t="n">
        <x:v>64</x:v>
      </x:c>
      <x:c r="B65" s="16" t="n">
        <x:v>46082</x:v>
      </x:c>
      <x:c r="C65" t="str">
        <x:v>Standard</x:v>
      </x:c>
      <x:c r="D65" t="str">
        <x:v>India</x:v>
      </x:c>
      <x:c r="E65" t="str">
        <x:v>Organic</x:v>
      </x:c>
      <x:c r="F65" t="str">
        <x:v>18-24</x:v>
      </x:c>
    </x:row>
    <x:row r="66">
      <x:c r="A66" t="n">
        <x:v>65</x:v>
      </x:c>
      <x:c r="B66" s="16" t="n">
        <x:v>46174</x:v>
      </x:c>
      <x:c r="C66" t="str">
        <x:v>Premium</x:v>
      </x:c>
      <x:c r="D66" t="str">
        <x:v>United Kingdom</x:v>
      </x:c>
      <x:c r="E66" t="str">
        <x:v>Organic</x:v>
      </x:c>
      <x:c r="F66" t="str">
        <x:v>18-24</x:v>
      </x:c>
    </x:row>
    <x:row r="67">
      <x:c r="A67" t="n">
        <x:v>66</x:v>
      </x:c>
      <x:c r="B67" s="16" t="n">
        <x:v>46082</x:v>
      </x:c>
      <x:c r="C67" t="str">
        <x:v>Standard</x:v>
      </x:c>
      <x:c r="D67" t="str">
        <x:v>Singapore</x:v>
      </x:c>
      <x:c r="E67" t="str">
        <x:v>Organic</x:v>
      </x:c>
      <x:c r="F67" t="str">
        <x:v>35-44</x:v>
      </x:c>
    </x:row>
    <x:row r="68">
      <x:c r="A68" t="n">
        <x:v>67</x:v>
      </x:c>
      <x:c r="B68" s="16" t="n">
        <x:v>46174</x:v>
      </x:c>
      <x:c r="C68" t="str">
        <x:v>Plus</x:v>
      </x:c>
      <x:c r="D68" t="str">
        <x:v>United Kingdom</x:v>
      </x:c>
      <x:c r="E68" t="str">
        <x:v>Organic</x:v>
      </x:c>
      <x:c r="F68" t="str">
        <x:v>25-34</x:v>
      </x:c>
    </x:row>
    <x:row r="69">
      <x:c r="A69" t="n">
        <x:v>68</x:v>
      </x:c>
      <x:c r="B69" s="16" t="n">
        <x:v>46113</x:v>
      </x:c>
      <x:c r="C69" t="str">
        <x:v>Standard</x:v>
      </x:c>
      <x:c r="D69" t="str">
        <x:v>India</x:v>
      </x:c>
      <x:c r="E69" t="str">
        <x:v>Paid Search</x:v>
      </x:c>
      <x:c r="F69" t="str">
        <x:v>45+</x:v>
      </x:c>
    </x:row>
    <x:row r="70">
      <x:c r="A70" t="n">
        <x:v>69</x:v>
      </x:c>
      <x:c r="B70" s="16" t="n">
        <x:v>46082</x:v>
      </x:c>
      <x:c r="C70" t="str">
        <x:v>Standard</x:v>
      </x:c>
      <x:c r="D70" t="str">
        <x:v>India</x:v>
      </x:c>
      <x:c r="E70" t="str">
        <x:v>Organic</x:v>
      </x:c>
      <x:c r="F70" t="str">
        <x:v>18-24</x:v>
      </x:c>
    </x:row>
    <x:row r="71">
      <x:c r="A71" t="n">
        <x:v>70</x:v>
      </x:c>
      <x:c r="B71" s="16" t="n">
        <x:v>46113</x:v>
      </x:c>
      <x:c r="C71" t="str">
        <x:v>Standard</x:v>
      </x:c>
      <x:c r="D71" t="str">
        <x:v>Singapore</x:v>
      </x:c>
      <x:c r="E71" t="str">
        <x:v>Paid Search</x:v>
      </x:c>
      <x:c r="F71" t="str">
        <x:v>45+</x:v>
      </x:c>
    </x:row>
    <x:row r="72">
      <x:c r="A72" t="n">
        <x:v>71</x:v>
      </x:c>
      <x:c r="B72" s="16" t="n">
        <x:v>46113</x:v>
      </x:c>
      <x:c r="C72" t="str">
        <x:v>Standard</x:v>
      </x:c>
      <x:c r="D72" t="str">
        <x:v>UAE</x:v>
      </x:c>
      <x:c r="E72" t="str">
        <x:v>Referral</x:v>
      </x:c>
      <x:c r="F72" t="str">
        <x:v>45+</x:v>
      </x:c>
    </x:row>
    <x:row r="73">
      <x:c r="A73" t="n">
        <x:v>72</x:v>
      </x:c>
      <x:c r="B73" s="16" t="n">
        <x:v>46174</x:v>
      </x:c>
      <x:c r="C73" t="str">
        <x:v>Plus</x:v>
      </x:c>
      <x:c r="D73" t="str">
        <x:v>United Kingdom</x:v>
      </x:c>
      <x:c r="E73" t="str">
        <x:v>Partnership</x:v>
      </x:c>
      <x:c r="F73" t="str">
        <x:v>18-24</x:v>
      </x:c>
    </x:row>
    <x:row r="74">
      <x:c r="A74" t="n">
        <x:v>73</x:v>
      </x:c>
      <x:c r="B74" s="16" t="n">
        <x:v>46113</x:v>
      </x:c>
      <x:c r="C74" t="str">
        <x:v>Premium</x:v>
      </x:c>
      <x:c r="D74" t="str">
        <x:v>India</x:v>
      </x:c>
      <x:c r="E74" t="str">
        <x:v>Organic</x:v>
      </x:c>
      <x:c r="F74" t="str">
        <x:v>45+</x:v>
      </x:c>
    </x:row>
    <x:row r="75">
      <x:c r="A75" t="n">
        <x:v>74</x:v>
      </x:c>
      <x:c r="B75" s="16" t="n">
        <x:v>46143</x:v>
      </x:c>
      <x:c r="C75" t="str">
        <x:v>Standard</x:v>
      </x:c>
      <x:c r="D75" t="str">
        <x:v>UAE</x:v>
      </x:c>
      <x:c r="E75" t="str">
        <x:v>Referral</x:v>
      </x:c>
      <x:c r="F75" t="str">
        <x:v>25-34</x:v>
      </x:c>
    </x:row>
    <x:row r="76">
      <x:c r="A76" t="n">
        <x:v>75</x:v>
      </x:c>
      <x:c r="B76" s="16" t="n">
        <x:v>46113</x:v>
      </x:c>
      <x:c r="C76" t="str">
        <x:v>Plus</x:v>
      </x:c>
      <x:c r="D76" t="str">
        <x:v>India</x:v>
      </x:c>
      <x:c r="E76" t="str">
        <x:v>Organic</x:v>
      </x:c>
      <x:c r="F76" t="str">
        <x:v>18-24</x:v>
      </x:c>
    </x:row>
    <x:row r="77">
      <x:c r="A77" t="n">
        <x:v>76</x:v>
      </x:c>
      <x:c r="B77" s="16" t="n">
        <x:v>46113</x:v>
      </x:c>
      <x:c r="C77" t="str">
        <x:v>Premium</x:v>
      </x:c>
      <x:c r="D77" t="str">
        <x:v>India</x:v>
      </x:c>
      <x:c r="E77" t="str">
        <x:v>Referral</x:v>
      </x:c>
      <x:c r="F77" t="str">
        <x:v>18-24</x:v>
      </x:c>
    </x:row>
    <x:row r="78">
      <x:c r="A78" t="n">
        <x:v>77</x:v>
      </x:c>
      <x:c r="B78" s="16" t="n">
        <x:v>46143</x:v>
      </x:c>
      <x:c r="C78" t="str">
        <x:v>Premium</x:v>
      </x:c>
      <x:c r="D78" t="str">
        <x:v>UAE</x:v>
      </x:c>
      <x:c r="E78" t="str">
        <x:v>Referral</x:v>
      </x:c>
      <x:c r="F78" t="str">
        <x:v>35-44</x:v>
      </x:c>
    </x:row>
    <x:row r="79">
      <x:c r="A79" t="n">
        <x:v>78</x:v>
      </x:c>
      <x:c r="B79" s="16" t="n">
        <x:v>46174</x:v>
      </x:c>
      <x:c r="C79" t="str">
        <x:v>Standard</x:v>
      </x:c>
      <x:c r="D79" t="str">
        <x:v>India</x:v>
      </x:c>
      <x:c r="E79" t="str">
        <x:v>Organic</x:v>
      </x:c>
      <x:c r="F79" t="str">
        <x:v>45+</x:v>
      </x:c>
    </x:row>
    <x:row r="80">
      <x:c r="A80" t="n">
        <x:v>79</x:v>
      </x:c>
      <x:c r="B80" s="16" t="n">
        <x:v>46082</x:v>
      </x:c>
      <x:c r="C80" t="str">
        <x:v>Standard</x:v>
      </x:c>
      <x:c r="D80" t="str">
        <x:v>UAE</x:v>
      </x:c>
      <x:c r="E80" t="str">
        <x:v>Paid Search</x:v>
      </x:c>
      <x:c r="F80" t="str">
        <x:v>35-44</x:v>
      </x:c>
    </x:row>
    <x:row r="81">
      <x:c r="A81" t="n">
        <x:v>80</x:v>
      </x:c>
      <x:c r="B81" s="16" t="n">
        <x:v>46113</x:v>
      </x:c>
      <x:c r="C81" t="str">
        <x:v>Premium</x:v>
      </x:c>
      <x:c r="D81" t="str">
        <x:v>United Kingdom</x:v>
      </x:c>
      <x:c r="E81" t="str">
        <x:v>Referral</x:v>
      </x:c>
      <x:c r="F81" t="str">
        <x:v>25-34</x:v>
      </x:c>
    </x:row>
    <x:row r="82">
      <x:c r="A82" t="n">
        <x:v>81</x:v>
      </x:c>
      <x:c r="B82" s="16" t="n">
        <x:v>46143</x:v>
      </x:c>
      <x:c r="C82" t="str">
        <x:v>Standard</x:v>
      </x:c>
      <x:c r="D82" t="str">
        <x:v>Singapore</x:v>
      </x:c>
      <x:c r="E82" t="str">
        <x:v>Organic</x:v>
      </x:c>
      <x:c r="F82" t="str">
        <x:v>18-24</x:v>
      </x:c>
    </x:row>
    <x:row r="83">
      <x:c r="A83" t="n">
        <x:v>82</x:v>
      </x:c>
      <x:c r="B83" s="16" t="n">
        <x:v>46113</x:v>
      </x:c>
      <x:c r="C83" t="str">
        <x:v>Metal</x:v>
      </x:c>
      <x:c r="D83" t="str">
        <x:v>United Kingdom</x:v>
      </x:c>
      <x:c r="E83" t="str">
        <x:v>Partnership</x:v>
      </x:c>
      <x:c r="F83" t="str">
        <x:v>25-34</x:v>
      </x:c>
    </x:row>
    <x:row r="84">
      <x:c r="A84" t="n">
        <x:v>83</x:v>
      </x:c>
      <x:c r="B84" s="16" t="n">
        <x:v>46082</x:v>
      </x:c>
      <x:c r="C84" t="str">
        <x:v>Plus</x:v>
      </x:c>
      <x:c r="D84" t="str">
        <x:v>United Kingdom</x:v>
      </x:c>
      <x:c r="E84" t="str">
        <x:v>Paid Search</x:v>
      </x:c>
      <x:c r="F84" t="str">
        <x:v>45+</x:v>
      </x:c>
    </x:row>
    <x:row r="85">
      <x:c r="A85" t="n">
        <x:v>84</x:v>
      </x:c>
      <x:c r="B85" s="16" t="n">
        <x:v>46082</x:v>
      </x:c>
      <x:c r="C85" t="str">
        <x:v>Standard</x:v>
      </x:c>
      <x:c r="D85" t="str">
        <x:v>Singapore</x:v>
      </x:c>
      <x:c r="E85" t="str">
        <x:v>Partnership</x:v>
      </x:c>
      <x:c r="F85" t="str">
        <x:v>35-44</x:v>
      </x:c>
    </x:row>
    <x:row r="86">
      <x:c r="A86" t="n">
        <x:v>85</x:v>
      </x:c>
      <x:c r="B86" s="16" t="n">
        <x:v>46113</x:v>
      </x:c>
      <x:c r="C86" t="str">
        <x:v>Standard</x:v>
      </x:c>
      <x:c r="D86" t="str">
        <x:v>India</x:v>
      </x:c>
      <x:c r="E86" t="str">
        <x:v>Organic</x:v>
      </x:c>
      <x:c r="F86" t="str">
        <x:v>18-24</x:v>
      </x:c>
    </x:row>
    <x:row r="87">
      <x:c r="A87" t="n">
        <x:v>86</x:v>
      </x:c>
      <x:c r="B87" s="16" t="n">
        <x:v>46113</x:v>
      </x:c>
      <x:c r="C87" t="str">
        <x:v>Standard</x:v>
      </x:c>
      <x:c r="D87" t="str">
        <x:v>India</x:v>
      </x:c>
      <x:c r="E87" t="str">
        <x:v>Paid Search</x:v>
      </x:c>
      <x:c r="F87" t="str">
        <x:v>35-44</x:v>
      </x:c>
    </x:row>
    <x:row r="88">
      <x:c r="A88" t="n">
        <x:v>87</x:v>
      </x:c>
      <x:c r="B88" s="16" t="n">
        <x:v>46082</x:v>
      </x:c>
      <x:c r="C88" t="str">
        <x:v>Standard</x:v>
      </x:c>
      <x:c r="D88" t="str">
        <x:v>UAE</x:v>
      </x:c>
      <x:c r="E88" t="str">
        <x:v>Referral</x:v>
      </x:c>
      <x:c r="F88" t="str">
        <x:v>45+</x:v>
      </x:c>
    </x:row>
    <x:row r="89">
      <x:c r="A89" t="n">
        <x:v>88</x:v>
      </x:c>
      <x:c r="B89" s="16" t="n">
        <x:v>46113</x:v>
      </x:c>
      <x:c r="C89" t="str">
        <x:v>Premium</x:v>
      </x:c>
      <x:c r="D89" t="str">
        <x:v>India</x:v>
      </x:c>
      <x:c r="E89" t="str">
        <x:v>Organic</x:v>
      </x:c>
      <x:c r="F89" t="str">
        <x:v>45+</x:v>
      </x:c>
    </x:row>
    <x:row r="90">
      <x:c r="A90" t="n">
        <x:v>89</x:v>
      </x:c>
      <x:c r="B90" s="16" t="n">
        <x:v>46082</x:v>
      </x:c>
      <x:c r="C90" t="str">
        <x:v>Standard</x:v>
      </x:c>
      <x:c r="D90" t="str">
        <x:v>Singapore</x:v>
      </x:c>
      <x:c r="E90" t="str">
        <x:v>Referral</x:v>
      </x:c>
      <x:c r="F90" t="str">
        <x:v>18-24</x:v>
      </x:c>
    </x:row>
    <x:row r="91">
      <x:c r="A91" t="n">
        <x:v>90</x:v>
      </x:c>
      <x:c r="B91" s="16" t="n">
        <x:v>46113</x:v>
      </x:c>
      <x:c r="C91" t="str">
        <x:v>Plus</x:v>
      </x:c>
      <x:c r="D91" t="str">
        <x:v>UAE</x:v>
      </x:c>
      <x:c r="E91" t="str">
        <x:v>Referral</x:v>
      </x:c>
      <x:c r="F91" t="str">
        <x:v>45+</x:v>
      </x:c>
    </x:row>
    <x:row r="92">
      <x:c r="A92" t="n">
        <x:v>91</x:v>
      </x:c>
      <x:c r="B92" s="16" t="n">
        <x:v>46113</x:v>
      </x:c>
      <x:c r="C92" t="str">
        <x:v>Standard</x:v>
      </x:c>
      <x:c r="D92" t="str">
        <x:v>India</x:v>
      </x:c>
      <x:c r="E92" t="str">
        <x:v>Organic</x:v>
      </x:c>
      <x:c r="F92" t="str">
        <x:v>45+</x:v>
      </x:c>
    </x:row>
    <x:row r="93">
      <x:c r="A93" t="n">
        <x:v>92</x:v>
      </x:c>
      <x:c r="B93" s="16" t="n">
        <x:v>46113</x:v>
      </x:c>
      <x:c r="C93" t="str">
        <x:v>Premium</x:v>
      </x:c>
      <x:c r="D93" t="str">
        <x:v>Singapore</x:v>
      </x:c>
      <x:c r="E93" t="str">
        <x:v>Referral</x:v>
      </x:c>
      <x:c r="F93" t="str">
        <x:v>35-44</x:v>
      </x:c>
    </x:row>
    <x:row r="94">
      <x:c r="A94" t="n">
        <x:v>93</x:v>
      </x:c>
      <x:c r="B94" s="16" t="n">
        <x:v>46143</x:v>
      </x:c>
      <x:c r="C94" t="str">
        <x:v>Plus</x:v>
      </x:c>
      <x:c r="D94" t="str">
        <x:v>Singapore</x:v>
      </x:c>
      <x:c r="E94" t="str">
        <x:v>Organic</x:v>
      </x:c>
      <x:c r="F94" t="str">
        <x:v>45+</x:v>
      </x:c>
    </x:row>
    <x:row r="95">
      <x:c r="A95" t="n">
        <x:v>94</x:v>
      </x:c>
      <x:c r="B95" s="16" t="n">
        <x:v>46174</x:v>
      </x:c>
      <x:c r="C95" t="str">
        <x:v>Premium</x:v>
      </x:c>
      <x:c r="D95" t="str">
        <x:v>India</x:v>
      </x:c>
      <x:c r="E95" t="str">
        <x:v>Referral</x:v>
      </x:c>
      <x:c r="F95" t="str">
        <x:v>45+</x:v>
      </x:c>
    </x:row>
    <x:row r="96">
      <x:c r="A96" t="n">
        <x:v>95</x:v>
      </x:c>
      <x:c r="B96" s="16" t="n">
        <x:v>46143</x:v>
      </x:c>
      <x:c r="C96" t="str">
        <x:v>Premium</x:v>
      </x:c>
      <x:c r="D96" t="str">
        <x:v>India</x:v>
      </x:c>
      <x:c r="E96" t="str">
        <x:v>Referral</x:v>
      </x:c>
      <x:c r="F96" t="str">
        <x:v>35-44</x:v>
      </x:c>
    </x:row>
    <x:row r="97">
      <x:c r="A97" t="n">
        <x:v>96</x:v>
      </x:c>
      <x:c r="B97" s="16" t="n">
        <x:v>46082</x:v>
      </x:c>
      <x:c r="C97" t="str">
        <x:v>Plus</x:v>
      </x:c>
      <x:c r="D97" t="str">
        <x:v>Singapore</x:v>
      </x:c>
      <x:c r="E97" t="str">
        <x:v>Partnership</x:v>
      </x:c>
      <x:c r="F97" t="str">
        <x:v>18-24</x:v>
      </x:c>
    </x:row>
    <x:row r="98">
      <x:c r="A98" t="n">
        <x:v>97</x:v>
      </x:c>
      <x:c r="B98" s="16" t="n">
        <x:v>46082</x:v>
      </x:c>
      <x:c r="C98" t="str">
        <x:v>Plus</x:v>
      </x:c>
      <x:c r="D98" t="str">
        <x:v>United Kingdom</x:v>
      </x:c>
      <x:c r="E98" t="str">
        <x:v>Organic</x:v>
      </x:c>
      <x:c r="F98" t="str">
        <x:v>35-44</x:v>
      </x:c>
    </x:row>
    <x:row r="99">
      <x:c r="A99" t="n">
        <x:v>98</x:v>
      </x:c>
      <x:c r="B99" s="16" t="n">
        <x:v>46174</x:v>
      </x:c>
      <x:c r="C99" t="str">
        <x:v>Standard</x:v>
      </x:c>
      <x:c r="D99" t="str">
        <x:v>United Kingdom</x:v>
      </x:c>
      <x:c r="E99" t="str">
        <x:v>Organic</x:v>
      </x:c>
      <x:c r="F99" t="str">
        <x:v>18-24</x:v>
      </x:c>
    </x:row>
    <x:row r="100">
      <x:c r="A100" t="n">
        <x:v>99</x:v>
      </x:c>
      <x:c r="B100" s="16" t="n">
        <x:v>46082</x:v>
      </x:c>
      <x:c r="C100" t="str">
        <x:v>Plus</x:v>
      </x:c>
      <x:c r="D100" t="str">
        <x:v>United Kingdom</x:v>
      </x:c>
      <x:c r="E100" t="str">
        <x:v>Paid Search</x:v>
      </x:c>
      <x:c r="F100" t="str">
        <x:v>25-34</x:v>
      </x:c>
    </x:row>
    <x:row r="101">
      <x:c r="A101" t="n">
        <x:v>100</x:v>
      </x:c>
      <x:c r="B101" s="16" t="n">
        <x:v>46113</x:v>
      </x:c>
      <x:c r="C101" t="str">
        <x:v>Plus</x:v>
      </x:c>
      <x:c r="D101" t="str">
        <x:v>United Kingdom</x:v>
      </x:c>
      <x:c r="E101" t="str">
        <x:v>Organic</x:v>
      </x:c>
      <x:c r="F101" t="str">
        <x:v>35-44</x:v>
      </x:c>
    </x:row>
    <x:row r="102">
      <x:c r="A102" t="n">
        <x:v>101</x:v>
      </x:c>
      <x:c r="B102" s="16" t="n">
        <x:v>46082</x:v>
      </x:c>
      <x:c r="C102" t="str">
        <x:v>Standard</x:v>
      </x:c>
      <x:c r="D102" t="str">
        <x:v>United Kingdom</x:v>
      </x:c>
      <x:c r="E102" t="str">
        <x:v>Paid Search</x:v>
      </x:c>
      <x:c r="F102" t="str">
        <x:v>45+</x:v>
      </x:c>
    </x:row>
    <x:row r="103">
      <x:c r="A103" t="n">
        <x:v>102</x:v>
      </x:c>
      <x:c r="B103" s="16" t="n">
        <x:v>46082</x:v>
      </x:c>
      <x:c r="C103" t="str">
        <x:v>Standard</x:v>
      </x:c>
      <x:c r="D103" t="str">
        <x:v>Singapore</x:v>
      </x:c>
      <x:c r="E103" t="str">
        <x:v>Organic</x:v>
      </x:c>
      <x:c r="F103" t="str">
        <x:v>18-24</x:v>
      </x:c>
    </x:row>
    <x:row r="104">
      <x:c r="A104" t="n">
        <x:v>103</x:v>
      </x:c>
      <x:c r="B104" s="16" t="n">
        <x:v>46143</x:v>
      </x:c>
      <x:c r="C104" t="str">
        <x:v>Standard</x:v>
      </x:c>
      <x:c r="D104" t="str">
        <x:v>India</x:v>
      </x:c>
      <x:c r="E104" t="str">
        <x:v>Partnership</x:v>
      </x:c>
      <x:c r="F104" t="str">
        <x:v>25-34</x:v>
      </x:c>
    </x:row>
    <x:row r="105">
      <x:c r="A105" t="n">
        <x:v>104</x:v>
      </x:c>
      <x:c r="B105" s="16" t="n">
        <x:v>46113</x:v>
      </x:c>
      <x:c r="C105" t="str">
        <x:v>Standard</x:v>
      </x:c>
      <x:c r="D105" t="str">
        <x:v>India</x:v>
      </x:c>
      <x:c r="E105" t="str">
        <x:v>Referral</x:v>
      </x:c>
      <x:c r="F105" t="str">
        <x:v>45+</x:v>
      </x:c>
    </x:row>
    <x:row r="106">
      <x:c r="A106" t="n">
        <x:v>105</x:v>
      </x:c>
      <x:c r="B106" s="16" t="n">
        <x:v>46143</x:v>
      </x:c>
      <x:c r="C106" t="str">
        <x:v>Standard</x:v>
      </x:c>
      <x:c r="D106" t="str">
        <x:v>United Kingdom</x:v>
      </x:c>
      <x:c r="E106" t="str">
        <x:v>Organic</x:v>
      </x:c>
      <x:c r="F106" t="str">
        <x:v>35-44</x:v>
      </x:c>
    </x:row>
    <x:row r="107">
      <x:c r="A107" t="n">
        <x:v>106</x:v>
      </x:c>
      <x:c r="B107" s="16" t="n">
        <x:v>46113</x:v>
      </x:c>
      <x:c r="C107" t="str">
        <x:v>Metal</x:v>
      </x:c>
      <x:c r="D107" t="str">
        <x:v>India</x:v>
      </x:c>
      <x:c r="E107" t="str">
        <x:v>Organic</x:v>
      </x:c>
      <x:c r="F107" t="str">
        <x:v>35-44</x:v>
      </x:c>
    </x:row>
    <x:row r="108">
      <x:c r="A108" t="n">
        <x:v>107</x:v>
      </x:c>
      <x:c r="B108" s="16" t="n">
        <x:v>46082</x:v>
      </x:c>
      <x:c r="C108" t="str">
        <x:v>Standard</x:v>
      </x:c>
      <x:c r="D108" t="str">
        <x:v>UAE</x:v>
      </x:c>
      <x:c r="E108" t="str">
        <x:v>Referral</x:v>
      </x:c>
      <x:c r="F108" t="str">
        <x:v>45+</x:v>
      </x:c>
    </x:row>
    <x:row r="109">
      <x:c r="A109" t="n">
        <x:v>108</x:v>
      </x:c>
      <x:c r="B109" s="16" t="n">
        <x:v>46143</x:v>
      </x:c>
      <x:c r="C109" t="str">
        <x:v>Standard</x:v>
      </x:c>
      <x:c r="D109" t="str">
        <x:v>UAE</x:v>
      </x:c>
      <x:c r="E109" t="str">
        <x:v>Organic</x:v>
      </x:c>
      <x:c r="F109" t="str">
        <x:v>35-44</x:v>
      </x:c>
    </x:row>
    <x:row r="110">
      <x:c r="A110" t="n">
        <x:v>109</x:v>
      </x:c>
      <x:c r="B110" s="16" t="n">
        <x:v>46174</x:v>
      </x:c>
      <x:c r="C110" t="str">
        <x:v>Standard</x:v>
      </x:c>
      <x:c r="D110" t="str">
        <x:v>UAE</x:v>
      </x:c>
      <x:c r="E110" t="str">
        <x:v>Organic</x:v>
      </x:c>
      <x:c r="F110" t="str">
        <x:v>45+</x:v>
      </x:c>
    </x:row>
    <x:row r="111">
      <x:c r="A111" t="n">
        <x:v>110</x:v>
      </x:c>
      <x:c r="B111" s="16" t="n">
        <x:v>46054</x:v>
      </x:c>
      <x:c r="C111" t="str">
        <x:v>Premium</x:v>
      </x:c>
      <x:c r="D111" t="str">
        <x:v>India</x:v>
      </x:c>
      <x:c r="E111" t="str">
        <x:v>Organic</x:v>
      </x:c>
      <x:c r="F111" t="str">
        <x:v>18-24</x:v>
      </x:c>
    </x:row>
    <x:row r="112">
      <x:c r="A112" t="n">
        <x:v>111</x:v>
      </x:c>
      <x:c r="B112" s="16" t="n">
        <x:v>46113</x:v>
      </x:c>
      <x:c r="C112" t="str">
        <x:v>Premium</x:v>
      </x:c>
      <x:c r="D112" t="str">
        <x:v>UAE</x:v>
      </x:c>
      <x:c r="E112" t="str">
        <x:v>Organic</x:v>
      </x:c>
      <x:c r="F112" t="str">
        <x:v>45+</x:v>
      </x:c>
    </x:row>
    <x:row r="113">
      <x:c r="A113" t="n">
        <x:v>112</x:v>
      </x:c>
      <x:c r="B113" s="16" t="n">
        <x:v>46143</x:v>
      </x:c>
      <x:c r="C113" t="str">
        <x:v>Standard</x:v>
      </x:c>
      <x:c r="D113" t="str">
        <x:v>UAE</x:v>
      </x:c>
      <x:c r="E113" t="str">
        <x:v>Paid Search</x:v>
      </x:c>
      <x:c r="F113" t="str">
        <x:v>18-24</x:v>
      </x:c>
    </x:row>
    <x:row r="114">
      <x:c r="A114" t="n">
        <x:v>113</x:v>
      </x:c>
      <x:c r="B114" s="16" t="n">
        <x:v>46174</x:v>
      </x:c>
      <x:c r="C114" t="str">
        <x:v>Standard</x:v>
      </x:c>
      <x:c r="D114" t="str">
        <x:v>India</x:v>
      </x:c>
      <x:c r="E114" t="str">
        <x:v>Organic</x:v>
      </x:c>
      <x:c r="F114" t="str">
        <x:v>25-34</x:v>
      </x:c>
    </x:row>
    <x:row r="115">
      <x:c r="A115" t="n">
        <x:v>114</x:v>
      </x:c>
      <x:c r="B115" s="16" t="n">
        <x:v>46143</x:v>
      </x:c>
      <x:c r="C115" t="str">
        <x:v>Standard</x:v>
      </x:c>
      <x:c r="D115" t="str">
        <x:v>India</x:v>
      </x:c>
      <x:c r="E115" t="str">
        <x:v>Organic</x:v>
      </x:c>
      <x:c r="F115" t="str">
        <x:v>18-24</x:v>
      </x:c>
    </x:row>
    <x:row r="116">
      <x:c r="A116" t="n">
        <x:v>115</x:v>
      </x:c>
      <x:c r="B116" s="16" t="n">
        <x:v>46054</x:v>
      </x:c>
      <x:c r="C116" t="str">
        <x:v>Premium</x:v>
      </x:c>
      <x:c r="D116" t="str">
        <x:v>India</x:v>
      </x:c>
      <x:c r="E116" t="str">
        <x:v>Referral</x:v>
      </x:c>
      <x:c r="F116" t="str">
        <x:v>25-34</x:v>
      </x:c>
    </x:row>
    <x:row r="117">
      <x:c r="A117" t="n">
        <x:v>116</x:v>
      </x:c>
      <x:c r="B117" s="16" t="n">
        <x:v>46174</x:v>
      </x:c>
      <x:c r="C117" t="str">
        <x:v>Standard</x:v>
      </x:c>
      <x:c r="D117" t="str">
        <x:v>Germany</x:v>
      </x:c>
      <x:c r="E117" t="str">
        <x:v>Referral</x:v>
      </x:c>
      <x:c r="F117" t="str">
        <x:v>25-34</x:v>
      </x:c>
    </x:row>
    <x:row r="118">
      <x:c r="A118" t="n">
        <x:v>117</x:v>
      </x:c>
      <x:c r="B118" s="16" t="n">
        <x:v>46113</x:v>
      </x:c>
      <x:c r="C118" t="str">
        <x:v>Metal</x:v>
      </x:c>
      <x:c r="D118" t="str">
        <x:v>Singapore</x:v>
      </x:c>
      <x:c r="E118" t="str">
        <x:v>Paid Search</x:v>
      </x:c>
      <x:c r="F118" t="str">
        <x:v>18-24</x:v>
      </x:c>
    </x:row>
    <x:row r="119">
      <x:c r="A119" t="n">
        <x:v>118</x:v>
      </x:c>
      <x:c r="B119" s="16" t="n">
        <x:v>46113</x:v>
      </x:c>
      <x:c r="C119" t="str">
        <x:v>Plus</x:v>
      </x:c>
      <x:c r="D119" t="str">
        <x:v>UAE</x:v>
      </x:c>
      <x:c r="E119" t="str">
        <x:v>Paid Search</x:v>
      </x:c>
      <x:c r="F119" t="str">
        <x:v>35-44</x:v>
      </x:c>
    </x:row>
    <x:row r="120">
      <x:c r="A120" t="n">
        <x:v>119</x:v>
      </x:c>
      <x:c r="B120" s="16" t="n">
        <x:v>46174</x:v>
      </x:c>
      <x:c r="C120" t="str">
        <x:v>Standard</x:v>
      </x:c>
      <x:c r="D120" t="str">
        <x:v>United Kingdom</x:v>
      </x:c>
      <x:c r="E120" t="str">
        <x:v>Paid Search</x:v>
      </x:c>
      <x:c r="F120" t="str">
        <x:v>45+</x:v>
      </x:c>
    </x:row>
    <x:row r="121">
      <x:c r="A121" t="n">
        <x:v>120</x:v>
      </x:c>
      <x:c r="B121" s="16" t="n">
        <x:v>46113</x:v>
      </x:c>
      <x:c r="C121" t="str">
        <x:v>Plus</x:v>
      </x:c>
      <x:c r="D121" t="str">
        <x:v>India</x:v>
      </x:c>
      <x:c r="E121" t="str">
        <x:v>Organic</x:v>
      </x:c>
      <x:c r="F121" t="str">
        <x:v>25-34</x:v>
      </x:c>
    </x:row>
    <x:row r="122">
      <x:c r="A122" t="n">
        <x:v>121</x:v>
      </x:c>
      <x:c r="B122" s="16" t="n">
        <x:v>46143</x:v>
      </x:c>
      <x:c r="C122" t="str">
        <x:v>Plus</x:v>
      </x:c>
      <x:c r="D122" t="str">
        <x:v>United Kingdom</x:v>
      </x:c>
      <x:c r="E122" t="str">
        <x:v>Organic</x:v>
      </x:c>
      <x:c r="F122" t="str">
        <x:v>45+</x:v>
      </x:c>
    </x:row>
    <x:row r="123">
      <x:c r="A123" t="n">
        <x:v>122</x:v>
      </x:c>
      <x:c r="B123" s="16" t="n">
        <x:v>46082</x:v>
      </x:c>
      <x:c r="C123" t="str">
        <x:v>Premium</x:v>
      </x:c>
      <x:c r="D123" t="str">
        <x:v>United Kingdom</x:v>
      </x:c>
      <x:c r="E123" t="str">
        <x:v>Referral</x:v>
      </x:c>
      <x:c r="F123" t="str">
        <x:v>25-34</x:v>
      </x:c>
    </x:row>
    <x:row r="124">
      <x:c r="A124" t="n">
        <x:v>123</x:v>
      </x:c>
      <x:c r="B124" s="16" t="n">
        <x:v>46174</x:v>
      </x:c>
      <x:c r="C124" t="str">
        <x:v>Standard</x:v>
      </x:c>
      <x:c r="D124" t="str">
        <x:v>India</x:v>
      </x:c>
      <x:c r="E124" t="str">
        <x:v>Paid Search</x:v>
      </x:c>
      <x:c r="F124" t="str">
        <x:v>45+</x:v>
      </x:c>
    </x:row>
    <x:row r="125">
      <x:c r="A125" t="n">
        <x:v>124</x:v>
      </x:c>
      <x:c r="B125" s="16" t="n">
        <x:v>46054</x:v>
      </x:c>
      <x:c r="C125" t="str">
        <x:v>Standard</x:v>
      </x:c>
      <x:c r="D125" t="str">
        <x:v>Singapore</x:v>
      </x:c>
      <x:c r="E125" t="str">
        <x:v>Paid Search</x:v>
      </x:c>
      <x:c r="F125" t="str">
        <x:v>18-24</x:v>
      </x:c>
    </x:row>
    <x:row r="126">
      <x:c r="A126" t="n">
        <x:v>125</x:v>
      </x:c>
      <x:c r="B126" s="16" t="n">
        <x:v>46143</x:v>
      </x:c>
      <x:c r="C126" t="str">
        <x:v>Metal</x:v>
      </x:c>
      <x:c r="D126" t="str">
        <x:v>Singapore</x:v>
      </x:c>
      <x:c r="E126" t="str">
        <x:v>Partnership</x:v>
      </x:c>
      <x:c r="F126" t="str">
        <x:v>18-24</x:v>
      </x:c>
    </x:row>
    <x:row r="127">
      <x:c r="A127" t="n">
        <x:v>126</x:v>
      </x:c>
      <x:c r="B127" s="16" t="n">
        <x:v>46143</x:v>
      </x:c>
      <x:c r="C127" t="str">
        <x:v>Plus</x:v>
      </x:c>
      <x:c r="D127" t="str">
        <x:v>Singapore</x:v>
      </x:c>
      <x:c r="E127" t="str">
        <x:v>Organic</x:v>
      </x:c>
      <x:c r="F127" t="str">
        <x:v>45+</x:v>
      </x:c>
    </x:row>
    <x:row r="128">
      <x:c r="A128" t="n">
        <x:v>127</x:v>
      </x:c>
      <x:c r="B128" s="16" t="n">
        <x:v>46082</x:v>
      </x:c>
      <x:c r="C128" t="str">
        <x:v>Standard</x:v>
      </x:c>
      <x:c r="D128" t="str">
        <x:v>Singapore</x:v>
      </x:c>
      <x:c r="E128" t="str">
        <x:v>Referral</x:v>
      </x:c>
      <x:c r="F128" t="str">
        <x:v>35-44</x:v>
      </x:c>
    </x:row>
    <x:row r="129">
      <x:c r="A129" t="n">
        <x:v>128</x:v>
      </x:c>
      <x:c r="B129" s="16" t="n">
        <x:v>46113</x:v>
      </x:c>
      <x:c r="C129" t="str">
        <x:v>Standard</x:v>
      </x:c>
      <x:c r="D129" t="str">
        <x:v>Singapore</x:v>
      </x:c>
      <x:c r="E129" t="str">
        <x:v>Referral</x:v>
      </x:c>
      <x:c r="F129" t="str">
        <x:v>35-44</x:v>
      </x:c>
    </x:row>
    <x:row r="130">
      <x:c r="A130" t="n">
        <x:v>129</x:v>
      </x:c>
      <x:c r="B130" s="16" t="n">
        <x:v>46054</x:v>
      </x:c>
      <x:c r="C130" t="str">
        <x:v>Standard</x:v>
      </x:c>
      <x:c r="D130" t="str">
        <x:v>UAE</x:v>
      </x:c>
      <x:c r="E130" t="str">
        <x:v>Paid Search</x:v>
      </x:c>
      <x:c r="F130" t="str">
        <x:v>18-24</x:v>
      </x:c>
    </x:row>
    <x:row r="131">
      <x:c r="A131" t="n">
        <x:v>130</x:v>
      </x:c>
      <x:c r="B131" s="16" t="n">
        <x:v>46082</x:v>
      </x:c>
      <x:c r="C131" t="str">
        <x:v>Standard</x:v>
      </x:c>
      <x:c r="D131" t="str">
        <x:v>Germany</x:v>
      </x:c>
      <x:c r="E131" t="str">
        <x:v>Paid Search</x:v>
      </x:c>
      <x:c r="F131" t="str">
        <x:v>18-24</x:v>
      </x:c>
    </x:row>
    <x:row r="132">
      <x:c r="A132" t="n">
        <x:v>131</x:v>
      </x:c>
      <x:c r="B132" s="16" t="n">
        <x:v>46054</x:v>
      </x:c>
      <x:c r="C132" t="str">
        <x:v>Standard</x:v>
      </x:c>
      <x:c r="D132" t="str">
        <x:v>India</x:v>
      </x:c>
      <x:c r="E132" t="str">
        <x:v>Referral</x:v>
      </x:c>
      <x:c r="F132" t="str">
        <x:v>25-34</x:v>
      </x:c>
    </x:row>
    <x:row r="133">
      <x:c r="A133" t="n">
        <x:v>132</x:v>
      </x:c>
      <x:c r="B133" s="16" t="n">
        <x:v>46113</x:v>
      </x:c>
      <x:c r="C133" t="str">
        <x:v>Standard</x:v>
      </x:c>
      <x:c r="D133" t="str">
        <x:v>United Kingdom</x:v>
      </x:c>
      <x:c r="E133" t="str">
        <x:v>Referral</x:v>
      </x:c>
      <x:c r="F133" t="str">
        <x:v>35-44</x:v>
      </x:c>
    </x:row>
    <x:row r="134">
      <x:c r="A134" t="n">
        <x:v>133</x:v>
      </x:c>
      <x:c r="B134" s="16" t="n">
        <x:v>46174</x:v>
      </x:c>
      <x:c r="C134" t="str">
        <x:v>Standard</x:v>
      </x:c>
      <x:c r="D134" t="str">
        <x:v>Germany</x:v>
      </x:c>
      <x:c r="E134" t="str">
        <x:v>Paid Search</x:v>
      </x:c>
      <x:c r="F134" t="str">
        <x:v>18-24</x:v>
      </x:c>
    </x:row>
    <x:row r="135">
      <x:c r="A135" t="n">
        <x:v>134</x:v>
      </x:c>
      <x:c r="B135" s="16" t="n">
        <x:v>46174</x:v>
      </x:c>
      <x:c r="C135" t="str">
        <x:v>Premium</x:v>
      </x:c>
      <x:c r="D135" t="str">
        <x:v>India</x:v>
      </x:c>
      <x:c r="E135" t="str">
        <x:v>Referral</x:v>
      </x:c>
      <x:c r="F135" t="str">
        <x:v>35-44</x:v>
      </x:c>
    </x:row>
    <x:row r="136">
      <x:c r="A136" t="n">
        <x:v>135</x:v>
      </x:c>
      <x:c r="B136" s="16" t="n">
        <x:v>46054</x:v>
      </x:c>
      <x:c r="C136" t="str">
        <x:v>Metal</x:v>
      </x:c>
      <x:c r="D136" t="str">
        <x:v>India</x:v>
      </x:c>
      <x:c r="E136" t="str">
        <x:v>Partnership</x:v>
      </x:c>
      <x:c r="F136" t="str">
        <x:v>18-24</x:v>
      </x:c>
    </x:row>
    <x:row r="137">
      <x:c r="A137" t="n">
        <x:v>136</x:v>
      </x:c>
      <x:c r="B137" s="16" t="n">
        <x:v>46143</x:v>
      </x:c>
      <x:c r="C137" t="str">
        <x:v>Premium</x:v>
      </x:c>
      <x:c r="D137" t="str">
        <x:v>Singapore</x:v>
      </x:c>
      <x:c r="E137" t="str">
        <x:v>Organic</x:v>
      </x:c>
      <x:c r="F137" t="str">
        <x:v>35-44</x:v>
      </x:c>
    </x:row>
    <x:row r="138">
      <x:c r="A138" t="n">
        <x:v>137</x:v>
      </x:c>
      <x:c r="B138" s="16" t="n">
        <x:v>46174</x:v>
      </x:c>
      <x:c r="C138" t="str">
        <x:v>Plus</x:v>
      </x:c>
      <x:c r="D138" t="str">
        <x:v>India</x:v>
      </x:c>
      <x:c r="E138" t="str">
        <x:v>Referral</x:v>
      </x:c>
      <x:c r="F138" t="str">
        <x:v>45+</x:v>
      </x:c>
    </x:row>
    <x:row r="139">
      <x:c r="A139" t="n">
        <x:v>138</x:v>
      </x:c>
      <x:c r="B139" s="16" t="n">
        <x:v>46143</x:v>
      </x:c>
      <x:c r="C139" t="str">
        <x:v>Metal</x:v>
      </x:c>
      <x:c r="D139" t="str">
        <x:v>UAE</x:v>
      </x:c>
      <x:c r="E139" t="str">
        <x:v>Referral</x:v>
      </x:c>
      <x:c r="F139" t="str">
        <x:v>35-44</x:v>
      </x:c>
    </x:row>
    <x:row r="140">
      <x:c r="A140" t="n">
        <x:v>139</x:v>
      </x:c>
      <x:c r="B140" s="16" t="n">
        <x:v>46113</x:v>
      </x:c>
      <x:c r="C140" t="str">
        <x:v>Standard</x:v>
      </x:c>
      <x:c r="D140" t="str">
        <x:v>United Kingdom</x:v>
      </x:c>
      <x:c r="E140" t="str">
        <x:v>Organic</x:v>
      </x:c>
      <x:c r="F140" t="str">
        <x:v>18-24</x:v>
      </x:c>
    </x:row>
    <x:row r="141">
      <x:c r="A141" t="n">
        <x:v>140</x:v>
      </x:c>
      <x:c r="B141" s="16" t="n">
        <x:v>46143</x:v>
      </x:c>
      <x:c r="C141" t="str">
        <x:v>Premium</x:v>
      </x:c>
      <x:c r="D141" t="str">
        <x:v>United Kingdom</x:v>
      </x:c>
      <x:c r="E141" t="str">
        <x:v>Organic</x:v>
      </x:c>
      <x:c r="F141" t="str">
        <x:v>35-44</x:v>
      </x:c>
    </x:row>
    <x:row r="142">
      <x:c r="A142" t="n">
        <x:v>141</x:v>
      </x:c>
      <x:c r="B142" s="16" t="n">
        <x:v>46143</x:v>
      </x:c>
      <x:c r="C142" t="str">
        <x:v>Standard</x:v>
      </x:c>
      <x:c r="D142" t="str">
        <x:v>United Kingdom</x:v>
      </x:c>
      <x:c r="E142" t="str">
        <x:v>Paid Search</x:v>
      </x:c>
      <x:c r="F142" t="str">
        <x:v>25-34</x:v>
      </x:c>
    </x:row>
    <x:row r="143">
      <x:c r="A143" t="n">
        <x:v>142</x:v>
      </x:c>
      <x:c r="B143" s="16" t="n">
        <x:v>46143</x:v>
      </x:c>
      <x:c r="C143" t="str">
        <x:v>Standard</x:v>
      </x:c>
      <x:c r="D143" t="str">
        <x:v>Singapore</x:v>
      </x:c>
      <x:c r="E143" t="str">
        <x:v>Organic</x:v>
      </x:c>
      <x:c r="F143" t="str">
        <x:v>18-24</x:v>
      </x:c>
    </x:row>
    <x:row r="144">
      <x:c r="A144" t="n">
        <x:v>143</x:v>
      </x:c>
      <x:c r="B144" s="16" t="n">
        <x:v>46143</x:v>
      </x:c>
      <x:c r="C144" t="str">
        <x:v>Standard</x:v>
      </x:c>
      <x:c r="D144" t="str">
        <x:v>UAE</x:v>
      </x:c>
      <x:c r="E144" t="str">
        <x:v>Organic</x:v>
      </x:c>
      <x:c r="F144" t="str">
        <x:v>18-24</x:v>
      </x:c>
    </x:row>
    <x:row r="145">
      <x:c r="A145" t="n">
        <x:v>144</x:v>
      </x:c>
      <x:c r="B145" s="16" t="n">
        <x:v>46082</x:v>
      </x:c>
      <x:c r="C145" t="str">
        <x:v>Standard</x:v>
      </x:c>
      <x:c r="D145" t="str">
        <x:v>India</x:v>
      </x:c>
      <x:c r="E145" t="str">
        <x:v>Referral</x:v>
      </x:c>
      <x:c r="F145" t="str">
        <x:v>18-24</x:v>
      </x:c>
    </x:row>
    <x:row r="146">
      <x:c r="A146" t="n">
        <x:v>145</x:v>
      </x:c>
      <x:c r="B146" s="16" t="n">
        <x:v>46082</x:v>
      </x:c>
      <x:c r="C146" t="str">
        <x:v>Premium</x:v>
      </x:c>
      <x:c r="D146" t="str">
        <x:v>India</x:v>
      </x:c>
      <x:c r="E146" t="str">
        <x:v>Organic</x:v>
      </x:c>
      <x:c r="F146" t="str">
        <x:v>35-44</x:v>
      </x:c>
    </x:row>
    <x:row r="147">
      <x:c r="A147" t="n">
        <x:v>146</x:v>
      </x:c>
      <x:c r="B147" s="16" t="n">
        <x:v>46082</x:v>
      </x:c>
      <x:c r="C147" t="str">
        <x:v>Standard</x:v>
      </x:c>
      <x:c r="D147" t="str">
        <x:v>India</x:v>
      </x:c>
      <x:c r="E147" t="str">
        <x:v>Paid Search</x:v>
      </x:c>
      <x:c r="F147" t="str">
        <x:v>18-24</x:v>
      </x:c>
    </x:row>
    <x:row r="148">
      <x:c r="A148" t="n">
        <x:v>147</x:v>
      </x:c>
      <x:c r="B148" s="16" t="n">
        <x:v>46113</x:v>
      </x:c>
      <x:c r="C148" t="str">
        <x:v>Premium</x:v>
      </x:c>
      <x:c r="D148" t="str">
        <x:v>United Kingdom</x:v>
      </x:c>
      <x:c r="E148" t="str">
        <x:v>Referral</x:v>
      </x:c>
      <x:c r="F148" t="str">
        <x:v>35-44</x:v>
      </x:c>
    </x:row>
    <x:row r="149">
      <x:c r="A149" t="n">
        <x:v>148</x:v>
      </x:c>
      <x:c r="B149" s="16" t="n">
        <x:v>46113</x:v>
      </x:c>
      <x:c r="C149" t="str">
        <x:v>Standard</x:v>
      </x:c>
      <x:c r="D149" t="str">
        <x:v>UAE</x:v>
      </x:c>
      <x:c r="E149" t="str">
        <x:v>Paid Search</x:v>
      </x:c>
      <x:c r="F149" t="str">
        <x:v>18-24</x:v>
      </x:c>
    </x:row>
    <x:row r="150">
      <x:c r="A150" t="n">
        <x:v>149</x:v>
      </x:c>
      <x:c r="B150" s="16" t="n">
        <x:v>46143</x:v>
      </x:c>
      <x:c r="C150" t="str">
        <x:v>Standard</x:v>
      </x:c>
      <x:c r="D150" t="str">
        <x:v>India</x:v>
      </x:c>
      <x:c r="E150" t="str">
        <x:v>Referral</x:v>
      </x:c>
      <x:c r="F150" t="str">
        <x:v>35-44</x:v>
      </x:c>
    </x:row>
    <x:row r="151">
      <x:c r="A151" t="n">
        <x:v>150</x:v>
      </x:c>
      <x:c r="B151" s="16" t="n">
        <x:v>46054</x:v>
      </x:c>
      <x:c r="C151" t="str">
        <x:v>Plus</x:v>
      </x:c>
      <x:c r="D151" t="str">
        <x:v>Germany</x:v>
      </x:c>
      <x:c r="E151" t="str">
        <x:v>Paid Search</x:v>
      </x:c>
      <x:c r="F151" t="str">
        <x:v>45+</x:v>
      </x:c>
    </x:row>
    <x:row r="152">
      <x:c r="A152" t="n">
        <x:v>151</x:v>
      </x:c>
      <x:c r="B152" s="16" t="n">
        <x:v>46082</x:v>
      </x:c>
      <x:c r="C152" t="str">
        <x:v>Standard</x:v>
      </x:c>
      <x:c r="D152" t="str">
        <x:v>UAE</x:v>
      </x:c>
      <x:c r="E152" t="str">
        <x:v>Referral</x:v>
      </x:c>
      <x:c r="F152" t="str">
        <x:v>35-44</x:v>
      </x:c>
    </x:row>
    <x:row r="153">
      <x:c r="A153" t="n">
        <x:v>152</x:v>
      </x:c>
      <x:c r="B153" s="16" t="n">
        <x:v>46113</x:v>
      </x:c>
      <x:c r="C153" t="str">
        <x:v>Standard</x:v>
      </x:c>
      <x:c r="D153" t="str">
        <x:v>India</x:v>
      </x:c>
      <x:c r="E153" t="str">
        <x:v>Paid Search</x:v>
      </x:c>
      <x:c r="F153" t="str">
        <x:v>25-34</x:v>
      </x:c>
    </x:row>
    <x:row r="154">
      <x:c r="A154" t="n">
        <x:v>153</x:v>
      </x:c>
      <x:c r="B154" s="16" t="n">
        <x:v>46174</x:v>
      </x:c>
      <x:c r="C154" t="str">
        <x:v>Standard</x:v>
      </x:c>
      <x:c r="D154" t="str">
        <x:v>UAE</x:v>
      </x:c>
      <x:c r="E154" t="str">
        <x:v>Organic</x:v>
      </x:c>
      <x:c r="F154" t="str">
        <x:v>18-24</x:v>
      </x:c>
    </x:row>
    <x:row r="155">
      <x:c r="A155" t="n">
        <x:v>154</x:v>
      </x:c>
      <x:c r="B155" s="16" t="n">
        <x:v>46082</x:v>
      </x:c>
      <x:c r="C155" t="str">
        <x:v>Plus</x:v>
      </x:c>
      <x:c r="D155" t="str">
        <x:v>United Kingdom</x:v>
      </x:c>
      <x:c r="E155" t="str">
        <x:v>Referral</x:v>
      </x:c>
      <x:c r="F155" t="str">
        <x:v>25-34</x:v>
      </x:c>
    </x:row>
    <x:row r="156">
      <x:c r="A156" t="n">
        <x:v>155</x:v>
      </x:c>
      <x:c r="B156" s="16" t="n">
        <x:v>46113</x:v>
      </x:c>
      <x:c r="C156" t="str">
        <x:v>Standard</x:v>
      </x:c>
      <x:c r="D156" t="str">
        <x:v>UAE</x:v>
      </x:c>
      <x:c r="E156" t="str">
        <x:v>Paid Search</x:v>
      </x:c>
      <x:c r="F156" t="str">
        <x:v>35-44</x:v>
      </x:c>
    </x:row>
    <x:row r="157">
      <x:c r="A157" t="n">
        <x:v>156</x:v>
      </x:c>
      <x:c r="B157" s="16" t="n">
        <x:v>46113</x:v>
      </x:c>
      <x:c r="C157" t="str">
        <x:v>Standard</x:v>
      </x:c>
      <x:c r="D157" t="str">
        <x:v>United Kingdom</x:v>
      </x:c>
      <x:c r="E157" t="str">
        <x:v>Referral</x:v>
      </x:c>
      <x:c r="F157" t="str">
        <x:v>35-44</x:v>
      </x:c>
    </x:row>
    <x:row r="158">
      <x:c r="A158" t="n">
        <x:v>157</x:v>
      </x:c>
      <x:c r="B158" s="16" t="n">
        <x:v>46113</x:v>
      </x:c>
      <x:c r="C158" t="str">
        <x:v>Standard</x:v>
      </x:c>
      <x:c r="D158" t="str">
        <x:v>UAE</x:v>
      </x:c>
      <x:c r="E158" t="str">
        <x:v>Paid Search</x:v>
      </x:c>
      <x:c r="F158" t="str">
        <x:v>25-34</x:v>
      </x:c>
    </x:row>
    <x:row r="159">
      <x:c r="A159" t="n">
        <x:v>158</x:v>
      </x:c>
      <x:c r="B159" s="16" t="n">
        <x:v>46113</x:v>
      </x:c>
      <x:c r="C159" t="str">
        <x:v>Plus</x:v>
      </x:c>
      <x:c r="D159" t="str">
        <x:v>United Kingdom</x:v>
      </x:c>
      <x:c r="E159" t="str">
        <x:v>Paid Search</x:v>
      </x:c>
      <x:c r="F159" t="str">
        <x:v>18-24</x:v>
      </x:c>
    </x:row>
    <x:row r="160">
      <x:c r="A160" t="n">
        <x:v>159</x:v>
      </x:c>
      <x:c r="B160" s="16" t="n">
        <x:v>46143</x:v>
      </x:c>
      <x:c r="C160" t="str">
        <x:v>Metal</x:v>
      </x:c>
      <x:c r="D160" t="str">
        <x:v>India</x:v>
      </x:c>
      <x:c r="E160" t="str">
        <x:v>Referral</x:v>
      </x:c>
      <x:c r="F160" t="str">
        <x:v>35-44</x:v>
      </x:c>
    </x:row>
    <x:row r="161">
      <x:c r="A161" t="n">
        <x:v>160</x:v>
      </x:c>
      <x:c r="B161" s="16" t="n">
        <x:v>46174</x:v>
      </x:c>
      <x:c r="C161" t="str">
        <x:v>Standard</x:v>
      </x:c>
      <x:c r="D161" t="str">
        <x:v>United Kingdom</x:v>
      </x:c>
      <x:c r="E161" t="str">
        <x:v>Partnership</x:v>
      </x:c>
      <x:c r="F161" t="str">
        <x:v>35-44</x:v>
      </x:c>
    </x:row>
    <x:row r="162">
      <x:c r="A162" t="n">
        <x:v>161</x:v>
      </x:c>
      <x:c r="B162" s="16" t="n">
        <x:v>46054</x:v>
      </x:c>
      <x:c r="C162" t="str">
        <x:v>Plus</x:v>
      </x:c>
      <x:c r="D162" t="str">
        <x:v>Singapore</x:v>
      </x:c>
      <x:c r="E162" t="str">
        <x:v>Referral</x:v>
      </x:c>
      <x:c r="F162" t="str">
        <x:v>25-34</x:v>
      </x:c>
    </x:row>
    <x:row r="163">
      <x:c r="A163" t="n">
        <x:v>162</x:v>
      </x:c>
      <x:c r="B163" s="16" t="n">
        <x:v>46113</x:v>
      </x:c>
      <x:c r="C163" t="str">
        <x:v>Standard</x:v>
      </x:c>
      <x:c r="D163" t="str">
        <x:v>United Kingdom</x:v>
      </x:c>
      <x:c r="E163" t="str">
        <x:v>Paid Search</x:v>
      </x:c>
      <x:c r="F163" t="str">
        <x:v>35-44</x:v>
      </x:c>
    </x:row>
    <x:row r="164">
      <x:c r="A164" t="n">
        <x:v>163</x:v>
      </x:c>
      <x:c r="B164" s="16" t="n">
        <x:v>46054</x:v>
      </x:c>
      <x:c r="C164" t="str">
        <x:v>Standard</x:v>
      </x:c>
      <x:c r="D164" t="str">
        <x:v>UAE</x:v>
      </x:c>
      <x:c r="E164" t="str">
        <x:v>Organic</x:v>
      </x:c>
      <x:c r="F164" t="str">
        <x:v>45+</x:v>
      </x:c>
    </x:row>
    <x:row r="165">
      <x:c r="A165" t="n">
        <x:v>164</x:v>
      </x:c>
      <x:c r="B165" s="16" t="n">
        <x:v>46143</x:v>
      </x:c>
      <x:c r="C165" t="str">
        <x:v>Plus</x:v>
      </x:c>
      <x:c r="D165" t="str">
        <x:v>India</x:v>
      </x:c>
      <x:c r="E165" t="str">
        <x:v>Referral</x:v>
      </x:c>
      <x:c r="F165" t="str">
        <x:v>35-44</x:v>
      </x:c>
    </x:row>
    <x:row r="166">
      <x:c r="A166" t="n">
        <x:v>165</x:v>
      </x:c>
      <x:c r="B166" s="16" t="n">
        <x:v>46174</x:v>
      </x:c>
      <x:c r="C166" t="str">
        <x:v>Premium</x:v>
      </x:c>
      <x:c r="D166" t="str">
        <x:v>India</x:v>
      </x:c>
      <x:c r="E166" t="str">
        <x:v>Referral</x:v>
      </x:c>
      <x:c r="F166" t="str">
        <x:v>25-34</x:v>
      </x:c>
    </x:row>
    <x:row r="167">
      <x:c r="A167" t="n">
        <x:v>166</x:v>
      </x:c>
      <x:c r="B167" s="16" t="n">
        <x:v>46143</x:v>
      </x:c>
      <x:c r="C167" t="str">
        <x:v>Standard</x:v>
      </x:c>
      <x:c r="D167" t="str">
        <x:v>UAE</x:v>
      </x:c>
      <x:c r="E167" t="str">
        <x:v>Organic</x:v>
      </x:c>
      <x:c r="F167" t="str">
        <x:v>45+</x:v>
      </x:c>
    </x:row>
    <x:row r="168">
      <x:c r="A168" t="n">
        <x:v>167</x:v>
      </x:c>
      <x:c r="B168" s="16" t="n">
        <x:v>46082</x:v>
      </x:c>
      <x:c r="C168" t="str">
        <x:v>Standard</x:v>
      </x:c>
      <x:c r="D168" t="str">
        <x:v>United Kingdom</x:v>
      </x:c>
      <x:c r="E168" t="str">
        <x:v>Organic</x:v>
      </x:c>
      <x:c r="F168" t="str">
        <x:v>45+</x:v>
      </x:c>
    </x:row>
    <x:row r="169">
      <x:c r="A169" t="n">
        <x:v>168</x:v>
      </x:c>
      <x:c r="B169" s="16" t="n">
        <x:v>46174</x:v>
      </x:c>
      <x:c r="C169" t="str">
        <x:v>Standard</x:v>
      </x:c>
      <x:c r="D169" t="str">
        <x:v>India</x:v>
      </x:c>
      <x:c r="E169" t="str">
        <x:v>Referral</x:v>
      </x:c>
      <x:c r="F169" t="str">
        <x:v>25-34</x:v>
      </x:c>
    </x:row>
    <x:row r="170">
      <x:c r="A170" t="n">
        <x:v>169</x:v>
      </x:c>
      <x:c r="B170" s="16" t="n">
        <x:v>46082</x:v>
      </x:c>
      <x:c r="C170" t="str">
        <x:v>Standard</x:v>
      </x:c>
      <x:c r="D170" t="str">
        <x:v>UAE</x:v>
      </x:c>
      <x:c r="E170" t="str">
        <x:v>Partnership</x:v>
      </x:c>
      <x:c r="F170" t="str">
        <x:v>18-24</x:v>
      </x:c>
    </x:row>
    <x:row r="171">
      <x:c r="A171" t="n">
        <x:v>170</x:v>
      </x:c>
      <x:c r="B171" s="16" t="n">
        <x:v>46174</x:v>
      </x:c>
      <x:c r="C171" t="str">
        <x:v>Plus</x:v>
      </x:c>
      <x:c r="D171" t="str">
        <x:v>India</x:v>
      </x:c>
      <x:c r="E171" t="str">
        <x:v>Referral</x:v>
      </x:c>
      <x:c r="F171" t="str">
        <x:v>18-24</x:v>
      </x:c>
    </x:row>
    <x:row r="172">
      <x:c r="A172" t="n">
        <x:v>171</x:v>
      </x:c>
      <x:c r="B172" s="16" t="n">
        <x:v>46113</x:v>
      </x:c>
      <x:c r="C172" t="str">
        <x:v>Standard</x:v>
      </x:c>
      <x:c r="D172" t="str">
        <x:v>United Kingdom</x:v>
      </x:c>
      <x:c r="E172" t="str">
        <x:v>Organic</x:v>
      </x:c>
      <x:c r="F172" t="str">
        <x:v>25-34</x:v>
      </x:c>
    </x:row>
    <x:row r="173">
      <x:c r="A173" t="n">
        <x:v>172</x:v>
      </x:c>
      <x:c r="B173" s="16" t="n">
        <x:v>46143</x:v>
      </x:c>
      <x:c r="C173" t="str">
        <x:v>Premium</x:v>
      </x:c>
      <x:c r="D173" t="str">
        <x:v>Singapore</x:v>
      </x:c>
      <x:c r="E173" t="str">
        <x:v>Partnership</x:v>
      </x:c>
      <x:c r="F173" t="str">
        <x:v>25-34</x:v>
      </x:c>
    </x:row>
    <x:row r="174">
      <x:c r="A174" t="n">
        <x:v>173</x:v>
      </x:c>
      <x:c r="B174" s="16" t="n">
        <x:v>46143</x:v>
      </x:c>
      <x:c r="C174" t="str">
        <x:v>Premium</x:v>
      </x:c>
      <x:c r="D174" t="str">
        <x:v>UAE</x:v>
      </x:c>
      <x:c r="E174" t="str">
        <x:v>Referral</x:v>
      </x:c>
      <x:c r="F174" t="str">
        <x:v>35-44</x:v>
      </x:c>
    </x:row>
    <x:row r="175">
      <x:c r="A175" t="n">
        <x:v>174</x:v>
      </x:c>
      <x:c r="B175" s="16" t="n">
        <x:v>46082</x:v>
      </x:c>
      <x:c r="C175" t="str">
        <x:v>Standard</x:v>
      </x:c>
      <x:c r="D175" t="str">
        <x:v>Singapore</x:v>
      </x:c>
      <x:c r="E175" t="str">
        <x:v>Referral</x:v>
      </x:c>
      <x:c r="F175" t="str">
        <x:v>45+</x:v>
      </x:c>
    </x:row>
    <x:row r="176">
      <x:c r="A176" t="n">
        <x:v>175</x:v>
      </x:c>
      <x:c r="B176" s="16" t="n">
        <x:v>46054</x:v>
      </x:c>
      <x:c r="C176" t="str">
        <x:v>Plus</x:v>
      </x:c>
      <x:c r="D176" t="str">
        <x:v>India</x:v>
      </x:c>
      <x:c r="E176" t="str">
        <x:v>Paid Search</x:v>
      </x:c>
      <x:c r="F176" t="str">
        <x:v>35-44</x:v>
      </x:c>
    </x:row>
    <x:row r="177">
      <x:c r="A177" t="n">
        <x:v>176</x:v>
      </x:c>
      <x:c r="B177" s="16" t="n">
        <x:v>46143</x:v>
      </x:c>
      <x:c r="C177" t="str">
        <x:v>Premium</x:v>
      </x:c>
      <x:c r="D177" t="str">
        <x:v>UAE</x:v>
      </x:c>
      <x:c r="E177" t="str">
        <x:v>Organic</x:v>
      </x:c>
      <x:c r="F177" t="str">
        <x:v>45+</x:v>
      </x:c>
    </x:row>
    <x:row r="178">
      <x:c r="A178" t="n">
        <x:v>177</x:v>
      </x:c>
      <x:c r="B178" s="16" t="n">
        <x:v>46113</x:v>
      </x:c>
      <x:c r="C178" t="str">
        <x:v>Standard</x:v>
      </x:c>
      <x:c r="D178" t="str">
        <x:v>India</x:v>
      </x:c>
      <x:c r="E178" t="str">
        <x:v>Referral</x:v>
      </x:c>
      <x:c r="F178" t="str">
        <x:v>35-44</x:v>
      </x:c>
    </x:row>
    <x:row r="179">
      <x:c r="A179" t="n">
        <x:v>178</x:v>
      </x:c>
      <x:c r="B179" s="16" t="n">
        <x:v>46143</x:v>
      </x:c>
      <x:c r="C179" t="str">
        <x:v>Premium</x:v>
      </x:c>
      <x:c r="D179" t="str">
        <x:v>United Kingdom</x:v>
      </x:c>
      <x:c r="E179" t="str">
        <x:v>Paid Search</x:v>
      </x:c>
      <x:c r="F179" t="str">
        <x:v>25-34</x:v>
      </x:c>
    </x:row>
    <x:row r="180">
      <x:c r="A180" t="n">
        <x:v>179</x:v>
      </x:c>
      <x:c r="B180" s="16" t="n">
        <x:v>46113</x:v>
      </x:c>
      <x:c r="C180" t="str">
        <x:v>Plus</x:v>
      </x:c>
      <x:c r="D180" t="str">
        <x:v>United Kingdom</x:v>
      </x:c>
      <x:c r="E180" t="str">
        <x:v>Organic</x:v>
      </x:c>
      <x:c r="F180" t="str">
        <x:v>45+</x:v>
      </x:c>
    </x:row>
    <x:row r="181">
      <x:c r="A181" t="n">
        <x:v>180</x:v>
      </x:c>
      <x:c r="B181" s="16" t="n">
        <x:v>46143</x:v>
      </x:c>
      <x:c r="C181" t="str">
        <x:v>Standard</x:v>
      </x:c>
      <x:c r="D181" t="str">
        <x:v>Germany</x:v>
      </x:c>
      <x:c r="E181" t="str">
        <x:v>Partnership</x:v>
      </x:c>
      <x:c r="F181" t="str">
        <x:v>18-24</x:v>
      </x:c>
    </x:row>
    <x:row r="182">
      <x:c r="A182" t="n">
        <x:v>181</x:v>
      </x:c>
      <x:c r="B182" s="16" t="n">
        <x:v>46143</x:v>
      </x:c>
      <x:c r="C182" t="str">
        <x:v>Standard</x:v>
      </x:c>
      <x:c r="D182" t="str">
        <x:v>Singapore</x:v>
      </x:c>
      <x:c r="E182" t="str">
        <x:v>Organic</x:v>
      </x:c>
      <x:c r="F182" t="str">
        <x:v>35-44</x:v>
      </x:c>
    </x:row>
    <x:row r="183">
      <x:c r="A183" t="n">
        <x:v>182</x:v>
      </x:c>
      <x:c r="B183" s="16" t="n">
        <x:v>46082</x:v>
      </x:c>
      <x:c r="C183" t="str">
        <x:v>Plus</x:v>
      </x:c>
      <x:c r="D183" t="str">
        <x:v>UAE</x:v>
      </x:c>
      <x:c r="E183" t="str">
        <x:v>Organic</x:v>
      </x:c>
      <x:c r="F183" t="str">
        <x:v>25-34</x:v>
      </x:c>
    </x:row>
    <x:row r="184">
      <x:c r="A184" t="n">
        <x:v>183</x:v>
      </x:c>
      <x:c r="B184" s="16" t="n">
        <x:v>46174</x:v>
      </x:c>
      <x:c r="C184" t="str">
        <x:v>Standard</x:v>
      </x:c>
      <x:c r="D184" t="str">
        <x:v>UAE</x:v>
      </x:c>
      <x:c r="E184" t="str">
        <x:v>Organic</x:v>
      </x:c>
      <x:c r="F184" t="str">
        <x:v>25-34</x:v>
      </x:c>
    </x:row>
    <x:row r="185">
      <x:c r="A185" t="n">
        <x:v>184</x:v>
      </x:c>
      <x:c r="B185" s="16" t="n">
        <x:v>46143</x:v>
      </x:c>
      <x:c r="C185" t="str">
        <x:v>Standard</x:v>
      </x:c>
      <x:c r="D185" t="str">
        <x:v>India</x:v>
      </x:c>
      <x:c r="E185" t="str">
        <x:v>Organic</x:v>
      </x:c>
      <x:c r="F185" t="str">
        <x:v>35-44</x:v>
      </x:c>
    </x:row>
    <x:row r="186">
      <x:c r="A186" t="n">
        <x:v>185</x:v>
      </x:c>
      <x:c r="B186" s="16" t="n">
        <x:v>46113</x:v>
      </x:c>
      <x:c r="C186" t="str">
        <x:v>Standard</x:v>
      </x:c>
      <x:c r="D186" t="str">
        <x:v>United Kingdom</x:v>
      </x:c>
      <x:c r="E186" t="str">
        <x:v>Partnership</x:v>
      </x:c>
      <x:c r="F186" t="str">
        <x:v>45+</x:v>
      </x:c>
    </x:row>
    <x:row r="187">
      <x:c r="A187" t="n">
        <x:v>186</x:v>
      </x:c>
      <x:c r="B187" s="16" t="n">
        <x:v>46082</x:v>
      </x:c>
      <x:c r="C187" t="str">
        <x:v>Standard</x:v>
      </x:c>
      <x:c r="D187" t="str">
        <x:v>India</x:v>
      </x:c>
      <x:c r="E187" t="str">
        <x:v>Organic</x:v>
      </x:c>
      <x:c r="F187" t="str">
        <x:v>18-24</x:v>
      </x:c>
    </x:row>
    <x:row r="188">
      <x:c r="A188" t="n">
        <x:v>187</x:v>
      </x:c>
      <x:c r="B188" s="16" t="n">
        <x:v>46143</x:v>
      </x:c>
      <x:c r="C188" t="str">
        <x:v>Standard</x:v>
      </x:c>
      <x:c r="D188" t="str">
        <x:v>India</x:v>
      </x:c>
      <x:c r="E188" t="str">
        <x:v>Paid Search</x:v>
      </x:c>
      <x:c r="F188" t="str">
        <x:v>35-44</x:v>
      </x:c>
    </x:row>
    <x:row r="189">
      <x:c r="A189" t="n">
        <x:v>188</x:v>
      </x:c>
      <x:c r="B189" s="16" t="n">
        <x:v>46113</x:v>
      </x:c>
      <x:c r="C189" t="str">
        <x:v>Standard</x:v>
      </x:c>
      <x:c r="D189" t="str">
        <x:v>United Kingdom</x:v>
      </x:c>
      <x:c r="E189" t="str">
        <x:v>Paid Search</x:v>
      </x:c>
      <x:c r="F189" t="str">
        <x:v>25-34</x:v>
      </x:c>
    </x:row>
    <x:row r="190">
      <x:c r="A190" t="n">
        <x:v>189</x:v>
      </x:c>
      <x:c r="B190" s="16" t="n">
        <x:v>46174</x:v>
      </x:c>
      <x:c r="C190" t="str">
        <x:v>Standard</x:v>
      </x:c>
      <x:c r="D190" t="str">
        <x:v>UAE</x:v>
      </x:c>
      <x:c r="E190" t="str">
        <x:v>Referral</x:v>
      </x:c>
      <x:c r="F190" t="str">
        <x:v>35-44</x:v>
      </x:c>
    </x:row>
    <x:row r="191">
      <x:c r="A191" t="n">
        <x:v>190</x:v>
      </x:c>
      <x:c r="B191" s="16" t="n">
        <x:v>46143</x:v>
      </x:c>
      <x:c r="C191" t="str">
        <x:v>Standard</x:v>
      </x:c>
      <x:c r="D191" t="str">
        <x:v>Singapore</x:v>
      </x:c>
      <x:c r="E191" t="str">
        <x:v>Organic</x:v>
      </x:c>
      <x:c r="F191" t="str">
        <x:v>45+</x:v>
      </x:c>
    </x:row>
    <x:row r="192">
      <x:c r="A192" t="n">
        <x:v>191</x:v>
      </x:c>
      <x:c r="B192" s="16" t="n">
        <x:v>46082</x:v>
      </x:c>
      <x:c r="C192" t="str">
        <x:v>Standard</x:v>
      </x:c>
      <x:c r="D192" t="str">
        <x:v>United Kingdom</x:v>
      </x:c>
      <x:c r="E192" t="str">
        <x:v>Organic</x:v>
      </x:c>
      <x:c r="F192" t="str">
        <x:v>35-44</x:v>
      </x:c>
    </x:row>
    <x:row r="193">
      <x:c r="A193" t="n">
        <x:v>192</x:v>
      </x:c>
      <x:c r="B193" s="16" t="n">
        <x:v>46143</x:v>
      </x:c>
      <x:c r="C193" t="str">
        <x:v>Standard</x:v>
      </x:c>
      <x:c r="D193" t="str">
        <x:v>India</x:v>
      </x:c>
      <x:c r="E193" t="str">
        <x:v>Partnership</x:v>
      </x:c>
      <x:c r="F193" t="str">
        <x:v>35-44</x:v>
      </x:c>
    </x:row>
    <x:row r="194">
      <x:c r="A194" t="n">
        <x:v>193</x:v>
      </x:c>
      <x:c r="B194" s="16" t="n">
        <x:v>46174</x:v>
      </x:c>
      <x:c r="C194" t="str">
        <x:v>Premium</x:v>
      </x:c>
      <x:c r="D194" t="str">
        <x:v>Germany</x:v>
      </x:c>
      <x:c r="E194" t="str">
        <x:v>Partnership</x:v>
      </x:c>
      <x:c r="F194" t="str">
        <x:v>25-34</x:v>
      </x:c>
    </x:row>
    <x:row r="195">
      <x:c r="A195" t="n">
        <x:v>194</x:v>
      </x:c>
      <x:c r="B195" s="16" t="n">
        <x:v>46113</x:v>
      </x:c>
      <x:c r="C195" t="str">
        <x:v>Plus</x:v>
      </x:c>
      <x:c r="D195" t="str">
        <x:v>India</x:v>
      </x:c>
      <x:c r="E195" t="str">
        <x:v>Organic</x:v>
      </x:c>
      <x:c r="F195" t="str">
        <x:v>35-44</x:v>
      </x:c>
    </x:row>
    <x:row r="196">
      <x:c r="A196" t="n">
        <x:v>195</x:v>
      </x:c>
      <x:c r="B196" s="16" t="n">
        <x:v>46113</x:v>
      </x:c>
      <x:c r="C196" t="str">
        <x:v>Standard</x:v>
      </x:c>
      <x:c r="D196" t="str">
        <x:v>Germany</x:v>
      </x:c>
      <x:c r="E196" t="str">
        <x:v>Organic</x:v>
      </x:c>
      <x:c r="F196" t="str">
        <x:v>25-34</x:v>
      </x:c>
    </x:row>
    <x:row r="197">
      <x:c r="A197" t="n">
        <x:v>196</x:v>
      </x:c>
      <x:c r="B197" s="16" t="n">
        <x:v>46174</x:v>
      </x:c>
      <x:c r="C197" t="str">
        <x:v>Premium</x:v>
      </x:c>
      <x:c r="D197" t="str">
        <x:v>United Kingdom</x:v>
      </x:c>
      <x:c r="E197" t="str">
        <x:v>Organic</x:v>
      </x:c>
      <x:c r="F197" t="str">
        <x:v>18-24</x:v>
      </x:c>
    </x:row>
    <x:row r="198">
      <x:c r="A198" t="n">
        <x:v>197</x:v>
      </x:c>
      <x:c r="B198" s="16" t="n">
        <x:v>46113</x:v>
      </x:c>
      <x:c r="C198" t="str">
        <x:v>Standard</x:v>
      </x:c>
      <x:c r="D198" t="str">
        <x:v>Singapore</x:v>
      </x:c>
      <x:c r="E198" t="str">
        <x:v>Referral</x:v>
      </x:c>
      <x:c r="F198" t="str">
        <x:v>18-24</x:v>
      </x:c>
    </x:row>
    <x:row r="199">
      <x:c r="A199" t="n">
        <x:v>198</x:v>
      </x:c>
      <x:c r="B199" s="16" t="n">
        <x:v>46054</x:v>
      </x:c>
      <x:c r="C199" t="str">
        <x:v>Premium</x:v>
      </x:c>
      <x:c r="D199" t="str">
        <x:v>UAE</x:v>
      </x:c>
      <x:c r="E199" t="str">
        <x:v>Referral</x:v>
      </x:c>
      <x:c r="F199" t="str">
        <x:v>45+</x:v>
      </x:c>
    </x:row>
    <x:row r="200">
      <x:c r="A200" t="n">
        <x:v>199</x:v>
      </x:c>
      <x:c r="B200" s="16" t="n">
        <x:v>46174</x:v>
      </x:c>
      <x:c r="C200" t="str">
        <x:v>Premium</x:v>
      </x:c>
      <x:c r="D200" t="str">
        <x:v>India</x:v>
      </x:c>
      <x:c r="E200" t="str">
        <x:v>Organic</x:v>
      </x:c>
      <x:c r="F200" t="str">
        <x:v>25-34</x:v>
      </x:c>
    </x:row>
    <x:row r="201">
      <x:c r="A201" t="n">
        <x:v>200</x:v>
      </x:c>
      <x:c r="B201" s="16" t="n">
        <x:v>46174</x:v>
      </x:c>
      <x:c r="C201" t="str">
        <x:v>Plus</x:v>
      </x:c>
      <x:c r="D201" t="str">
        <x:v>India</x:v>
      </x:c>
      <x:c r="E201" t="str">
        <x:v>Referral</x:v>
      </x:c>
      <x:c r="F201" t="str">
        <x:v>45+</x:v>
      </x:c>
    </x:row>
    <x:row r="202">
      <x:c r="A202" t="n">
        <x:v>201</x:v>
      </x:c>
      <x:c r="B202" s="16" t="n">
        <x:v>46143</x:v>
      </x:c>
      <x:c r="C202" t="str">
        <x:v>Plus</x:v>
      </x:c>
      <x:c r="D202" t="str">
        <x:v>United Kingdom</x:v>
      </x:c>
      <x:c r="E202" t="str">
        <x:v>Referral</x:v>
      </x:c>
      <x:c r="F202" t="str">
        <x:v>35-44</x:v>
      </x:c>
    </x:row>
    <x:row r="203">
      <x:c r="A203" t="n">
        <x:v>202</x:v>
      </x:c>
      <x:c r="B203" s="16" t="n">
        <x:v>46113</x:v>
      </x:c>
      <x:c r="C203" t="str">
        <x:v>Plus</x:v>
      </x:c>
      <x:c r="D203" t="str">
        <x:v>India</x:v>
      </x:c>
      <x:c r="E203" t="str">
        <x:v>Organic</x:v>
      </x:c>
      <x:c r="F203" t="str">
        <x:v>18-24</x:v>
      </x:c>
    </x:row>
    <x:row r="204">
      <x:c r="A204" t="n">
        <x:v>203</x:v>
      </x:c>
      <x:c r="B204" s="16" t="n">
        <x:v>46113</x:v>
      </x:c>
      <x:c r="C204" t="str">
        <x:v>Plus</x:v>
      </x:c>
      <x:c r="D204" t="str">
        <x:v>India</x:v>
      </x:c>
      <x:c r="E204" t="str">
        <x:v>Organic</x:v>
      </x:c>
      <x:c r="F204" t="str">
        <x:v>25-34</x:v>
      </x:c>
    </x:row>
    <x:row r="205">
      <x:c r="A205" t="n">
        <x:v>204</x:v>
      </x:c>
      <x:c r="B205" s="16" t="n">
        <x:v>46174</x:v>
      </x:c>
      <x:c r="C205" t="str">
        <x:v>Premium</x:v>
      </x:c>
      <x:c r="D205" t="str">
        <x:v>UAE</x:v>
      </x:c>
      <x:c r="E205" t="str">
        <x:v>Organic</x:v>
      </x:c>
      <x:c r="F205" t="str">
        <x:v>45+</x:v>
      </x:c>
    </x:row>
    <x:row r="206">
      <x:c r="A206" t="n">
        <x:v>205</x:v>
      </x:c>
      <x:c r="B206" s="16" t="n">
        <x:v>46082</x:v>
      </x:c>
      <x:c r="C206" t="str">
        <x:v>Plus</x:v>
      </x:c>
      <x:c r="D206" t="str">
        <x:v>Singapore</x:v>
      </x:c>
      <x:c r="E206" t="str">
        <x:v>Organic</x:v>
      </x:c>
      <x:c r="F206" t="str">
        <x:v>25-34</x:v>
      </x:c>
    </x:row>
    <x:row r="207">
      <x:c r="A207" t="n">
        <x:v>206</x:v>
      </x:c>
      <x:c r="B207" s="16" t="n">
        <x:v>46113</x:v>
      </x:c>
      <x:c r="C207" t="str">
        <x:v>Premium</x:v>
      </x:c>
      <x:c r="D207" t="str">
        <x:v>India</x:v>
      </x:c>
      <x:c r="E207" t="str">
        <x:v>Paid Search</x:v>
      </x:c>
      <x:c r="F207" t="str">
        <x:v>18-24</x:v>
      </x:c>
    </x:row>
    <x:row r="208">
      <x:c r="A208" t="n">
        <x:v>207</x:v>
      </x:c>
      <x:c r="B208" s="16" t="n">
        <x:v>46143</x:v>
      </x:c>
      <x:c r="C208" t="str">
        <x:v>Standard</x:v>
      </x:c>
      <x:c r="D208" t="str">
        <x:v>India</x:v>
      </x:c>
      <x:c r="E208" t="str">
        <x:v>Paid Search</x:v>
      </x:c>
      <x:c r="F208" t="str">
        <x:v>25-34</x:v>
      </x:c>
    </x:row>
    <x:row r="209">
      <x:c r="A209" t="n">
        <x:v>208</x:v>
      </x:c>
      <x:c r="B209" s="16" t="n">
        <x:v>46143</x:v>
      </x:c>
      <x:c r="C209" t="str">
        <x:v>Metal</x:v>
      </x:c>
      <x:c r="D209" t="str">
        <x:v>UAE</x:v>
      </x:c>
      <x:c r="E209" t="str">
        <x:v>Organic</x:v>
      </x:c>
      <x:c r="F209" t="str">
        <x:v>35-44</x:v>
      </x:c>
    </x:row>
    <x:row r="210">
      <x:c r="A210" t="n">
        <x:v>209</x:v>
      </x:c>
      <x:c r="B210" s="16" t="n">
        <x:v>46113</x:v>
      </x:c>
      <x:c r="C210" t="str">
        <x:v>Standard</x:v>
      </x:c>
      <x:c r="D210" t="str">
        <x:v>UAE</x:v>
      </x:c>
      <x:c r="E210" t="str">
        <x:v>Referral</x:v>
      </x:c>
      <x:c r="F210" t="str">
        <x:v>35-44</x:v>
      </x:c>
    </x:row>
    <x:row r="211">
      <x:c r="A211" t="n">
        <x:v>210</x:v>
      </x:c>
      <x:c r="B211" s="16" t="n">
        <x:v>46174</x:v>
      </x:c>
      <x:c r="C211" t="str">
        <x:v>Standard</x:v>
      </x:c>
      <x:c r="D211" t="str">
        <x:v>UAE</x:v>
      </x:c>
      <x:c r="E211" t="str">
        <x:v>Organic</x:v>
      </x:c>
      <x:c r="F211" t="str">
        <x:v>18-24</x:v>
      </x:c>
    </x:row>
    <x:row r="212">
      <x:c r="A212" t="n">
        <x:v>211</x:v>
      </x:c>
      <x:c r="B212" s="16" t="n">
        <x:v>46143</x:v>
      </x:c>
      <x:c r="C212" t="str">
        <x:v>Standard</x:v>
      </x:c>
      <x:c r="D212" t="str">
        <x:v>India</x:v>
      </x:c>
      <x:c r="E212" t="str">
        <x:v>Organic</x:v>
      </x:c>
      <x:c r="F212" t="str">
        <x:v>18-24</x:v>
      </x:c>
    </x:row>
    <x:row r="213">
      <x:c r="A213" t="n">
        <x:v>212</x:v>
      </x:c>
      <x:c r="B213" s="16" t="n">
        <x:v>46143</x:v>
      </x:c>
      <x:c r="C213" t="str">
        <x:v>Standard</x:v>
      </x:c>
      <x:c r="D213" t="str">
        <x:v>UAE</x:v>
      </x:c>
      <x:c r="E213" t="str">
        <x:v>Referral</x:v>
      </x:c>
      <x:c r="F213" t="str">
        <x:v>35-44</x:v>
      </x:c>
    </x:row>
    <x:row r="214">
      <x:c r="A214" t="n">
        <x:v>213</x:v>
      </x:c>
      <x:c r="B214" s="16" t="n">
        <x:v>46143</x:v>
      </x:c>
      <x:c r="C214" t="str">
        <x:v>Premium</x:v>
      </x:c>
      <x:c r="D214" t="str">
        <x:v>India</x:v>
      </x:c>
      <x:c r="E214" t="str">
        <x:v>Paid Search</x:v>
      </x:c>
      <x:c r="F214" t="str">
        <x:v>35-44</x:v>
      </x:c>
    </x:row>
    <x:row r="215">
      <x:c r="A215" t="n">
        <x:v>214</x:v>
      </x:c>
      <x:c r="B215" s="16" t="n">
        <x:v>46143</x:v>
      </x:c>
      <x:c r="C215" t="str">
        <x:v>Premium</x:v>
      </x:c>
      <x:c r="D215" t="str">
        <x:v>UAE</x:v>
      </x:c>
      <x:c r="E215" t="str">
        <x:v>Partnership</x:v>
      </x:c>
      <x:c r="F215" t="str">
        <x:v>35-44</x:v>
      </x:c>
    </x:row>
    <x:row r="216">
      <x:c r="A216" t="n">
        <x:v>215</x:v>
      </x:c>
      <x:c r="B216" s="16" t="n">
        <x:v>46143</x:v>
      </x:c>
      <x:c r="C216" t="str">
        <x:v>Metal</x:v>
      </x:c>
      <x:c r="D216" t="str">
        <x:v>India</x:v>
      </x:c>
      <x:c r="E216" t="str">
        <x:v>Paid Search</x:v>
      </x:c>
      <x:c r="F216" t="str">
        <x:v>25-34</x:v>
      </x:c>
    </x:row>
    <x:row r="217">
      <x:c r="A217" t="n">
        <x:v>216</x:v>
      </x:c>
      <x:c r="B217" s="16" t="n">
        <x:v>46113</x:v>
      </x:c>
      <x:c r="C217" t="str">
        <x:v>Standard</x:v>
      </x:c>
      <x:c r="D217" t="str">
        <x:v>Germany</x:v>
      </x:c>
      <x:c r="E217" t="str">
        <x:v>Organic</x:v>
      </x:c>
      <x:c r="F217" t="str">
        <x:v>35-44</x:v>
      </x:c>
    </x:row>
    <x:row r="218">
      <x:c r="A218" t="n">
        <x:v>217</x:v>
      </x:c>
      <x:c r="B218" s="16" t="n">
        <x:v>46082</x:v>
      </x:c>
      <x:c r="C218" t="str">
        <x:v>Standard</x:v>
      </x:c>
      <x:c r="D218" t="str">
        <x:v>United Kingdom</x:v>
      </x:c>
      <x:c r="E218" t="str">
        <x:v>Referral</x:v>
      </x:c>
      <x:c r="F218" t="str">
        <x:v>35-44</x:v>
      </x:c>
    </x:row>
    <x:row r="219">
      <x:c r="A219" t="n">
        <x:v>218</x:v>
      </x:c>
      <x:c r="B219" s="16" t="n">
        <x:v>46054</x:v>
      </x:c>
      <x:c r="C219" t="str">
        <x:v>Plus</x:v>
      </x:c>
      <x:c r="D219" t="str">
        <x:v>India</x:v>
      </x:c>
      <x:c r="E219" t="str">
        <x:v>Organic</x:v>
      </x:c>
      <x:c r="F219" t="str">
        <x:v>25-34</x:v>
      </x:c>
    </x:row>
    <x:row r="220">
      <x:c r="A220" t="n">
        <x:v>219</x:v>
      </x:c>
      <x:c r="B220" s="16" t="n">
        <x:v>46113</x:v>
      </x:c>
      <x:c r="C220" t="str">
        <x:v>Standard</x:v>
      </x:c>
      <x:c r="D220" t="str">
        <x:v>Singapore</x:v>
      </x:c>
      <x:c r="E220" t="str">
        <x:v>Organic</x:v>
      </x:c>
      <x:c r="F220" t="str">
        <x:v>45+</x:v>
      </x:c>
    </x:row>
    <x:row r="221">
      <x:c r="A221" t="n">
        <x:v>220</x:v>
      </x:c>
      <x:c r="B221" s="16" t="n">
        <x:v>46082</x:v>
      </x:c>
      <x:c r="C221" t="str">
        <x:v>Premium</x:v>
      </x:c>
      <x:c r="D221" t="str">
        <x:v>UAE</x:v>
      </x:c>
      <x:c r="E221" t="str">
        <x:v>Partnership</x:v>
      </x:c>
      <x:c r="F221" t="str">
        <x:v>18-24</x:v>
      </x:c>
    </x:row>
    <x:row r="222">
      <x:c r="A222" t="n">
        <x:v>221</x:v>
      </x:c>
      <x:c r="B222" s="16" t="n">
        <x:v>46113</x:v>
      </x:c>
      <x:c r="C222" t="str">
        <x:v>Standard</x:v>
      </x:c>
      <x:c r="D222" t="str">
        <x:v>UAE</x:v>
      </x:c>
      <x:c r="E222" t="str">
        <x:v>Referral</x:v>
      </x:c>
      <x:c r="F222" t="str">
        <x:v>18-24</x:v>
      </x:c>
    </x:row>
    <x:row r="223">
      <x:c r="A223" t="n">
        <x:v>222</x:v>
      </x:c>
      <x:c r="B223" s="16" t="n">
        <x:v>46174</x:v>
      </x:c>
      <x:c r="C223" t="str">
        <x:v>Premium</x:v>
      </x:c>
      <x:c r="D223" t="str">
        <x:v>United Kingdom</x:v>
      </x:c>
      <x:c r="E223" t="str">
        <x:v>Referral</x:v>
      </x:c>
      <x:c r="F223" t="str">
        <x:v>35-44</x:v>
      </x:c>
    </x:row>
    <x:row r="224">
      <x:c r="A224" t="n">
        <x:v>223</x:v>
      </x:c>
      <x:c r="B224" s="16" t="n">
        <x:v>46113</x:v>
      </x:c>
      <x:c r="C224" t="str">
        <x:v>Plus</x:v>
      </x:c>
      <x:c r="D224" t="str">
        <x:v>India</x:v>
      </x:c>
      <x:c r="E224" t="str">
        <x:v>Organic</x:v>
      </x:c>
      <x:c r="F224" t="str">
        <x:v>35-44</x:v>
      </x:c>
    </x:row>
    <x:row r="225">
      <x:c r="A225" t="n">
        <x:v>224</x:v>
      </x:c>
      <x:c r="B225" s="16" t="n">
        <x:v>46054</x:v>
      </x:c>
      <x:c r="C225" t="str">
        <x:v>Metal</x:v>
      </x:c>
      <x:c r="D225" t="str">
        <x:v>United Kingdom</x:v>
      </x:c>
      <x:c r="E225" t="str">
        <x:v>Paid Search</x:v>
      </x:c>
      <x:c r="F225" t="str">
        <x:v>18-24</x:v>
      </x:c>
    </x:row>
    <x:row r="226">
      <x:c r="A226" t="n">
        <x:v>225</x:v>
      </x:c>
      <x:c r="B226" s="16" t="n">
        <x:v>46113</x:v>
      </x:c>
      <x:c r="C226" t="str">
        <x:v>Standard</x:v>
      </x:c>
      <x:c r="D226" t="str">
        <x:v>India</x:v>
      </x:c>
      <x:c r="E226" t="str">
        <x:v>Referral</x:v>
      </x:c>
      <x:c r="F226" t="str">
        <x:v>45+</x:v>
      </x:c>
    </x:row>
    <x:row r="227">
      <x:c r="A227" t="n">
        <x:v>226</x:v>
      </x:c>
      <x:c r="B227" s="16" t="n">
        <x:v>46113</x:v>
      </x:c>
      <x:c r="C227" t="str">
        <x:v>Standard</x:v>
      </x:c>
      <x:c r="D227" t="str">
        <x:v>UAE</x:v>
      </x:c>
      <x:c r="E227" t="str">
        <x:v>Paid Search</x:v>
      </x:c>
      <x:c r="F227" t="str">
        <x:v>18-24</x:v>
      </x:c>
    </x:row>
    <x:row r="228">
      <x:c r="A228" t="n">
        <x:v>227</x:v>
      </x:c>
      <x:c r="B228" s="16" t="n">
        <x:v>46113</x:v>
      </x:c>
      <x:c r="C228" t="str">
        <x:v>Standard</x:v>
      </x:c>
      <x:c r="D228" t="str">
        <x:v>Germany</x:v>
      </x:c>
      <x:c r="E228" t="str">
        <x:v>Organic</x:v>
      </x:c>
      <x:c r="F228" t="str">
        <x:v>18-24</x:v>
      </x:c>
    </x:row>
    <x:row r="229">
      <x:c r="A229" t="n">
        <x:v>228</x:v>
      </x:c>
      <x:c r="B229" s="16" t="n">
        <x:v>46174</x:v>
      </x:c>
      <x:c r="C229" t="str">
        <x:v>Plus</x:v>
      </x:c>
      <x:c r="D229" t="str">
        <x:v>United Kingdom</x:v>
      </x:c>
      <x:c r="E229" t="str">
        <x:v>Paid Search</x:v>
      </x:c>
      <x:c r="F229" t="str">
        <x:v>45+</x:v>
      </x:c>
    </x:row>
    <x:row r="230">
      <x:c r="A230" t="n">
        <x:v>229</x:v>
      </x:c>
      <x:c r="B230" s="16" t="n">
        <x:v>46143</x:v>
      </x:c>
      <x:c r="C230" t="str">
        <x:v>Standard</x:v>
      </x:c>
      <x:c r="D230" t="str">
        <x:v>Singapore</x:v>
      </x:c>
      <x:c r="E230" t="str">
        <x:v>Referral</x:v>
      </x:c>
      <x:c r="F230" t="str">
        <x:v>35-44</x:v>
      </x:c>
    </x:row>
    <x:row r="231">
      <x:c r="A231" t="n">
        <x:v>230</x:v>
      </x:c>
      <x:c r="B231" s="16" t="n">
        <x:v>46174</x:v>
      </x:c>
      <x:c r="C231" t="str">
        <x:v>Standard</x:v>
      </x:c>
      <x:c r="D231" t="str">
        <x:v>United Kingdom</x:v>
      </x:c>
      <x:c r="E231" t="str">
        <x:v>Referral</x:v>
      </x:c>
      <x:c r="F231" t="str">
        <x:v>35-44</x:v>
      </x:c>
    </x:row>
    <x:row r="232">
      <x:c r="A232" t="n">
        <x:v>231</x:v>
      </x:c>
      <x:c r="B232" s="16" t="n">
        <x:v>46143</x:v>
      </x:c>
      <x:c r="C232" t="str">
        <x:v>Standard</x:v>
      </x:c>
      <x:c r="D232" t="str">
        <x:v>United Kingdom</x:v>
      </x:c>
      <x:c r="E232" t="str">
        <x:v>Partnership</x:v>
      </x:c>
      <x:c r="F232" t="str">
        <x:v>45+</x:v>
      </x:c>
    </x:row>
    <x:row r="233">
      <x:c r="A233" t="n">
        <x:v>232</x:v>
      </x:c>
      <x:c r="B233" s="16" t="n">
        <x:v>46082</x:v>
      </x:c>
      <x:c r="C233" t="str">
        <x:v>Metal</x:v>
      </x:c>
      <x:c r="D233" t="str">
        <x:v>UAE</x:v>
      </x:c>
      <x:c r="E233" t="str">
        <x:v>Paid Search</x:v>
      </x:c>
      <x:c r="F233" t="str">
        <x:v>45+</x:v>
      </x:c>
    </x:row>
    <x:row r="234">
      <x:c r="A234" t="n">
        <x:v>233</x:v>
      </x:c>
      <x:c r="B234" s="16" t="n">
        <x:v>46113</x:v>
      </x:c>
      <x:c r="C234" t="str">
        <x:v>Premium</x:v>
      </x:c>
      <x:c r="D234" t="str">
        <x:v>Germany</x:v>
      </x:c>
      <x:c r="E234" t="str">
        <x:v>Referral</x:v>
      </x:c>
      <x:c r="F234" t="str">
        <x:v>45+</x:v>
      </x:c>
    </x:row>
    <x:row r="235">
      <x:c r="A235" t="n">
        <x:v>234</x:v>
      </x:c>
      <x:c r="B235" s="16" t="n">
        <x:v>46113</x:v>
      </x:c>
      <x:c r="C235" t="str">
        <x:v>Premium</x:v>
      </x:c>
      <x:c r="D235" t="str">
        <x:v>United Kingdom</x:v>
      </x:c>
      <x:c r="E235" t="str">
        <x:v>Referral</x:v>
      </x:c>
      <x:c r="F235" t="str">
        <x:v>35-44</x:v>
      </x:c>
    </x:row>
    <x:row r="236">
      <x:c r="A236" t="n">
        <x:v>235</x:v>
      </x:c>
      <x:c r="B236" s="16" t="n">
        <x:v>46174</x:v>
      </x:c>
      <x:c r="C236" t="str">
        <x:v>Premium</x:v>
      </x:c>
      <x:c r="D236" t="str">
        <x:v>India</x:v>
      </x:c>
      <x:c r="E236" t="str">
        <x:v>Paid Search</x:v>
      </x:c>
      <x:c r="F236" t="str">
        <x:v>35-44</x:v>
      </x:c>
    </x:row>
    <x:row r="237">
      <x:c r="A237" t="n">
        <x:v>236</x:v>
      </x:c>
      <x:c r="B237" s="16" t="n">
        <x:v>46174</x:v>
      </x:c>
      <x:c r="C237" t="str">
        <x:v>Premium</x:v>
      </x:c>
      <x:c r="D237" t="str">
        <x:v>Germany</x:v>
      </x:c>
      <x:c r="E237" t="str">
        <x:v>Referral</x:v>
      </x:c>
      <x:c r="F237" t="str">
        <x:v>35-44</x:v>
      </x:c>
    </x:row>
    <x:row r="238">
      <x:c r="A238" t="n">
        <x:v>237</x:v>
      </x:c>
      <x:c r="B238" s="16" t="n">
        <x:v>46143</x:v>
      </x:c>
      <x:c r="C238" t="str">
        <x:v>Metal</x:v>
      </x:c>
      <x:c r="D238" t="str">
        <x:v>India</x:v>
      </x:c>
      <x:c r="E238" t="str">
        <x:v>Paid Search</x:v>
      </x:c>
      <x:c r="F238" t="str">
        <x:v>18-24</x:v>
      </x:c>
    </x:row>
    <x:row r="239">
      <x:c r="A239" t="n">
        <x:v>238</x:v>
      </x:c>
      <x:c r="B239" s="16" t="n">
        <x:v>46113</x:v>
      </x:c>
      <x:c r="C239" t="str">
        <x:v>Standard</x:v>
      </x:c>
      <x:c r="D239" t="str">
        <x:v>United Kingdom</x:v>
      </x:c>
      <x:c r="E239" t="str">
        <x:v>Organic</x:v>
      </x:c>
      <x:c r="F239" t="str">
        <x:v>35-44</x:v>
      </x:c>
    </x:row>
    <x:row r="240">
      <x:c r="A240" t="n">
        <x:v>239</x:v>
      </x:c>
      <x:c r="B240" s="16" t="n">
        <x:v>46113</x:v>
      </x:c>
      <x:c r="C240" t="str">
        <x:v>Standard</x:v>
      </x:c>
      <x:c r="D240" t="str">
        <x:v>United Kingdom</x:v>
      </x:c>
      <x:c r="E240" t="str">
        <x:v>Partnership</x:v>
      </x:c>
      <x:c r="F240" t="str">
        <x:v>25-34</x:v>
      </x:c>
    </x:row>
    <x:row r="241">
      <x:c r="A241" t="n">
        <x:v>240</x:v>
      </x:c>
      <x:c r="B241" s="16" t="n">
        <x:v>46082</x:v>
      </x:c>
      <x:c r="C241" t="str">
        <x:v>Premium</x:v>
      </x:c>
      <x:c r="D241" t="str">
        <x:v>India</x:v>
      </x:c>
      <x:c r="E241" t="str">
        <x:v>Referral</x:v>
      </x:c>
      <x:c r="F241" t="str">
        <x:v>25-34</x:v>
      </x:c>
    </x:row>
    <x:row r="242">
      <x:c r="A242" t="n">
        <x:v>241</x:v>
      </x:c>
      <x:c r="B242" s="16" t="n">
        <x:v>46054</x:v>
      </x:c>
      <x:c r="C242" t="str">
        <x:v>Plus</x:v>
      </x:c>
      <x:c r="D242" t="str">
        <x:v>UAE</x:v>
      </x:c>
      <x:c r="E242" t="str">
        <x:v>Referral</x:v>
      </x:c>
      <x:c r="F242" t="str">
        <x:v>45+</x:v>
      </x:c>
    </x:row>
    <x:row r="243">
      <x:c r="A243" t="n">
        <x:v>242</x:v>
      </x:c>
      <x:c r="B243" s="16" t="n">
        <x:v>46082</x:v>
      </x:c>
      <x:c r="C243" t="str">
        <x:v>Premium</x:v>
      </x:c>
      <x:c r="D243" t="str">
        <x:v>Singapore</x:v>
      </x:c>
      <x:c r="E243" t="str">
        <x:v>Organic</x:v>
      </x:c>
      <x:c r="F243" t="str">
        <x:v>45+</x:v>
      </x:c>
    </x:row>
    <x:row r="244">
      <x:c r="A244" t="n">
        <x:v>243</x:v>
      </x:c>
      <x:c r="B244" s="16" t="n">
        <x:v>46143</x:v>
      </x:c>
      <x:c r="C244" t="str">
        <x:v>Standard</x:v>
      </x:c>
      <x:c r="D244" t="str">
        <x:v>United Kingdom</x:v>
      </x:c>
      <x:c r="E244" t="str">
        <x:v>Referral</x:v>
      </x:c>
      <x:c r="F244" t="str">
        <x:v>25-34</x:v>
      </x:c>
    </x:row>
    <x:row r="245">
      <x:c r="A245" t="n">
        <x:v>244</x:v>
      </x:c>
      <x:c r="B245" s="16" t="n">
        <x:v>46143</x:v>
      </x:c>
      <x:c r="C245" t="str">
        <x:v>Standard</x:v>
      </x:c>
      <x:c r="D245" t="str">
        <x:v>India</x:v>
      </x:c>
      <x:c r="E245" t="str">
        <x:v>Organic</x:v>
      </x:c>
      <x:c r="F245" t="str">
        <x:v>45+</x:v>
      </x:c>
    </x:row>
    <x:row r="246">
      <x:c r="A246" t="n">
        <x:v>245</x:v>
      </x:c>
      <x:c r="B246" s="16" t="n">
        <x:v>46113</x:v>
      </x:c>
      <x:c r="C246" t="str">
        <x:v>Plus</x:v>
      </x:c>
      <x:c r="D246" t="str">
        <x:v>India</x:v>
      </x:c>
      <x:c r="E246" t="str">
        <x:v>Referral</x:v>
      </x:c>
      <x:c r="F246" t="str">
        <x:v>35-44</x:v>
      </x:c>
    </x:row>
    <x:row r="247">
      <x:c r="A247" t="n">
        <x:v>246</x:v>
      </x:c>
      <x:c r="B247" s="16" t="n">
        <x:v>46113</x:v>
      </x:c>
      <x:c r="C247" t="str">
        <x:v>Standard</x:v>
      </x:c>
      <x:c r="D247" t="str">
        <x:v>Germany</x:v>
      </x:c>
      <x:c r="E247" t="str">
        <x:v>Organic</x:v>
      </x:c>
      <x:c r="F247" t="str">
        <x:v>45+</x:v>
      </x:c>
    </x:row>
    <x:row r="248">
      <x:c r="A248" t="n">
        <x:v>247</x:v>
      </x:c>
      <x:c r="B248" s="16" t="n">
        <x:v>46143</x:v>
      </x:c>
      <x:c r="C248" t="str">
        <x:v>Standard</x:v>
      </x:c>
      <x:c r="D248" t="str">
        <x:v>Germany</x:v>
      </x:c>
      <x:c r="E248" t="str">
        <x:v>Referral</x:v>
      </x:c>
      <x:c r="F248" t="str">
        <x:v>18-24</x:v>
      </x:c>
    </x:row>
    <x:row r="249">
      <x:c r="A249" t="n">
        <x:v>248</x:v>
      </x:c>
      <x:c r="B249" s="16" t="n">
        <x:v>46143</x:v>
      </x:c>
      <x:c r="C249" t="str">
        <x:v>Standard</x:v>
      </x:c>
      <x:c r="D249" t="str">
        <x:v>India</x:v>
      </x:c>
      <x:c r="E249" t="str">
        <x:v>Paid Search</x:v>
      </x:c>
      <x:c r="F249" t="str">
        <x:v>25-34</x:v>
      </x:c>
    </x:row>
    <x:row r="250">
      <x:c r="A250" t="n">
        <x:v>249</x:v>
      </x:c>
      <x:c r="B250" s="16" t="n">
        <x:v>46082</x:v>
      </x:c>
      <x:c r="C250" t="str">
        <x:v>Standard</x:v>
      </x:c>
      <x:c r="D250" t="str">
        <x:v>Germany</x:v>
      </x:c>
      <x:c r="E250" t="str">
        <x:v>Referral</x:v>
      </x:c>
      <x:c r="F250" t="str">
        <x:v>45+</x:v>
      </x:c>
    </x:row>
    <x:row r="251">
      <x:c r="A251" t="n">
        <x:v>250</x:v>
      </x:c>
      <x:c r="B251" s="16" t="n">
        <x:v>46082</x:v>
      </x:c>
      <x:c r="C251" t="str">
        <x:v>Premium</x:v>
      </x:c>
      <x:c r="D251" t="str">
        <x:v>Germany</x:v>
      </x:c>
      <x:c r="E251" t="str">
        <x:v>Organic</x:v>
      </x:c>
      <x:c r="F251" t="str">
        <x:v>35-44</x:v>
      </x:c>
    </x:row>
    <x:row r="252">
      <x:c r="A252" t="n">
        <x:v>251</x:v>
      </x:c>
      <x:c r="B252" s="16" t="n">
        <x:v>46113</x:v>
      </x:c>
      <x:c r="C252" t="str">
        <x:v>Standard</x:v>
      </x:c>
      <x:c r="D252" t="str">
        <x:v>India</x:v>
      </x:c>
      <x:c r="E252" t="str">
        <x:v>Organic</x:v>
      </x:c>
      <x:c r="F252" t="str">
        <x:v>18-24</x:v>
      </x:c>
    </x:row>
    <x:row r="253">
      <x:c r="A253" t="n">
        <x:v>252</x:v>
      </x:c>
      <x:c r="B253" s="16" t="n">
        <x:v>46143</x:v>
      </x:c>
      <x:c r="C253" t="str">
        <x:v>Standard</x:v>
      </x:c>
      <x:c r="D253" t="str">
        <x:v>India</x:v>
      </x:c>
      <x:c r="E253" t="str">
        <x:v>Referral</x:v>
      </x:c>
      <x:c r="F253" t="str">
        <x:v>18-24</x:v>
      </x:c>
    </x:row>
    <x:row r="254">
      <x:c r="A254" t="n">
        <x:v>253</x:v>
      </x:c>
      <x:c r="B254" s="16" t="n">
        <x:v>46143</x:v>
      </x:c>
      <x:c r="C254" t="str">
        <x:v>Standard</x:v>
      </x:c>
      <x:c r="D254" t="str">
        <x:v>UAE</x:v>
      </x:c>
      <x:c r="E254" t="str">
        <x:v>Paid Search</x:v>
      </x:c>
      <x:c r="F254" t="str">
        <x:v>35-44</x:v>
      </x:c>
    </x:row>
    <x:row r="255">
      <x:c r="A255" t="n">
        <x:v>254</x:v>
      </x:c>
      <x:c r="B255" s="16" t="n">
        <x:v>46113</x:v>
      </x:c>
      <x:c r="C255" t="str">
        <x:v>Premium</x:v>
      </x:c>
      <x:c r="D255" t="str">
        <x:v>United Kingdom</x:v>
      </x:c>
      <x:c r="E255" t="str">
        <x:v>Organic</x:v>
      </x:c>
      <x:c r="F255" t="str">
        <x:v>35-44</x:v>
      </x:c>
    </x:row>
    <x:row r="256">
      <x:c r="A256" t="n">
        <x:v>255</x:v>
      </x:c>
      <x:c r="B256" s="16" t="n">
        <x:v>46143</x:v>
      </x:c>
      <x:c r="C256" t="str">
        <x:v>Standard</x:v>
      </x:c>
      <x:c r="D256" t="str">
        <x:v>Singapore</x:v>
      </x:c>
      <x:c r="E256" t="str">
        <x:v>Partnership</x:v>
      </x:c>
      <x:c r="F256" t="str">
        <x:v>45+</x:v>
      </x:c>
    </x:row>
    <x:row r="257">
      <x:c r="A257" t="n">
        <x:v>256</x:v>
      </x:c>
      <x:c r="B257" s="16" t="n">
        <x:v>46143</x:v>
      </x:c>
      <x:c r="C257" t="str">
        <x:v>Metal</x:v>
      </x:c>
      <x:c r="D257" t="str">
        <x:v>Singapore</x:v>
      </x:c>
      <x:c r="E257" t="str">
        <x:v>Partnership</x:v>
      </x:c>
      <x:c r="F257" t="str">
        <x:v>45+</x:v>
      </x:c>
    </x:row>
    <x:row r="258">
      <x:c r="A258" t="n">
        <x:v>257</x:v>
      </x:c>
      <x:c r="B258" s="16" t="n">
        <x:v>46113</x:v>
      </x:c>
      <x:c r="C258" t="str">
        <x:v>Premium</x:v>
      </x:c>
      <x:c r="D258" t="str">
        <x:v>India</x:v>
      </x:c>
      <x:c r="E258" t="str">
        <x:v>Organic</x:v>
      </x:c>
      <x:c r="F258" t="str">
        <x:v>45+</x:v>
      </x:c>
    </x:row>
    <x:row r="259">
      <x:c r="A259" t="n">
        <x:v>258</x:v>
      </x:c>
      <x:c r="B259" s="16" t="n">
        <x:v>46174</x:v>
      </x:c>
      <x:c r="C259" t="str">
        <x:v>Plus</x:v>
      </x:c>
      <x:c r="D259" t="str">
        <x:v>UAE</x:v>
      </x:c>
      <x:c r="E259" t="str">
        <x:v>Partnership</x:v>
      </x:c>
      <x:c r="F259" t="str">
        <x:v>35-44</x:v>
      </x:c>
    </x:row>
    <x:row r="260">
      <x:c r="A260" t="n">
        <x:v>259</x:v>
      </x:c>
      <x:c r="B260" s="16" t="n">
        <x:v>46113</x:v>
      </x:c>
      <x:c r="C260" t="str">
        <x:v>Plus</x:v>
      </x:c>
      <x:c r="D260" t="str">
        <x:v>United Kingdom</x:v>
      </x:c>
      <x:c r="E260" t="str">
        <x:v>Partnership</x:v>
      </x:c>
      <x:c r="F260" t="str">
        <x:v>45+</x:v>
      </x:c>
    </x:row>
    <x:row r="261">
      <x:c r="A261" t="n">
        <x:v>260</x:v>
      </x:c>
      <x:c r="B261" s="16" t="n">
        <x:v>46143</x:v>
      </x:c>
      <x:c r="C261" t="str">
        <x:v>Standard</x:v>
      </x:c>
      <x:c r="D261" t="str">
        <x:v>Germany</x:v>
      </x:c>
      <x:c r="E261" t="str">
        <x:v>Paid Search</x:v>
      </x:c>
      <x:c r="F261" t="str">
        <x:v>35-44</x:v>
      </x:c>
    </x:row>
    <x:row r="262">
      <x:c r="A262" t="n">
        <x:v>261</x:v>
      </x:c>
      <x:c r="B262" s="16" t="n">
        <x:v>46113</x:v>
      </x:c>
      <x:c r="C262" t="str">
        <x:v>Standard</x:v>
      </x:c>
      <x:c r="D262" t="str">
        <x:v>India</x:v>
      </x:c>
      <x:c r="E262" t="str">
        <x:v>Organic</x:v>
      </x:c>
      <x:c r="F262" t="str">
        <x:v>35-44</x:v>
      </x:c>
    </x:row>
    <x:row r="263">
      <x:c r="A263" t="n">
        <x:v>262</x:v>
      </x:c>
      <x:c r="B263" s="16" t="n">
        <x:v>46113</x:v>
      </x:c>
      <x:c r="C263" t="str">
        <x:v>Standard</x:v>
      </x:c>
      <x:c r="D263" t="str">
        <x:v>United Kingdom</x:v>
      </x:c>
      <x:c r="E263" t="str">
        <x:v>Referral</x:v>
      </x:c>
      <x:c r="F263" t="str">
        <x:v>25-34</x:v>
      </x:c>
    </x:row>
    <x:row r="264">
      <x:c r="A264" t="n">
        <x:v>263</x:v>
      </x:c>
      <x:c r="B264" s="16" t="n">
        <x:v>46113</x:v>
      </x:c>
      <x:c r="C264" t="str">
        <x:v>Plus</x:v>
      </x:c>
      <x:c r="D264" t="str">
        <x:v>UAE</x:v>
      </x:c>
      <x:c r="E264" t="str">
        <x:v>Organic</x:v>
      </x:c>
      <x:c r="F264" t="str">
        <x:v>45+</x:v>
      </x:c>
    </x:row>
    <x:row r="265">
      <x:c r="A265" t="n">
        <x:v>264</x:v>
      </x:c>
      <x:c r="B265" s="16" t="n">
        <x:v>46054</x:v>
      </x:c>
      <x:c r="C265" t="str">
        <x:v>Standard</x:v>
      </x:c>
      <x:c r="D265" t="str">
        <x:v>India</x:v>
      </x:c>
      <x:c r="E265" t="str">
        <x:v>Organic</x:v>
      </x:c>
      <x:c r="F265" t="str">
        <x:v>25-34</x:v>
      </x:c>
    </x:row>
    <x:row r="266">
      <x:c r="A266" t="n">
        <x:v>265</x:v>
      </x:c>
      <x:c r="B266" s="16" t="n">
        <x:v>46113</x:v>
      </x:c>
      <x:c r="C266" t="str">
        <x:v>Premium</x:v>
      </x:c>
      <x:c r="D266" t="str">
        <x:v>UAE</x:v>
      </x:c>
      <x:c r="E266" t="str">
        <x:v>Paid Search</x:v>
      </x:c>
      <x:c r="F266" t="str">
        <x:v>25-34</x:v>
      </x:c>
    </x:row>
    <x:row r="267">
      <x:c r="A267" t="n">
        <x:v>266</x:v>
      </x:c>
      <x:c r="B267" s="16" t="n">
        <x:v>46113</x:v>
      </x:c>
      <x:c r="C267" t="str">
        <x:v>Plus</x:v>
      </x:c>
      <x:c r="D267" t="str">
        <x:v>United Kingdom</x:v>
      </x:c>
      <x:c r="E267" t="str">
        <x:v>Partnership</x:v>
      </x:c>
      <x:c r="F267" t="str">
        <x:v>45+</x:v>
      </x:c>
    </x:row>
    <x:row r="268">
      <x:c r="A268" t="n">
        <x:v>267</x:v>
      </x:c>
      <x:c r="B268" s="16" t="n">
        <x:v>46113</x:v>
      </x:c>
      <x:c r="C268" t="str">
        <x:v>Plus</x:v>
      </x:c>
      <x:c r="D268" t="str">
        <x:v>India</x:v>
      </x:c>
      <x:c r="E268" t="str">
        <x:v>Organic</x:v>
      </x:c>
      <x:c r="F268" t="str">
        <x:v>18-24</x:v>
      </x:c>
    </x:row>
    <x:row r="269">
      <x:c r="A269" t="n">
        <x:v>268</x:v>
      </x:c>
      <x:c r="B269" s="16" t="n">
        <x:v>46113</x:v>
      </x:c>
      <x:c r="C269" t="str">
        <x:v>Plus</x:v>
      </x:c>
      <x:c r="D269" t="str">
        <x:v>UAE</x:v>
      </x:c>
      <x:c r="E269" t="str">
        <x:v>Referral</x:v>
      </x:c>
      <x:c r="F269" t="str">
        <x:v>18-24</x:v>
      </x:c>
    </x:row>
    <x:row r="270">
      <x:c r="A270" t="n">
        <x:v>269</x:v>
      </x:c>
      <x:c r="B270" s="16" t="n">
        <x:v>46174</x:v>
      </x:c>
      <x:c r="C270" t="str">
        <x:v>Premium</x:v>
      </x:c>
      <x:c r="D270" t="str">
        <x:v>India</x:v>
      </x:c>
      <x:c r="E270" t="str">
        <x:v>Partnership</x:v>
      </x:c>
      <x:c r="F270" t="str">
        <x:v>35-44</x:v>
      </x:c>
    </x:row>
    <x:row r="271">
      <x:c r="A271" t="n">
        <x:v>270</x:v>
      </x:c>
      <x:c r="B271" s="16" t="n">
        <x:v>46174</x:v>
      </x:c>
      <x:c r="C271" t="str">
        <x:v>Premium</x:v>
      </x:c>
      <x:c r="D271" t="str">
        <x:v>United Kingdom</x:v>
      </x:c>
      <x:c r="E271" t="str">
        <x:v>Referral</x:v>
      </x:c>
      <x:c r="F271" t="str">
        <x:v>18-24</x:v>
      </x:c>
    </x:row>
    <x:row r="272">
      <x:c r="A272" t="n">
        <x:v>271</x:v>
      </x:c>
      <x:c r="B272" s="16" t="n">
        <x:v>46113</x:v>
      </x:c>
      <x:c r="C272" t="str">
        <x:v>Standard</x:v>
      </x:c>
      <x:c r="D272" t="str">
        <x:v>Singapore</x:v>
      </x:c>
      <x:c r="E272" t="str">
        <x:v>Organic</x:v>
      </x:c>
      <x:c r="F272" t="str">
        <x:v>45+</x:v>
      </x:c>
    </x:row>
    <x:row r="273">
      <x:c r="A273" t="n">
        <x:v>272</x:v>
      </x:c>
      <x:c r="B273" s="16" t="n">
        <x:v>46113</x:v>
      </x:c>
      <x:c r="C273" t="str">
        <x:v>Standard</x:v>
      </x:c>
      <x:c r="D273" t="str">
        <x:v>UAE</x:v>
      </x:c>
      <x:c r="E273" t="str">
        <x:v>Referral</x:v>
      </x:c>
      <x:c r="F273" t="str">
        <x:v>25-34</x:v>
      </x:c>
    </x:row>
    <x:row r="274">
      <x:c r="A274" t="n">
        <x:v>273</x:v>
      </x:c>
      <x:c r="B274" s="16" t="n">
        <x:v>46113</x:v>
      </x:c>
      <x:c r="C274" t="str">
        <x:v>Standard</x:v>
      </x:c>
      <x:c r="D274" t="str">
        <x:v>United Kingdom</x:v>
      </x:c>
      <x:c r="E274" t="str">
        <x:v>Organic</x:v>
      </x:c>
      <x:c r="F274" t="str">
        <x:v>45+</x:v>
      </x:c>
    </x:row>
    <x:row r="275">
      <x:c r="A275" t="n">
        <x:v>274</x:v>
      </x:c>
      <x:c r="B275" s="16" t="n">
        <x:v>46113</x:v>
      </x:c>
      <x:c r="C275" t="str">
        <x:v>Plus</x:v>
      </x:c>
      <x:c r="D275" t="str">
        <x:v>UAE</x:v>
      </x:c>
      <x:c r="E275" t="str">
        <x:v>Referral</x:v>
      </x:c>
      <x:c r="F275" t="str">
        <x:v>18-24</x:v>
      </x:c>
    </x:row>
    <x:row r="276">
      <x:c r="A276" t="n">
        <x:v>275</x:v>
      </x:c>
      <x:c r="B276" s="16" t="n">
        <x:v>46174</x:v>
      </x:c>
      <x:c r="C276" t="str">
        <x:v>Premium</x:v>
      </x:c>
      <x:c r="D276" t="str">
        <x:v>United Kingdom</x:v>
      </x:c>
      <x:c r="E276" t="str">
        <x:v>Organic</x:v>
      </x:c>
      <x:c r="F276" t="str">
        <x:v>45+</x:v>
      </x:c>
    </x:row>
    <x:row r="277">
      <x:c r="A277" t="n">
        <x:v>276</x:v>
      </x:c>
      <x:c r="B277" s="16" t="n">
        <x:v>46113</x:v>
      </x:c>
      <x:c r="C277" t="str">
        <x:v>Plus</x:v>
      </x:c>
      <x:c r="D277" t="str">
        <x:v>India</x:v>
      </x:c>
      <x:c r="E277" t="str">
        <x:v>Referral</x:v>
      </x:c>
      <x:c r="F277" t="str">
        <x:v>18-24</x:v>
      </x:c>
    </x:row>
    <x:row r="278">
      <x:c r="A278" t="n">
        <x:v>277</x:v>
      </x:c>
      <x:c r="B278" s="16" t="n">
        <x:v>46143</x:v>
      </x:c>
      <x:c r="C278" t="str">
        <x:v>Metal</x:v>
      </x:c>
      <x:c r="D278" t="str">
        <x:v>India</x:v>
      </x:c>
      <x:c r="E278" t="str">
        <x:v>Referral</x:v>
      </x:c>
      <x:c r="F278" t="str">
        <x:v>18-24</x:v>
      </x:c>
    </x:row>
    <x:row r="279">
      <x:c r="A279" t="n">
        <x:v>278</x:v>
      </x:c>
      <x:c r="B279" s="16" t="n">
        <x:v>46174</x:v>
      </x:c>
      <x:c r="C279" t="str">
        <x:v>Standard</x:v>
      </x:c>
      <x:c r="D279" t="str">
        <x:v>Germany</x:v>
      </x:c>
      <x:c r="E279" t="str">
        <x:v>Organic</x:v>
      </x:c>
      <x:c r="F279" t="str">
        <x:v>45+</x:v>
      </x:c>
    </x:row>
    <x:row r="280">
      <x:c r="A280" t="n">
        <x:v>279</x:v>
      </x:c>
      <x:c r="B280" s="16" t="n">
        <x:v>46113</x:v>
      </x:c>
      <x:c r="C280" t="str">
        <x:v>Standard</x:v>
      </x:c>
      <x:c r="D280" t="str">
        <x:v>Singapore</x:v>
      </x:c>
      <x:c r="E280" t="str">
        <x:v>Organic</x:v>
      </x:c>
      <x:c r="F280" t="str">
        <x:v>35-44</x:v>
      </x:c>
    </x:row>
    <x:row r="281">
      <x:c r="A281" t="n">
        <x:v>280</x:v>
      </x:c>
      <x:c r="B281" s="16" t="n">
        <x:v>46113</x:v>
      </x:c>
      <x:c r="C281" t="str">
        <x:v>Standard</x:v>
      </x:c>
      <x:c r="D281" t="str">
        <x:v>India</x:v>
      </x:c>
      <x:c r="E281" t="str">
        <x:v>Organic</x:v>
      </x:c>
      <x:c r="F281" t="str">
        <x:v>25-34</x:v>
      </x:c>
    </x:row>
    <x:row r="282">
      <x:c r="A282" t="n">
        <x:v>281</x:v>
      </x:c>
      <x:c r="B282" s="16" t="n">
        <x:v>46113</x:v>
      </x:c>
      <x:c r="C282" t="str">
        <x:v>Plus</x:v>
      </x:c>
      <x:c r="D282" t="str">
        <x:v>India</x:v>
      </x:c>
      <x:c r="E282" t="str">
        <x:v>Organic</x:v>
      </x:c>
      <x:c r="F282" t="str">
        <x:v>35-44</x:v>
      </x:c>
    </x:row>
    <x:row r="283">
      <x:c r="A283" t="n">
        <x:v>282</x:v>
      </x:c>
      <x:c r="B283" s="16" t="n">
        <x:v>46113</x:v>
      </x:c>
      <x:c r="C283" t="str">
        <x:v>Standard</x:v>
      </x:c>
      <x:c r="D283" t="str">
        <x:v>India</x:v>
      </x:c>
      <x:c r="E283" t="str">
        <x:v>Referral</x:v>
      </x:c>
      <x:c r="F283" t="str">
        <x:v>35-44</x:v>
      </x:c>
    </x:row>
    <x:row r="284">
      <x:c r="A284" t="n">
        <x:v>283</x:v>
      </x:c>
      <x:c r="B284" s="16" t="n">
        <x:v>46174</x:v>
      </x:c>
      <x:c r="C284" t="str">
        <x:v>Standard</x:v>
      </x:c>
      <x:c r="D284" t="str">
        <x:v>Singapore</x:v>
      </x:c>
      <x:c r="E284" t="str">
        <x:v>Paid Search</x:v>
      </x:c>
      <x:c r="F284" t="str">
        <x:v>35-44</x:v>
      </x:c>
    </x:row>
    <x:row r="285">
      <x:c r="A285" t="n">
        <x:v>284</x:v>
      </x:c>
      <x:c r="B285" s="16" t="n">
        <x:v>46054</x:v>
      </x:c>
      <x:c r="C285" t="str">
        <x:v>Standard</x:v>
      </x:c>
      <x:c r="D285" t="str">
        <x:v>United Kingdom</x:v>
      </x:c>
      <x:c r="E285" t="str">
        <x:v>Referral</x:v>
      </x:c>
      <x:c r="F285" t="str">
        <x:v>35-44</x:v>
      </x:c>
    </x:row>
    <x:row r="286">
      <x:c r="A286" t="n">
        <x:v>285</x:v>
      </x:c>
      <x:c r="B286" s="16" t="n">
        <x:v>46082</x:v>
      </x:c>
      <x:c r="C286" t="str">
        <x:v>Metal</x:v>
      </x:c>
      <x:c r="D286" t="str">
        <x:v>Singapore</x:v>
      </x:c>
      <x:c r="E286" t="str">
        <x:v>Referral</x:v>
      </x:c>
      <x:c r="F286" t="str">
        <x:v>35-44</x:v>
      </x:c>
    </x:row>
    <x:row r="287">
      <x:c r="A287" t="n">
        <x:v>286</x:v>
      </x:c>
      <x:c r="B287" s="16" t="n">
        <x:v>46054</x:v>
      </x:c>
      <x:c r="C287" t="str">
        <x:v>Premium</x:v>
      </x:c>
      <x:c r="D287" t="str">
        <x:v>United Kingdom</x:v>
      </x:c>
      <x:c r="E287" t="str">
        <x:v>Paid Search</x:v>
      </x:c>
      <x:c r="F287" t="str">
        <x:v>18-24</x:v>
      </x:c>
    </x:row>
    <x:row r="288">
      <x:c r="A288" t="n">
        <x:v>287</x:v>
      </x:c>
      <x:c r="B288" s="16" t="n">
        <x:v>46113</x:v>
      </x:c>
      <x:c r="C288" t="str">
        <x:v>Standard</x:v>
      </x:c>
      <x:c r="D288" t="str">
        <x:v>India</x:v>
      </x:c>
      <x:c r="E288" t="str">
        <x:v>Organic</x:v>
      </x:c>
      <x:c r="F288" t="str">
        <x:v>45+</x:v>
      </x:c>
    </x:row>
    <x:row r="289">
      <x:c r="A289" t="n">
        <x:v>288</x:v>
      </x:c>
      <x:c r="B289" s="16" t="n">
        <x:v>46054</x:v>
      </x:c>
      <x:c r="C289" t="str">
        <x:v>Premium</x:v>
      </x:c>
      <x:c r="D289" t="str">
        <x:v>United Kingdom</x:v>
      </x:c>
      <x:c r="E289" t="str">
        <x:v>Organic</x:v>
      </x:c>
      <x:c r="F289" t="str">
        <x:v>18-24</x:v>
      </x:c>
    </x:row>
    <x:row r="290">
      <x:c r="A290" t="n">
        <x:v>289</x:v>
      </x:c>
      <x:c r="B290" s="16" t="n">
        <x:v>46113</x:v>
      </x:c>
      <x:c r="C290" t="str">
        <x:v>Metal</x:v>
      </x:c>
      <x:c r="D290" t="str">
        <x:v>Singapore</x:v>
      </x:c>
      <x:c r="E290" t="str">
        <x:v>Referral</x:v>
      </x:c>
      <x:c r="F290" t="str">
        <x:v>18-24</x:v>
      </x:c>
    </x:row>
    <x:row r="291">
      <x:c r="A291" t="n">
        <x:v>290</x:v>
      </x:c>
      <x:c r="B291" s="16" t="n">
        <x:v>46143</x:v>
      </x:c>
      <x:c r="C291" t="str">
        <x:v>Standard</x:v>
      </x:c>
      <x:c r="D291" t="str">
        <x:v>India</x:v>
      </x:c>
      <x:c r="E291" t="str">
        <x:v>Organic</x:v>
      </x:c>
      <x:c r="F291" t="str">
        <x:v>35-44</x:v>
      </x:c>
    </x:row>
    <x:row r="292">
      <x:c r="A292" t="n">
        <x:v>291</x:v>
      </x:c>
      <x:c r="B292" s="16" t="n">
        <x:v>46174</x:v>
      </x:c>
      <x:c r="C292" t="str">
        <x:v>Standard</x:v>
      </x:c>
      <x:c r="D292" t="str">
        <x:v>India</x:v>
      </x:c>
      <x:c r="E292" t="str">
        <x:v>Paid Search</x:v>
      </x:c>
      <x:c r="F292" t="str">
        <x:v>45+</x:v>
      </x:c>
    </x:row>
    <x:row r="293">
      <x:c r="A293" t="n">
        <x:v>292</x:v>
      </x:c>
      <x:c r="B293" s="16" t="n">
        <x:v>46174</x:v>
      </x:c>
      <x:c r="C293" t="str">
        <x:v>Premium</x:v>
      </x:c>
      <x:c r="D293" t="str">
        <x:v>Germany</x:v>
      </x:c>
      <x:c r="E293" t="str">
        <x:v>Organic</x:v>
      </x:c>
      <x:c r="F293" t="str">
        <x:v>35-44</x:v>
      </x:c>
    </x:row>
    <x:row r="294">
      <x:c r="A294" t="n">
        <x:v>293</x:v>
      </x:c>
      <x:c r="B294" s="16" t="n">
        <x:v>46082</x:v>
      </x:c>
      <x:c r="C294" t="str">
        <x:v>Standard</x:v>
      </x:c>
      <x:c r="D294" t="str">
        <x:v>India</x:v>
      </x:c>
      <x:c r="E294" t="str">
        <x:v>Paid Search</x:v>
      </x:c>
      <x:c r="F294" t="str">
        <x:v>45+</x:v>
      </x:c>
    </x:row>
    <x:row r="295">
      <x:c r="A295" t="n">
        <x:v>294</x:v>
      </x:c>
      <x:c r="B295" s="16" t="n">
        <x:v>46113</x:v>
      </x:c>
      <x:c r="C295" t="str">
        <x:v>Metal</x:v>
      </x:c>
      <x:c r="D295" t="str">
        <x:v>India</x:v>
      </x:c>
      <x:c r="E295" t="str">
        <x:v>Organic</x:v>
      </x:c>
      <x:c r="F295" t="str">
        <x:v>45+</x:v>
      </x:c>
    </x:row>
    <x:row r="296">
      <x:c r="A296" t="n">
        <x:v>295</x:v>
      </x:c>
      <x:c r="B296" s="16" t="n">
        <x:v>46054</x:v>
      </x:c>
      <x:c r="C296" t="str">
        <x:v>Standard</x:v>
      </x:c>
      <x:c r="D296" t="str">
        <x:v>India</x:v>
      </x:c>
      <x:c r="E296" t="str">
        <x:v>Referral</x:v>
      </x:c>
      <x:c r="F296" t="str">
        <x:v>18-24</x:v>
      </x:c>
    </x:row>
    <x:row r="297">
      <x:c r="A297" t="n">
        <x:v>296</x:v>
      </x:c>
      <x:c r="B297" s="16" t="n">
        <x:v>46113</x:v>
      </x:c>
      <x:c r="C297" t="str">
        <x:v>Premium</x:v>
      </x:c>
      <x:c r="D297" t="str">
        <x:v>United Kingdom</x:v>
      </x:c>
      <x:c r="E297" t="str">
        <x:v>Referral</x:v>
      </x:c>
      <x:c r="F297" t="str">
        <x:v>18-24</x:v>
      </x:c>
    </x:row>
    <x:row r="298">
      <x:c r="A298" t="n">
        <x:v>297</x:v>
      </x:c>
      <x:c r="B298" s="16" t="n">
        <x:v>46143</x:v>
      </x:c>
      <x:c r="C298" t="str">
        <x:v>Plus</x:v>
      </x:c>
      <x:c r="D298" t="str">
        <x:v>UAE</x:v>
      </x:c>
      <x:c r="E298" t="str">
        <x:v>Referral</x:v>
      </x:c>
      <x:c r="F298" t="str">
        <x:v>35-44</x:v>
      </x:c>
    </x:row>
    <x:row r="299">
      <x:c r="A299" t="n">
        <x:v>298</x:v>
      </x:c>
      <x:c r="B299" s="16" t="n">
        <x:v>46082</x:v>
      </x:c>
      <x:c r="C299" t="str">
        <x:v>Metal</x:v>
      </x:c>
      <x:c r="D299" t="str">
        <x:v>Germany</x:v>
      </x:c>
      <x:c r="E299" t="str">
        <x:v>Organic</x:v>
      </x:c>
      <x:c r="F299" t="str">
        <x:v>35-44</x:v>
      </x:c>
    </x:row>
    <x:row r="300">
      <x:c r="A300" t="n">
        <x:v>299</x:v>
      </x:c>
      <x:c r="B300" s="16" t="n">
        <x:v>46143</x:v>
      </x:c>
      <x:c r="C300" t="str">
        <x:v>Standard</x:v>
      </x:c>
      <x:c r="D300" t="str">
        <x:v>India</x:v>
      </x:c>
      <x:c r="E300" t="str">
        <x:v>Referral</x:v>
      </x:c>
      <x:c r="F300" t="str">
        <x:v>18-24</x:v>
      </x:c>
    </x:row>
    <x:row r="301">
      <x:c r="A301" t="n">
        <x:v>300</x:v>
      </x:c>
      <x:c r="B301" s="16" t="n">
        <x:v>46143</x:v>
      </x:c>
      <x:c r="C301" t="str">
        <x:v>Standard</x:v>
      </x:c>
      <x:c r="D301" t="str">
        <x:v>United Kingdom</x:v>
      </x:c>
      <x:c r="E301" t="str">
        <x:v>Referral</x:v>
      </x:c>
      <x:c r="F301" t="str">
        <x:v>35-44</x:v>
      </x:c>
    </x:row>
    <x:row r="302">
      <x:c r="A302" t="n">
        <x:v>301</x:v>
      </x:c>
      <x:c r="B302" s="16" t="n">
        <x:v>46082</x:v>
      </x:c>
      <x:c r="C302" t="str">
        <x:v>Standard</x:v>
      </x:c>
      <x:c r="D302" t="str">
        <x:v>Singapore</x:v>
      </x:c>
      <x:c r="E302" t="str">
        <x:v>Paid Search</x:v>
      </x:c>
      <x:c r="F302" t="str">
        <x:v>35-44</x:v>
      </x:c>
    </x:row>
    <x:row r="303">
      <x:c r="A303" t="n">
        <x:v>302</x:v>
      </x:c>
      <x:c r="B303" s="16" t="n">
        <x:v>46082</x:v>
      </x:c>
      <x:c r="C303" t="str">
        <x:v>Standard</x:v>
      </x:c>
      <x:c r="D303" t="str">
        <x:v>UAE</x:v>
      </x:c>
      <x:c r="E303" t="str">
        <x:v>Paid Search</x:v>
      </x:c>
      <x:c r="F303" t="str">
        <x:v>35-44</x:v>
      </x:c>
    </x:row>
    <x:row r="304">
      <x:c r="A304" t="n">
        <x:v>303</x:v>
      </x:c>
      <x:c r="B304" s="16" t="n">
        <x:v>46082</x:v>
      </x:c>
      <x:c r="C304" t="str">
        <x:v>Standard</x:v>
      </x:c>
      <x:c r="D304" t="str">
        <x:v>UAE</x:v>
      </x:c>
      <x:c r="E304" t="str">
        <x:v>Organic</x:v>
      </x:c>
      <x:c r="F304" t="str">
        <x:v>25-34</x:v>
      </x:c>
    </x:row>
    <x:row r="305">
      <x:c r="A305" t="n">
        <x:v>304</x:v>
      </x:c>
      <x:c r="B305" s="16" t="n">
        <x:v>46113</x:v>
      </x:c>
      <x:c r="C305" t="str">
        <x:v>Standard</x:v>
      </x:c>
      <x:c r="D305" t="str">
        <x:v>United Kingdom</x:v>
      </x:c>
      <x:c r="E305" t="str">
        <x:v>Referral</x:v>
      </x:c>
      <x:c r="F305" t="str">
        <x:v>18-24</x:v>
      </x:c>
    </x:row>
    <x:row r="306">
      <x:c r="A306" t="n">
        <x:v>305</x:v>
      </x:c>
      <x:c r="B306" s="16" t="n">
        <x:v>46143</x:v>
      </x:c>
      <x:c r="C306" t="str">
        <x:v>Premium</x:v>
      </x:c>
      <x:c r="D306" t="str">
        <x:v>India</x:v>
      </x:c>
      <x:c r="E306" t="str">
        <x:v>Organic</x:v>
      </x:c>
      <x:c r="F306" t="str">
        <x:v>35-44</x:v>
      </x:c>
    </x:row>
    <x:row r="307">
      <x:c r="A307" t="n">
        <x:v>306</x:v>
      </x:c>
      <x:c r="B307" s="16" t="n">
        <x:v>46054</x:v>
      </x:c>
      <x:c r="C307" t="str">
        <x:v>Standard</x:v>
      </x:c>
      <x:c r="D307" t="str">
        <x:v>Germany</x:v>
      </x:c>
      <x:c r="E307" t="str">
        <x:v>Partnership</x:v>
      </x:c>
      <x:c r="F307" t="str">
        <x:v>45+</x:v>
      </x:c>
    </x:row>
    <x:row r="308">
      <x:c r="A308" t="n">
        <x:v>307</x:v>
      </x:c>
      <x:c r="B308" s="16" t="n">
        <x:v>46174</x:v>
      </x:c>
      <x:c r="C308" t="str">
        <x:v>Standard</x:v>
      </x:c>
      <x:c r="D308" t="str">
        <x:v>United Kingdom</x:v>
      </x:c>
      <x:c r="E308" t="str">
        <x:v>Organic</x:v>
      </x:c>
      <x:c r="F308" t="str">
        <x:v>45+</x:v>
      </x:c>
    </x:row>
    <x:row r="309">
      <x:c r="A309" t="n">
        <x:v>308</x:v>
      </x:c>
      <x:c r="B309" s="16" t="n">
        <x:v>46143</x:v>
      </x:c>
      <x:c r="C309" t="str">
        <x:v>Premium</x:v>
      </x:c>
      <x:c r="D309" t="str">
        <x:v>UAE</x:v>
      </x:c>
      <x:c r="E309" t="str">
        <x:v>Referral</x:v>
      </x:c>
      <x:c r="F309" t="str">
        <x:v>18-24</x:v>
      </x:c>
    </x:row>
    <x:row r="310">
      <x:c r="A310" t="n">
        <x:v>309</x:v>
      </x:c>
      <x:c r="B310" s="16" t="n">
        <x:v>46143</x:v>
      </x:c>
      <x:c r="C310" t="str">
        <x:v>Premium</x:v>
      </x:c>
      <x:c r="D310" t="str">
        <x:v>United Kingdom</x:v>
      </x:c>
      <x:c r="E310" t="str">
        <x:v>Referral</x:v>
      </x:c>
      <x:c r="F310" t="str">
        <x:v>45+</x:v>
      </x:c>
    </x:row>
    <x:row r="311">
      <x:c r="A311" t="n">
        <x:v>310</x:v>
      </x:c>
      <x:c r="B311" s="16" t="n">
        <x:v>46082</x:v>
      </x:c>
      <x:c r="C311" t="str">
        <x:v>Premium</x:v>
      </x:c>
      <x:c r="D311" t="str">
        <x:v>India</x:v>
      </x:c>
      <x:c r="E311" t="str">
        <x:v>Paid Search</x:v>
      </x:c>
      <x:c r="F311" t="str">
        <x:v>18-24</x:v>
      </x:c>
    </x:row>
    <x:row r="312">
      <x:c r="A312" t="n">
        <x:v>311</x:v>
      </x:c>
      <x:c r="B312" s="16" t="n">
        <x:v>46143</x:v>
      </x:c>
      <x:c r="C312" t="str">
        <x:v>Plus</x:v>
      </x:c>
      <x:c r="D312" t="str">
        <x:v>India</x:v>
      </x:c>
      <x:c r="E312" t="str">
        <x:v>Referral</x:v>
      </x:c>
      <x:c r="F312" t="str">
        <x:v>25-34</x:v>
      </x:c>
    </x:row>
    <x:row r="313">
      <x:c r="A313" t="n">
        <x:v>312</x:v>
      </x:c>
      <x:c r="B313" s="16" t="n">
        <x:v>46143</x:v>
      </x:c>
      <x:c r="C313" t="str">
        <x:v>Standard</x:v>
      </x:c>
      <x:c r="D313" t="str">
        <x:v>United Kingdom</x:v>
      </x:c>
      <x:c r="E313" t="str">
        <x:v>Referral</x:v>
      </x:c>
      <x:c r="F313" t="str">
        <x:v>18-24</x:v>
      </x:c>
    </x:row>
    <x:row r="314">
      <x:c r="A314" t="n">
        <x:v>313</x:v>
      </x:c>
      <x:c r="B314" s="16" t="n">
        <x:v>46082</x:v>
      </x:c>
      <x:c r="C314" t="str">
        <x:v>Metal</x:v>
      </x:c>
      <x:c r="D314" t="str">
        <x:v>India</x:v>
      </x:c>
      <x:c r="E314" t="str">
        <x:v>Paid Search</x:v>
      </x:c>
      <x:c r="F314" t="str">
        <x:v>35-44</x:v>
      </x:c>
    </x:row>
    <x:row r="315">
      <x:c r="A315" t="n">
        <x:v>314</x:v>
      </x:c>
      <x:c r="B315" s="16" t="n">
        <x:v>46174</x:v>
      </x:c>
      <x:c r="C315" t="str">
        <x:v>Standard</x:v>
      </x:c>
      <x:c r="D315" t="str">
        <x:v>Germany</x:v>
      </x:c>
      <x:c r="E315" t="str">
        <x:v>Partnership</x:v>
      </x:c>
      <x:c r="F315" t="str">
        <x:v>35-44</x:v>
      </x:c>
    </x:row>
    <x:row r="316">
      <x:c r="A316" t="n">
        <x:v>315</x:v>
      </x:c>
      <x:c r="B316" s="16" t="n">
        <x:v>46113</x:v>
      </x:c>
      <x:c r="C316" t="str">
        <x:v>Metal</x:v>
      </x:c>
      <x:c r="D316" t="str">
        <x:v>Germany</x:v>
      </x:c>
      <x:c r="E316" t="str">
        <x:v>Partnership</x:v>
      </x:c>
      <x:c r="F316" t="str">
        <x:v>35-44</x:v>
      </x:c>
    </x:row>
    <x:row r="317">
      <x:c r="A317" t="n">
        <x:v>316</x:v>
      </x:c>
      <x:c r="B317" s="16" t="n">
        <x:v>46143</x:v>
      </x:c>
      <x:c r="C317" t="str">
        <x:v>Plus</x:v>
      </x:c>
      <x:c r="D317" t="str">
        <x:v>India</x:v>
      </x:c>
      <x:c r="E317" t="str">
        <x:v>Referral</x:v>
      </x:c>
      <x:c r="F317" t="str">
        <x:v>18-24</x:v>
      </x:c>
    </x:row>
    <x:row r="318">
      <x:c r="A318" t="n">
        <x:v>317</x:v>
      </x:c>
      <x:c r="B318" s="16" t="n">
        <x:v>46113</x:v>
      </x:c>
      <x:c r="C318" t="str">
        <x:v>Premium</x:v>
      </x:c>
      <x:c r="D318" t="str">
        <x:v>Singapore</x:v>
      </x:c>
      <x:c r="E318" t="str">
        <x:v>Paid Search</x:v>
      </x:c>
      <x:c r="F318" t="str">
        <x:v>18-24</x:v>
      </x:c>
    </x:row>
    <x:row r="319">
      <x:c r="A319" t="n">
        <x:v>318</x:v>
      </x:c>
      <x:c r="B319" s="16" t="n">
        <x:v>46113</x:v>
      </x:c>
      <x:c r="C319" t="str">
        <x:v>Plus</x:v>
      </x:c>
      <x:c r="D319" t="str">
        <x:v>Germany</x:v>
      </x:c>
      <x:c r="E319" t="str">
        <x:v>Organic</x:v>
      </x:c>
      <x:c r="F319" t="str">
        <x:v>18-24</x:v>
      </x:c>
    </x:row>
    <x:row r="320">
      <x:c r="A320" t="n">
        <x:v>319</x:v>
      </x:c>
      <x:c r="B320" s="16" t="n">
        <x:v>46143</x:v>
      </x:c>
      <x:c r="C320" t="str">
        <x:v>Standard</x:v>
      </x:c>
      <x:c r="D320" t="str">
        <x:v>Singapore</x:v>
      </x:c>
      <x:c r="E320" t="str">
        <x:v>Paid Search</x:v>
      </x:c>
      <x:c r="F320" t="str">
        <x:v>35-44</x:v>
      </x:c>
    </x:row>
    <x:row r="321">
      <x:c r="A321" t="n">
        <x:v>320</x:v>
      </x:c>
      <x:c r="B321" s="16" t="n">
        <x:v>46113</x:v>
      </x:c>
      <x:c r="C321" t="str">
        <x:v>Standard</x:v>
      </x:c>
      <x:c r="D321" t="str">
        <x:v>Germany</x:v>
      </x:c>
      <x:c r="E321" t="str">
        <x:v>Referral</x:v>
      </x:c>
      <x:c r="F321" t="str">
        <x:v>35-44</x:v>
      </x:c>
    </x:row>
    <x:row r="322">
      <x:c r="A322" t="n">
        <x:v>321</x:v>
      </x:c>
      <x:c r="B322" s="16" t="n">
        <x:v>46082</x:v>
      </x:c>
      <x:c r="C322" t="str">
        <x:v>Standard</x:v>
      </x:c>
      <x:c r="D322" t="str">
        <x:v>India</x:v>
      </x:c>
      <x:c r="E322" t="str">
        <x:v>Paid Search</x:v>
      </x:c>
      <x:c r="F322" t="str">
        <x:v>35-44</x:v>
      </x:c>
    </x:row>
    <x:row r="323">
      <x:c r="A323" t="n">
        <x:v>322</x:v>
      </x:c>
      <x:c r="B323" s="16" t="n">
        <x:v>46113</x:v>
      </x:c>
      <x:c r="C323" t="str">
        <x:v>Metal</x:v>
      </x:c>
      <x:c r="D323" t="str">
        <x:v>Singapore</x:v>
      </x:c>
      <x:c r="E323" t="str">
        <x:v>Paid Search</x:v>
      </x:c>
      <x:c r="F323" t="str">
        <x:v>18-24</x:v>
      </x:c>
    </x:row>
    <x:row r="324">
      <x:c r="A324" t="n">
        <x:v>323</x:v>
      </x:c>
      <x:c r="B324" s="16" t="n">
        <x:v>46054</x:v>
      </x:c>
      <x:c r="C324" t="str">
        <x:v>Metal</x:v>
      </x:c>
      <x:c r="D324" t="str">
        <x:v>UAE</x:v>
      </x:c>
      <x:c r="E324" t="str">
        <x:v>Organic</x:v>
      </x:c>
      <x:c r="F324" t="str">
        <x:v>25-34</x:v>
      </x:c>
    </x:row>
    <x:row r="325">
      <x:c r="A325" t="n">
        <x:v>324</x:v>
      </x:c>
      <x:c r="B325" s="16" t="n">
        <x:v>46113</x:v>
      </x:c>
      <x:c r="C325" t="str">
        <x:v>Standard</x:v>
      </x:c>
      <x:c r="D325" t="str">
        <x:v>UAE</x:v>
      </x:c>
      <x:c r="E325" t="str">
        <x:v>Referral</x:v>
      </x:c>
      <x:c r="F325" t="str">
        <x:v>45+</x:v>
      </x:c>
    </x:row>
    <x:row r="326">
      <x:c r="A326" t="n">
        <x:v>325</x:v>
      </x:c>
      <x:c r="B326" s="16" t="n">
        <x:v>46174</x:v>
      </x:c>
      <x:c r="C326" t="str">
        <x:v>Plus</x:v>
      </x:c>
      <x:c r="D326" t="str">
        <x:v>India</x:v>
      </x:c>
      <x:c r="E326" t="str">
        <x:v>Referral</x:v>
      </x:c>
      <x:c r="F326" t="str">
        <x:v>35-44</x:v>
      </x:c>
    </x:row>
    <x:row r="327">
      <x:c r="A327" t="n">
        <x:v>326</x:v>
      </x:c>
      <x:c r="B327" s="16" t="n">
        <x:v>46174</x:v>
      </x:c>
      <x:c r="C327" t="str">
        <x:v>Premium</x:v>
      </x:c>
      <x:c r="D327" t="str">
        <x:v>Singapore</x:v>
      </x:c>
      <x:c r="E327" t="str">
        <x:v>Organic</x:v>
      </x:c>
      <x:c r="F327" t="str">
        <x:v>25-34</x:v>
      </x:c>
    </x:row>
    <x:row r="328">
      <x:c r="A328" t="n">
        <x:v>327</x:v>
      </x:c>
      <x:c r="B328" s="16" t="n">
        <x:v>46082</x:v>
      </x:c>
      <x:c r="C328" t="str">
        <x:v>Plus</x:v>
      </x:c>
      <x:c r="D328" t="str">
        <x:v>Singapore</x:v>
      </x:c>
      <x:c r="E328" t="str">
        <x:v>Organic</x:v>
      </x:c>
      <x:c r="F328" t="str">
        <x:v>45+</x:v>
      </x:c>
    </x:row>
    <x:row r="329">
      <x:c r="A329" t="n">
        <x:v>328</x:v>
      </x:c>
      <x:c r="B329" s="16" t="n">
        <x:v>46113</x:v>
      </x:c>
      <x:c r="C329" t="str">
        <x:v>Standard</x:v>
      </x:c>
      <x:c r="D329" t="str">
        <x:v>UAE</x:v>
      </x:c>
      <x:c r="E329" t="str">
        <x:v>Referral</x:v>
      </x:c>
      <x:c r="F329" t="str">
        <x:v>35-44</x:v>
      </x:c>
    </x:row>
    <x:row r="330">
      <x:c r="A330" t="n">
        <x:v>329</x:v>
      </x:c>
      <x:c r="B330" s="16" t="n">
        <x:v>46113</x:v>
      </x:c>
      <x:c r="C330" t="str">
        <x:v>Plus</x:v>
      </x:c>
      <x:c r="D330" t="str">
        <x:v>United Kingdom</x:v>
      </x:c>
      <x:c r="E330" t="str">
        <x:v>Paid Search</x:v>
      </x:c>
      <x:c r="F330" t="str">
        <x:v>25-34</x:v>
      </x:c>
    </x:row>
    <x:row r="331">
      <x:c r="A331" t="n">
        <x:v>330</x:v>
      </x:c>
      <x:c r="B331" s="16" t="n">
        <x:v>46082</x:v>
      </x:c>
      <x:c r="C331" t="str">
        <x:v>Standard</x:v>
      </x:c>
      <x:c r="D331" t="str">
        <x:v>UAE</x:v>
      </x:c>
      <x:c r="E331" t="str">
        <x:v>Referral</x:v>
      </x:c>
      <x:c r="F331" t="str">
        <x:v>35-44</x:v>
      </x:c>
    </x:row>
    <x:row r="332">
      <x:c r="A332" t="n">
        <x:v>331</x:v>
      </x:c>
      <x:c r="B332" s="16" t="n">
        <x:v>46174</x:v>
      </x:c>
      <x:c r="C332" t="str">
        <x:v>Standard</x:v>
      </x:c>
      <x:c r="D332" t="str">
        <x:v>Germany</x:v>
      </x:c>
      <x:c r="E332" t="str">
        <x:v>Paid Search</x:v>
      </x:c>
      <x:c r="F332" t="str">
        <x:v>25-34</x:v>
      </x:c>
    </x:row>
    <x:row r="333">
      <x:c r="A333" t="n">
        <x:v>332</x:v>
      </x:c>
      <x:c r="B333" s="16" t="n">
        <x:v>46082</x:v>
      </x:c>
      <x:c r="C333" t="str">
        <x:v>Premium</x:v>
      </x:c>
      <x:c r="D333" t="str">
        <x:v>United Kingdom</x:v>
      </x:c>
      <x:c r="E333" t="str">
        <x:v>Organic</x:v>
      </x:c>
      <x:c r="F333" t="str">
        <x:v>25-34</x:v>
      </x:c>
    </x:row>
    <x:row r="334">
      <x:c r="A334" t="n">
        <x:v>333</x:v>
      </x:c>
      <x:c r="B334" s="16" t="n">
        <x:v>46113</x:v>
      </x:c>
      <x:c r="C334" t="str">
        <x:v>Metal</x:v>
      </x:c>
      <x:c r="D334" t="str">
        <x:v>UAE</x:v>
      </x:c>
      <x:c r="E334" t="str">
        <x:v>Partnership</x:v>
      </x:c>
      <x:c r="F334" t="str">
        <x:v>25-34</x:v>
      </x:c>
    </x:row>
    <x:row r="335">
      <x:c r="A335" t="n">
        <x:v>334</x:v>
      </x:c>
      <x:c r="B335" s="16" t="n">
        <x:v>46054</x:v>
      </x:c>
      <x:c r="C335" t="str">
        <x:v>Standard</x:v>
      </x:c>
      <x:c r="D335" t="str">
        <x:v>Germany</x:v>
      </x:c>
      <x:c r="E335" t="str">
        <x:v>Organic</x:v>
      </x:c>
      <x:c r="F335" t="str">
        <x:v>45+</x:v>
      </x:c>
    </x:row>
    <x:row r="336">
      <x:c r="A336" t="n">
        <x:v>335</x:v>
      </x:c>
      <x:c r="B336" s="16" t="n">
        <x:v>46113</x:v>
      </x:c>
      <x:c r="C336" t="str">
        <x:v>Standard</x:v>
      </x:c>
      <x:c r="D336" t="str">
        <x:v>Germany</x:v>
      </x:c>
      <x:c r="E336" t="str">
        <x:v>Organic</x:v>
      </x:c>
      <x:c r="F336" t="str">
        <x:v>35-44</x:v>
      </x:c>
    </x:row>
    <x:row r="337">
      <x:c r="A337" t="n">
        <x:v>336</x:v>
      </x:c>
      <x:c r="B337" s="16" t="n">
        <x:v>46113</x:v>
      </x:c>
      <x:c r="C337" t="str">
        <x:v>Plus</x:v>
      </x:c>
      <x:c r="D337" t="str">
        <x:v>United Kingdom</x:v>
      </x:c>
      <x:c r="E337" t="str">
        <x:v>Referral</x:v>
      </x:c>
      <x:c r="F337" t="str">
        <x:v>25-34</x:v>
      </x:c>
    </x:row>
    <x:row r="338">
      <x:c r="A338" t="n">
        <x:v>337</x:v>
      </x:c>
      <x:c r="B338" s="16" t="n">
        <x:v>46113</x:v>
      </x:c>
      <x:c r="C338" t="str">
        <x:v>Standard</x:v>
      </x:c>
      <x:c r="D338" t="str">
        <x:v>India</x:v>
      </x:c>
      <x:c r="E338" t="str">
        <x:v>Paid Search</x:v>
      </x:c>
      <x:c r="F338" t="str">
        <x:v>25-34</x:v>
      </x:c>
    </x:row>
    <x:row r="339">
      <x:c r="A339" t="n">
        <x:v>338</x:v>
      </x:c>
      <x:c r="B339" s="16" t="n">
        <x:v>46113</x:v>
      </x:c>
      <x:c r="C339" t="str">
        <x:v>Plus</x:v>
      </x:c>
      <x:c r="D339" t="str">
        <x:v>United Kingdom</x:v>
      </x:c>
      <x:c r="E339" t="str">
        <x:v>Paid Search</x:v>
      </x:c>
      <x:c r="F339" t="str">
        <x:v>18-24</x:v>
      </x:c>
    </x:row>
    <x:row r="340">
      <x:c r="A340" t="n">
        <x:v>339</x:v>
      </x:c>
      <x:c r="B340" s="16" t="n">
        <x:v>46054</x:v>
      </x:c>
      <x:c r="C340" t="str">
        <x:v>Plus</x:v>
      </x:c>
      <x:c r="D340" t="str">
        <x:v>UAE</x:v>
      </x:c>
      <x:c r="E340" t="str">
        <x:v>Organic</x:v>
      </x:c>
      <x:c r="F340" t="str">
        <x:v>25-34</x:v>
      </x:c>
    </x:row>
    <x:row r="341">
      <x:c r="A341" t="n">
        <x:v>340</x:v>
      </x:c>
      <x:c r="B341" s="16" t="n">
        <x:v>46054</x:v>
      </x:c>
      <x:c r="C341" t="str">
        <x:v>Plus</x:v>
      </x:c>
      <x:c r="D341" t="str">
        <x:v>United Kingdom</x:v>
      </x:c>
      <x:c r="E341" t="str">
        <x:v>Organic</x:v>
      </x:c>
      <x:c r="F341" t="str">
        <x:v>18-24</x:v>
      </x:c>
    </x:row>
    <x:row r="342">
      <x:c r="A342" t="n">
        <x:v>341</x:v>
      </x:c>
      <x:c r="B342" s="16" t="n">
        <x:v>46082</x:v>
      </x:c>
      <x:c r="C342" t="str">
        <x:v>Plus</x:v>
      </x:c>
      <x:c r="D342" t="str">
        <x:v>United Kingdom</x:v>
      </x:c>
      <x:c r="E342" t="str">
        <x:v>Organic</x:v>
      </x:c>
      <x:c r="F342" t="str">
        <x:v>35-44</x:v>
      </x:c>
    </x:row>
    <x:row r="343">
      <x:c r="A343" t="n">
        <x:v>342</x:v>
      </x:c>
      <x:c r="B343" s="16" t="n">
        <x:v>46054</x:v>
      </x:c>
      <x:c r="C343" t="str">
        <x:v>Premium</x:v>
      </x:c>
      <x:c r="D343" t="str">
        <x:v>United Kingdom</x:v>
      </x:c>
      <x:c r="E343" t="str">
        <x:v>Organic</x:v>
      </x:c>
      <x:c r="F343" t="str">
        <x:v>35-44</x:v>
      </x:c>
    </x:row>
    <x:row r="344">
      <x:c r="A344" t="n">
        <x:v>343</x:v>
      </x:c>
      <x:c r="B344" s="16" t="n">
        <x:v>46143</x:v>
      </x:c>
      <x:c r="C344" t="str">
        <x:v>Standard</x:v>
      </x:c>
      <x:c r="D344" t="str">
        <x:v>India</x:v>
      </x:c>
      <x:c r="E344" t="str">
        <x:v>Paid Search</x:v>
      </x:c>
      <x:c r="F344" t="str">
        <x:v>25-34</x:v>
      </x:c>
    </x:row>
    <x:row r="345">
      <x:c r="A345" t="n">
        <x:v>344</x:v>
      </x:c>
      <x:c r="B345" s="16" t="n">
        <x:v>46082</x:v>
      </x:c>
      <x:c r="C345" t="str">
        <x:v>Premium</x:v>
      </x:c>
      <x:c r="D345" t="str">
        <x:v>India</x:v>
      </x:c>
      <x:c r="E345" t="str">
        <x:v>Organic</x:v>
      </x:c>
      <x:c r="F345" t="str">
        <x:v>35-44</x:v>
      </x:c>
    </x:row>
    <x:row r="346">
      <x:c r="A346" t="n">
        <x:v>345</x:v>
      </x:c>
      <x:c r="B346" s="16" t="n">
        <x:v>46143</x:v>
      </x:c>
      <x:c r="C346" t="str">
        <x:v>Metal</x:v>
      </x:c>
      <x:c r="D346" t="str">
        <x:v>India</x:v>
      </x:c>
      <x:c r="E346" t="str">
        <x:v>Organic</x:v>
      </x:c>
      <x:c r="F346" t="str">
        <x:v>25-34</x:v>
      </x:c>
    </x:row>
    <x:row r="347">
      <x:c r="A347" t="n">
        <x:v>346</x:v>
      </x:c>
      <x:c r="B347" s="16" t="n">
        <x:v>46143</x:v>
      </x:c>
      <x:c r="C347" t="str">
        <x:v>Plus</x:v>
      </x:c>
      <x:c r="D347" t="str">
        <x:v>India</x:v>
      </x:c>
      <x:c r="E347" t="str">
        <x:v>Organic</x:v>
      </x:c>
      <x:c r="F347" t="str">
        <x:v>45+</x:v>
      </x:c>
    </x:row>
    <x:row r="348">
      <x:c r="A348" t="n">
        <x:v>347</x:v>
      </x:c>
      <x:c r="B348" s="16" t="n">
        <x:v>46174</x:v>
      </x:c>
      <x:c r="C348" t="str">
        <x:v>Plus</x:v>
      </x:c>
      <x:c r="D348" t="str">
        <x:v>India</x:v>
      </x:c>
      <x:c r="E348" t="str">
        <x:v>Organic</x:v>
      </x:c>
      <x:c r="F348" t="str">
        <x:v>45+</x:v>
      </x:c>
    </x:row>
    <x:row r="349">
      <x:c r="A349" t="n">
        <x:v>348</x:v>
      </x:c>
      <x:c r="B349" s="16" t="n">
        <x:v>46113</x:v>
      </x:c>
      <x:c r="C349" t="str">
        <x:v>Plus</x:v>
      </x:c>
      <x:c r="D349" t="str">
        <x:v>United Kingdom</x:v>
      </x:c>
      <x:c r="E349" t="str">
        <x:v>Paid Search</x:v>
      </x:c>
      <x:c r="F349" t="str">
        <x:v>25-34</x:v>
      </x:c>
    </x:row>
    <x:row r="350">
      <x:c r="A350" t="n">
        <x:v>349</x:v>
      </x:c>
      <x:c r="B350" s="16" t="n">
        <x:v>46082</x:v>
      </x:c>
      <x:c r="C350" t="str">
        <x:v>Metal</x:v>
      </x:c>
      <x:c r="D350" t="str">
        <x:v>UAE</x:v>
      </x:c>
      <x:c r="E350" t="str">
        <x:v>Referral</x:v>
      </x:c>
      <x:c r="F350" t="str">
        <x:v>25-34</x:v>
      </x:c>
    </x:row>
    <x:row r="351">
      <x:c r="A351" t="n">
        <x:v>350</x:v>
      </x:c>
      <x:c r="B351" s="16" t="n">
        <x:v>46113</x:v>
      </x:c>
      <x:c r="C351" t="str">
        <x:v>Standard</x:v>
      </x:c>
      <x:c r="D351" t="str">
        <x:v>India</x:v>
      </x:c>
      <x:c r="E351" t="str">
        <x:v>Referral</x:v>
      </x:c>
      <x:c r="F351" t="str">
        <x:v>45+</x:v>
      </x:c>
    </x:row>
    <x:row r="352">
      <x:c r="A352" t="n">
        <x:v>351</x:v>
      </x:c>
      <x:c r="B352" s="16" t="n">
        <x:v>46082</x:v>
      </x:c>
      <x:c r="C352" t="str">
        <x:v>Standard</x:v>
      </x:c>
      <x:c r="D352" t="str">
        <x:v>India</x:v>
      </x:c>
      <x:c r="E352" t="str">
        <x:v>Organic</x:v>
      </x:c>
      <x:c r="F352" t="str">
        <x:v>18-24</x:v>
      </x:c>
    </x:row>
    <x:row r="353">
      <x:c r="A353" t="n">
        <x:v>352</x:v>
      </x:c>
      <x:c r="B353" s="16" t="n">
        <x:v>46143</x:v>
      </x:c>
      <x:c r="C353" t="str">
        <x:v>Standard</x:v>
      </x:c>
      <x:c r="D353" t="str">
        <x:v>India</x:v>
      </x:c>
      <x:c r="E353" t="str">
        <x:v>Organic</x:v>
      </x:c>
      <x:c r="F353" t="str">
        <x:v>45+</x:v>
      </x:c>
    </x:row>
    <x:row r="354">
      <x:c r="A354" t="n">
        <x:v>353</x:v>
      </x:c>
      <x:c r="B354" s="16" t="n">
        <x:v>46082</x:v>
      </x:c>
      <x:c r="C354" t="str">
        <x:v>Standard</x:v>
      </x:c>
      <x:c r="D354" t="str">
        <x:v>United Kingdom</x:v>
      </x:c>
      <x:c r="E354" t="str">
        <x:v>Paid Search</x:v>
      </x:c>
      <x:c r="F354" t="str">
        <x:v>45+</x:v>
      </x:c>
    </x:row>
    <x:row r="355">
      <x:c r="A355" t="n">
        <x:v>354</x:v>
      </x:c>
      <x:c r="B355" s="16" t="n">
        <x:v>46143</x:v>
      </x:c>
      <x:c r="C355" t="str">
        <x:v>Standard</x:v>
      </x:c>
      <x:c r="D355" t="str">
        <x:v>UAE</x:v>
      </x:c>
      <x:c r="E355" t="str">
        <x:v>Organic</x:v>
      </x:c>
      <x:c r="F355" t="str">
        <x:v>45+</x:v>
      </x:c>
    </x:row>
    <x:row r="356">
      <x:c r="A356" t="n">
        <x:v>355</x:v>
      </x:c>
      <x:c r="B356" s="16" t="n">
        <x:v>46143</x:v>
      </x:c>
      <x:c r="C356" t="str">
        <x:v>Standard</x:v>
      </x:c>
      <x:c r="D356" t="str">
        <x:v>UAE</x:v>
      </x:c>
      <x:c r="E356" t="str">
        <x:v>Referral</x:v>
      </x:c>
      <x:c r="F356" t="str">
        <x:v>25-34</x:v>
      </x:c>
    </x:row>
    <x:row r="357">
      <x:c r="A357" t="n">
        <x:v>356</x:v>
      </x:c>
      <x:c r="B357" s="16" t="n">
        <x:v>46174</x:v>
      </x:c>
      <x:c r="C357" t="str">
        <x:v>Premium</x:v>
      </x:c>
      <x:c r="D357" t="str">
        <x:v>Singapore</x:v>
      </x:c>
      <x:c r="E357" t="str">
        <x:v>Referral</x:v>
      </x:c>
      <x:c r="F357" t="str">
        <x:v>18-24</x:v>
      </x:c>
    </x:row>
    <x:row r="358">
      <x:c r="A358" t="n">
        <x:v>357</x:v>
      </x:c>
      <x:c r="B358" s="16" t="n">
        <x:v>46143</x:v>
      </x:c>
      <x:c r="C358" t="str">
        <x:v>Plus</x:v>
      </x:c>
      <x:c r="D358" t="str">
        <x:v>United Kingdom</x:v>
      </x:c>
      <x:c r="E358" t="str">
        <x:v>Organic</x:v>
      </x:c>
      <x:c r="F358" t="str">
        <x:v>45+</x:v>
      </x:c>
    </x:row>
    <x:row r="359">
      <x:c r="A359" t="n">
        <x:v>358</x:v>
      </x:c>
      <x:c r="B359" s="16" t="n">
        <x:v>46174</x:v>
      </x:c>
      <x:c r="C359" t="str">
        <x:v>Standard</x:v>
      </x:c>
      <x:c r="D359" t="str">
        <x:v>India</x:v>
      </x:c>
      <x:c r="E359" t="str">
        <x:v>Paid Search</x:v>
      </x:c>
      <x:c r="F359" t="str">
        <x:v>25-34</x:v>
      </x:c>
    </x:row>
    <x:row r="360">
      <x:c r="A360" t="n">
        <x:v>359</x:v>
      </x:c>
      <x:c r="B360" s="16" t="n">
        <x:v>46113</x:v>
      </x:c>
      <x:c r="C360" t="str">
        <x:v>Standard</x:v>
      </x:c>
      <x:c r="D360" t="str">
        <x:v>UAE</x:v>
      </x:c>
      <x:c r="E360" t="str">
        <x:v>Organic</x:v>
      </x:c>
      <x:c r="F360" t="str">
        <x:v>25-34</x:v>
      </x:c>
    </x:row>
    <x:row r="361">
      <x:c r="A361" t="n">
        <x:v>360</x:v>
      </x:c>
      <x:c r="B361" s="16" t="n">
        <x:v>46174</x:v>
      </x:c>
      <x:c r="C361" t="str">
        <x:v>Standard</x:v>
      </x:c>
      <x:c r="D361" t="str">
        <x:v>United Kingdom</x:v>
      </x:c>
      <x:c r="E361" t="str">
        <x:v>Organic</x:v>
      </x:c>
      <x:c r="F361" t="str">
        <x:v>35-44</x:v>
      </x:c>
    </x:row>
    <x:row r="362">
      <x:c r="A362" t="n">
        <x:v>361</x:v>
      </x:c>
      <x:c r="B362" s="16" t="n">
        <x:v>46054</x:v>
      </x:c>
      <x:c r="C362" t="str">
        <x:v>Metal</x:v>
      </x:c>
      <x:c r="D362" t="str">
        <x:v>India</x:v>
      </x:c>
      <x:c r="E362" t="str">
        <x:v>Referral</x:v>
      </x:c>
      <x:c r="F362" t="str">
        <x:v>25-34</x:v>
      </x:c>
    </x:row>
    <x:row r="363">
      <x:c r="A363" t="n">
        <x:v>362</x:v>
      </x:c>
      <x:c r="B363" s="16" t="n">
        <x:v>46174</x:v>
      </x:c>
      <x:c r="C363" t="str">
        <x:v>Premium</x:v>
      </x:c>
      <x:c r="D363" t="str">
        <x:v>Germany</x:v>
      </x:c>
      <x:c r="E363" t="str">
        <x:v>Organic</x:v>
      </x:c>
      <x:c r="F363" t="str">
        <x:v>25-34</x:v>
      </x:c>
    </x:row>
    <x:row r="364">
      <x:c r="A364" t="n">
        <x:v>363</x:v>
      </x:c>
      <x:c r="B364" s="16" t="n">
        <x:v>46054</x:v>
      </x:c>
      <x:c r="C364" t="str">
        <x:v>Premium</x:v>
      </x:c>
      <x:c r="D364" t="str">
        <x:v>United Kingdom</x:v>
      </x:c>
      <x:c r="E364" t="str">
        <x:v>Organic</x:v>
      </x:c>
      <x:c r="F364" t="str">
        <x:v>18-24</x:v>
      </x:c>
    </x:row>
    <x:row r="365">
      <x:c r="A365" t="n">
        <x:v>364</x:v>
      </x:c>
      <x:c r="B365" s="16" t="n">
        <x:v>46113</x:v>
      </x:c>
      <x:c r="C365" t="str">
        <x:v>Standard</x:v>
      </x:c>
      <x:c r="D365" t="str">
        <x:v>Germany</x:v>
      </x:c>
      <x:c r="E365" t="str">
        <x:v>Organic</x:v>
      </x:c>
      <x:c r="F365" t="str">
        <x:v>35-44</x:v>
      </x:c>
    </x:row>
    <x:row r="366">
      <x:c r="A366" t="n">
        <x:v>365</x:v>
      </x:c>
      <x:c r="B366" s="16" t="n">
        <x:v>46174</x:v>
      </x:c>
      <x:c r="C366" t="str">
        <x:v>Premium</x:v>
      </x:c>
      <x:c r="D366" t="str">
        <x:v>Singapore</x:v>
      </x:c>
      <x:c r="E366" t="str">
        <x:v>Paid Search</x:v>
      </x:c>
      <x:c r="F366" t="str">
        <x:v>45+</x:v>
      </x:c>
    </x:row>
    <x:row r="367">
      <x:c r="A367" t="n">
        <x:v>366</x:v>
      </x:c>
      <x:c r="B367" s="16" t="n">
        <x:v>46143</x:v>
      </x:c>
      <x:c r="C367" t="str">
        <x:v>Standard</x:v>
      </x:c>
      <x:c r="D367" t="str">
        <x:v>UAE</x:v>
      </x:c>
      <x:c r="E367" t="str">
        <x:v>Paid Search</x:v>
      </x:c>
      <x:c r="F367" t="str">
        <x:v>18-24</x:v>
      </x:c>
    </x:row>
    <x:row r="368">
      <x:c r="A368" t="n">
        <x:v>367</x:v>
      </x:c>
      <x:c r="B368" s="16" t="n">
        <x:v>46174</x:v>
      </x:c>
      <x:c r="C368" t="str">
        <x:v>Standard</x:v>
      </x:c>
      <x:c r="D368" t="str">
        <x:v>India</x:v>
      </x:c>
      <x:c r="E368" t="str">
        <x:v>Partnership</x:v>
      </x:c>
      <x:c r="F368" t="str">
        <x:v>18-24</x:v>
      </x:c>
    </x:row>
    <x:row r="369">
      <x:c r="A369" t="n">
        <x:v>368</x:v>
      </x:c>
      <x:c r="B369" s="16" t="n">
        <x:v>46082</x:v>
      </x:c>
      <x:c r="C369" t="str">
        <x:v>Standard</x:v>
      </x:c>
      <x:c r="D369" t="str">
        <x:v>India</x:v>
      </x:c>
      <x:c r="E369" t="str">
        <x:v>Organic</x:v>
      </x:c>
      <x:c r="F369" t="str">
        <x:v>35-44</x:v>
      </x:c>
    </x:row>
    <x:row r="370">
      <x:c r="A370" t="n">
        <x:v>369</x:v>
      </x:c>
      <x:c r="B370" s="16" t="n">
        <x:v>46143</x:v>
      </x:c>
      <x:c r="C370" t="str">
        <x:v>Standard</x:v>
      </x:c>
      <x:c r="D370" t="str">
        <x:v>India</x:v>
      </x:c>
      <x:c r="E370" t="str">
        <x:v>Paid Search</x:v>
      </x:c>
      <x:c r="F370" t="str">
        <x:v>35-44</x:v>
      </x:c>
    </x:row>
    <x:row r="371">
      <x:c r="A371" t="n">
        <x:v>370</x:v>
      </x:c>
      <x:c r="B371" s="16" t="n">
        <x:v>46082</x:v>
      </x:c>
      <x:c r="C371" t="str">
        <x:v>Standard</x:v>
      </x:c>
      <x:c r="D371" t="str">
        <x:v>India</x:v>
      </x:c>
      <x:c r="E371" t="str">
        <x:v>Organic</x:v>
      </x:c>
      <x:c r="F371" t="str">
        <x:v>45+</x:v>
      </x:c>
    </x:row>
    <x:row r="372">
      <x:c r="A372" t="n">
        <x:v>371</x:v>
      </x:c>
      <x:c r="B372" s="16" t="n">
        <x:v>46082</x:v>
      </x:c>
      <x:c r="C372" t="str">
        <x:v>Premium</x:v>
      </x:c>
      <x:c r="D372" t="str">
        <x:v>India</x:v>
      </x:c>
      <x:c r="E372" t="str">
        <x:v>Referral</x:v>
      </x:c>
      <x:c r="F372" t="str">
        <x:v>25-34</x:v>
      </x:c>
    </x:row>
    <x:row r="373">
      <x:c r="A373" t="n">
        <x:v>372</x:v>
      </x:c>
      <x:c r="B373" s="16" t="n">
        <x:v>46174</x:v>
      </x:c>
      <x:c r="C373" t="str">
        <x:v>Standard</x:v>
      </x:c>
      <x:c r="D373" t="str">
        <x:v>India</x:v>
      </x:c>
      <x:c r="E373" t="str">
        <x:v>Organic</x:v>
      </x:c>
      <x:c r="F373" t="str">
        <x:v>35-44</x:v>
      </x:c>
    </x:row>
    <x:row r="374">
      <x:c r="A374" t="n">
        <x:v>373</x:v>
      </x:c>
      <x:c r="B374" s="16" t="n">
        <x:v>46054</x:v>
      </x:c>
      <x:c r="C374" t="str">
        <x:v>Standard</x:v>
      </x:c>
      <x:c r="D374" t="str">
        <x:v>India</x:v>
      </x:c>
      <x:c r="E374" t="str">
        <x:v>Referral</x:v>
      </x:c>
      <x:c r="F374" t="str">
        <x:v>35-44</x:v>
      </x:c>
    </x:row>
    <x:row r="375">
      <x:c r="A375" t="n">
        <x:v>374</x:v>
      </x:c>
      <x:c r="B375" s="16" t="n">
        <x:v>46143</x:v>
      </x:c>
      <x:c r="C375" t="str">
        <x:v>Standard</x:v>
      </x:c>
      <x:c r="D375" t="str">
        <x:v>UAE</x:v>
      </x:c>
      <x:c r="E375" t="str">
        <x:v>Organic</x:v>
      </x:c>
      <x:c r="F375" t="str">
        <x:v>35-44</x:v>
      </x:c>
    </x:row>
    <x:row r="376">
      <x:c r="A376" t="n">
        <x:v>375</x:v>
      </x:c>
      <x:c r="B376" s="16" t="n">
        <x:v>46174</x:v>
      </x:c>
      <x:c r="C376" t="str">
        <x:v>Standard</x:v>
      </x:c>
      <x:c r="D376" t="str">
        <x:v>Germany</x:v>
      </x:c>
      <x:c r="E376" t="str">
        <x:v>Referral</x:v>
      </x:c>
      <x:c r="F376" t="str">
        <x:v>25-34</x:v>
      </x:c>
    </x:row>
    <x:row r="377">
      <x:c r="A377" t="n">
        <x:v>376</x:v>
      </x:c>
      <x:c r="B377" s="16" t="n">
        <x:v>46113</x:v>
      </x:c>
      <x:c r="C377" t="str">
        <x:v>Premium</x:v>
      </x:c>
      <x:c r="D377" t="str">
        <x:v>India</x:v>
      </x:c>
      <x:c r="E377" t="str">
        <x:v>Referral</x:v>
      </x:c>
      <x:c r="F377" t="str">
        <x:v>45+</x:v>
      </x:c>
    </x:row>
    <x:row r="378">
      <x:c r="A378" t="n">
        <x:v>377</x:v>
      </x:c>
      <x:c r="B378" s="16" t="n">
        <x:v>46174</x:v>
      </x:c>
      <x:c r="C378" t="str">
        <x:v>Standard</x:v>
      </x:c>
      <x:c r="D378" t="str">
        <x:v>United Kingdom</x:v>
      </x:c>
      <x:c r="E378" t="str">
        <x:v>Organic</x:v>
      </x:c>
      <x:c r="F378" t="str">
        <x:v>18-24</x:v>
      </x:c>
    </x:row>
    <x:row r="379">
      <x:c r="A379" t="n">
        <x:v>378</x:v>
      </x:c>
      <x:c r="B379" s="16" t="n">
        <x:v>46113</x:v>
      </x:c>
      <x:c r="C379" t="str">
        <x:v>Premium</x:v>
      </x:c>
      <x:c r="D379" t="str">
        <x:v>India</x:v>
      </x:c>
      <x:c r="E379" t="str">
        <x:v>Paid Search</x:v>
      </x:c>
      <x:c r="F379" t="str">
        <x:v>45+</x:v>
      </x:c>
    </x:row>
    <x:row r="380">
      <x:c r="A380" t="n">
        <x:v>379</x:v>
      </x:c>
      <x:c r="B380" s="16" t="n">
        <x:v>46113</x:v>
      </x:c>
      <x:c r="C380" t="str">
        <x:v>Plus</x:v>
      </x:c>
      <x:c r="D380" t="str">
        <x:v>United Kingdom</x:v>
      </x:c>
      <x:c r="E380" t="str">
        <x:v>Paid Search</x:v>
      </x:c>
      <x:c r="F380" t="str">
        <x:v>45+</x:v>
      </x:c>
    </x:row>
    <x:row r="381">
      <x:c r="A381" t="n">
        <x:v>380</x:v>
      </x:c>
      <x:c r="B381" s="16" t="n">
        <x:v>46174</x:v>
      </x:c>
      <x:c r="C381" t="str">
        <x:v>Standard</x:v>
      </x:c>
      <x:c r="D381" t="str">
        <x:v>United Kingdom</x:v>
      </x:c>
      <x:c r="E381" t="str">
        <x:v>Organic</x:v>
      </x:c>
      <x:c r="F381" t="str">
        <x:v>35-44</x:v>
      </x:c>
    </x:row>
    <x:row r="382">
      <x:c r="A382" t="n">
        <x:v>381</x:v>
      </x:c>
      <x:c r="B382" s="16" t="n">
        <x:v>46113</x:v>
      </x:c>
      <x:c r="C382" t="str">
        <x:v>Standard</x:v>
      </x:c>
      <x:c r="D382" t="str">
        <x:v>India</x:v>
      </x:c>
      <x:c r="E382" t="str">
        <x:v>Partnership</x:v>
      </x:c>
      <x:c r="F382" t="str">
        <x:v>35-44</x:v>
      </x:c>
    </x:row>
    <x:row r="383">
      <x:c r="A383" t="n">
        <x:v>382</x:v>
      </x:c>
      <x:c r="B383" s="16" t="n">
        <x:v>46143</x:v>
      </x:c>
      <x:c r="C383" t="str">
        <x:v>Premium</x:v>
      </x:c>
      <x:c r="D383" t="str">
        <x:v>UAE</x:v>
      </x:c>
      <x:c r="E383" t="str">
        <x:v>Referral</x:v>
      </x:c>
      <x:c r="F383" t="str">
        <x:v>18-24</x:v>
      </x:c>
    </x:row>
    <x:row r="384">
      <x:c r="A384" t="n">
        <x:v>383</x:v>
      </x:c>
      <x:c r="B384" s="16" t="n">
        <x:v>46113</x:v>
      </x:c>
      <x:c r="C384" t="str">
        <x:v>Metal</x:v>
      </x:c>
      <x:c r="D384" t="str">
        <x:v>United Kingdom</x:v>
      </x:c>
      <x:c r="E384" t="str">
        <x:v>Referral</x:v>
      </x:c>
      <x:c r="F384" t="str">
        <x:v>25-34</x:v>
      </x:c>
    </x:row>
    <x:row r="385">
      <x:c r="A385" t="n">
        <x:v>384</x:v>
      </x:c>
      <x:c r="B385" s="16" t="n">
        <x:v>46174</x:v>
      </x:c>
      <x:c r="C385" t="str">
        <x:v>Standard</x:v>
      </x:c>
      <x:c r="D385" t="str">
        <x:v>India</x:v>
      </x:c>
      <x:c r="E385" t="str">
        <x:v>Paid Search</x:v>
      </x:c>
      <x:c r="F385" t="str">
        <x:v>35-44</x:v>
      </x:c>
    </x:row>
    <x:row r="386">
      <x:c r="A386" t="n">
        <x:v>385</x:v>
      </x:c>
      <x:c r="B386" s="16" t="n">
        <x:v>46113</x:v>
      </x:c>
      <x:c r="C386" t="str">
        <x:v>Standard</x:v>
      </x:c>
      <x:c r="D386" t="str">
        <x:v>India</x:v>
      </x:c>
      <x:c r="E386" t="str">
        <x:v>Referral</x:v>
      </x:c>
      <x:c r="F386" t="str">
        <x:v>45+</x:v>
      </x:c>
    </x:row>
    <x:row r="387">
      <x:c r="A387" t="n">
        <x:v>386</x:v>
      </x:c>
      <x:c r="B387" s="16" t="n">
        <x:v>46174</x:v>
      </x:c>
      <x:c r="C387" t="str">
        <x:v>Plus</x:v>
      </x:c>
      <x:c r="D387" t="str">
        <x:v>Germany</x:v>
      </x:c>
      <x:c r="E387" t="str">
        <x:v>Paid Search</x:v>
      </x:c>
      <x:c r="F387" t="str">
        <x:v>45+</x:v>
      </x:c>
    </x:row>
    <x:row r="388">
      <x:c r="A388" t="n">
        <x:v>387</x:v>
      </x:c>
      <x:c r="B388" s="16" t="n">
        <x:v>46113</x:v>
      </x:c>
      <x:c r="C388" t="str">
        <x:v>Standard</x:v>
      </x:c>
      <x:c r="D388" t="str">
        <x:v>Germany</x:v>
      </x:c>
      <x:c r="E388" t="str">
        <x:v>Organic</x:v>
      </x:c>
      <x:c r="F388" t="str">
        <x:v>18-24</x:v>
      </x:c>
    </x:row>
    <x:row r="389">
      <x:c r="A389" t="n">
        <x:v>388</x:v>
      </x:c>
      <x:c r="B389" s="16" t="n">
        <x:v>46082</x:v>
      </x:c>
      <x:c r="C389" t="str">
        <x:v>Premium</x:v>
      </x:c>
      <x:c r="D389" t="str">
        <x:v>United Kingdom</x:v>
      </x:c>
      <x:c r="E389" t="str">
        <x:v>Organic</x:v>
      </x:c>
      <x:c r="F389" t="str">
        <x:v>35-44</x:v>
      </x:c>
    </x:row>
    <x:row r="390">
      <x:c r="A390" t="n">
        <x:v>389</x:v>
      </x:c>
      <x:c r="B390" s="16" t="n">
        <x:v>46143</x:v>
      </x:c>
      <x:c r="C390" t="str">
        <x:v>Standard</x:v>
      </x:c>
      <x:c r="D390" t="str">
        <x:v>India</x:v>
      </x:c>
      <x:c r="E390" t="str">
        <x:v>Referral</x:v>
      </x:c>
      <x:c r="F390" t="str">
        <x:v>18-24</x:v>
      </x:c>
    </x:row>
    <x:row r="391">
      <x:c r="A391" t="n">
        <x:v>390</x:v>
      </x:c>
      <x:c r="B391" s="16" t="n">
        <x:v>46143</x:v>
      </x:c>
      <x:c r="C391" t="str">
        <x:v>Standard</x:v>
      </x:c>
      <x:c r="D391" t="str">
        <x:v>UAE</x:v>
      </x:c>
      <x:c r="E391" t="str">
        <x:v>Referral</x:v>
      </x:c>
      <x:c r="F391" t="str">
        <x:v>35-44</x:v>
      </x:c>
    </x:row>
    <x:row r="392">
      <x:c r="A392" t="n">
        <x:v>391</x:v>
      </x:c>
      <x:c r="B392" s="16" t="n">
        <x:v>46113</x:v>
      </x:c>
      <x:c r="C392" t="str">
        <x:v>Premium</x:v>
      </x:c>
      <x:c r="D392" t="str">
        <x:v>United Kingdom</x:v>
      </x:c>
      <x:c r="E392" t="str">
        <x:v>Referral</x:v>
      </x:c>
      <x:c r="F392" t="str">
        <x:v>25-34</x:v>
      </x:c>
    </x:row>
    <x:row r="393">
      <x:c r="A393" t="n">
        <x:v>392</x:v>
      </x:c>
      <x:c r="B393" s="16" t="n">
        <x:v>46174</x:v>
      </x:c>
      <x:c r="C393" t="str">
        <x:v>Standard</x:v>
      </x:c>
      <x:c r="D393" t="str">
        <x:v>India</x:v>
      </x:c>
      <x:c r="E393" t="str">
        <x:v>Organic</x:v>
      </x:c>
      <x:c r="F393" t="str">
        <x:v>45+</x:v>
      </x:c>
    </x:row>
    <x:row r="394">
      <x:c r="A394" t="n">
        <x:v>393</x:v>
      </x:c>
      <x:c r="B394" s="16" t="n">
        <x:v>46054</x:v>
      </x:c>
      <x:c r="C394" t="str">
        <x:v>Standard</x:v>
      </x:c>
      <x:c r="D394" t="str">
        <x:v>Singapore</x:v>
      </x:c>
      <x:c r="E394" t="str">
        <x:v>Paid Search</x:v>
      </x:c>
      <x:c r="F394" t="str">
        <x:v>18-24</x:v>
      </x:c>
    </x:row>
    <x:row r="395">
      <x:c r="A395" t="n">
        <x:v>394</x:v>
      </x:c>
      <x:c r="B395" s="16" t="n">
        <x:v>46174</x:v>
      </x:c>
      <x:c r="C395" t="str">
        <x:v>Standard</x:v>
      </x:c>
      <x:c r="D395" t="str">
        <x:v>United Kingdom</x:v>
      </x:c>
      <x:c r="E395" t="str">
        <x:v>Organic</x:v>
      </x:c>
      <x:c r="F395" t="str">
        <x:v>18-24</x:v>
      </x:c>
    </x:row>
    <x:row r="396">
      <x:c r="A396" t="n">
        <x:v>395</x:v>
      </x:c>
      <x:c r="B396" s="16" t="n">
        <x:v>46054</x:v>
      </x:c>
      <x:c r="C396" t="str">
        <x:v>Standard</x:v>
      </x:c>
      <x:c r="D396" t="str">
        <x:v>United Kingdom</x:v>
      </x:c>
      <x:c r="E396" t="str">
        <x:v>Paid Search</x:v>
      </x:c>
      <x:c r="F396" t="str">
        <x:v>35-44</x:v>
      </x:c>
    </x:row>
    <x:row r="397">
      <x:c r="A397" t="n">
        <x:v>396</x:v>
      </x:c>
      <x:c r="B397" s="16" t="n">
        <x:v>46113</x:v>
      </x:c>
      <x:c r="C397" t="str">
        <x:v>Standard</x:v>
      </x:c>
      <x:c r="D397" t="str">
        <x:v>UAE</x:v>
      </x:c>
      <x:c r="E397" t="str">
        <x:v>Referral</x:v>
      </x:c>
      <x:c r="F397" t="str">
        <x:v>35-44</x:v>
      </x:c>
    </x:row>
    <x:row r="398">
      <x:c r="A398" t="n">
        <x:v>397</x:v>
      </x:c>
      <x:c r="B398" s="16" t="n">
        <x:v>46113</x:v>
      </x:c>
      <x:c r="C398" t="str">
        <x:v>Metal</x:v>
      </x:c>
      <x:c r="D398" t="str">
        <x:v>United Kingdom</x:v>
      </x:c>
      <x:c r="E398" t="str">
        <x:v>Referral</x:v>
      </x:c>
      <x:c r="F398" t="str">
        <x:v>35-44</x:v>
      </x:c>
    </x:row>
    <x:row r="399">
      <x:c r="A399" t="n">
        <x:v>398</x:v>
      </x:c>
      <x:c r="B399" s="16" t="n">
        <x:v>46174</x:v>
      </x:c>
      <x:c r="C399" t="str">
        <x:v>Standard</x:v>
      </x:c>
      <x:c r="D399" t="str">
        <x:v>India</x:v>
      </x:c>
      <x:c r="E399" t="str">
        <x:v>Paid Search</x:v>
      </x:c>
      <x:c r="F399" t="str">
        <x:v>25-34</x:v>
      </x:c>
    </x:row>
    <x:row r="400">
      <x:c r="A400" t="n">
        <x:v>399</x:v>
      </x:c>
      <x:c r="B400" s="16" t="n">
        <x:v>46082</x:v>
      </x:c>
      <x:c r="C400" t="str">
        <x:v>Plus</x:v>
      </x:c>
      <x:c r="D400" t="str">
        <x:v>Singapore</x:v>
      </x:c>
      <x:c r="E400" t="str">
        <x:v>Organic</x:v>
      </x:c>
      <x:c r="F400" t="str">
        <x:v>25-34</x:v>
      </x:c>
    </x:row>
    <x:row r="401">
      <x:c r="A401" t="n">
        <x:v>400</x:v>
      </x:c>
      <x:c r="B401" s="16" t="n">
        <x:v>46082</x:v>
      </x:c>
      <x:c r="C401" t="str">
        <x:v>Standard</x:v>
      </x:c>
      <x:c r="D401" t="str">
        <x:v>United Kingdom</x:v>
      </x:c>
      <x:c r="E401" t="str">
        <x:v>Organic</x:v>
      </x:c>
      <x:c r="F401" t="str">
        <x:v>45+</x:v>
      </x:c>
    </x:row>
    <x:row r="402">
      <x:c r="A402" t="n">
        <x:v>401</x:v>
      </x:c>
      <x:c r="B402" s="16" t="n">
        <x:v>46113</x:v>
      </x:c>
      <x:c r="C402" t="str">
        <x:v>Standard</x:v>
      </x:c>
      <x:c r="D402" t="str">
        <x:v>India</x:v>
      </x:c>
      <x:c r="E402" t="str">
        <x:v>Referral</x:v>
      </x:c>
      <x:c r="F402" t="str">
        <x:v>35-44</x:v>
      </x:c>
    </x:row>
    <x:row r="403">
      <x:c r="A403" t="n">
        <x:v>402</x:v>
      </x:c>
      <x:c r="B403" s="16" t="n">
        <x:v>46143</x:v>
      </x:c>
      <x:c r="C403" t="str">
        <x:v>Metal</x:v>
      </x:c>
      <x:c r="D403" t="str">
        <x:v>UAE</x:v>
      </x:c>
      <x:c r="E403" t="str">
        <x:v>Partnership</x:v>
      </x:c>
      <x:c r="F403" t="str">
        <x:v>18-24</x:v>
      </x:c>
    </x:row>
    <x:row r="404">
      <x:c r="A404" t="n">
        <x:v>403</x:v>
      </x:c>
      <x:c r="B404" s="16" t="n">
        <x:v>46082</x:v>
      </x:c>
      <x:c r="C404" t="str">
        <x:v>Premium</x:v>
      </x:c>
      <x:c r="D404" t="str">
        <x:v>Germany</x:v>
      </x:c>
      <x:c r="E404" t="str">
        <x:v>Referral</x:v>
      </x:c>
      <x:c r="F404" t="str">
        <x:v>25-34</x:v>
      </x:c>
    </x:row>
    <x:row r="405">
      <x:c r="A405" t="n">
        <x:v>404</x:v>
      </x:c>
      <x:c r="B405" s="16" t="n">
        <x:v>46054</x:v>
      </x:c>
      <x:c r="C405" t="str">
        <x:v>Plus</x:v>
      </x:c>
      <x:c r="D405" t="str">
        <x:v>Singapore</x:v>
      </x:c>
      <x:c r="E405" t="str">
        <x:v>Partnership</x:v>
      </x:c>
      <x:c r="F405" t="str">
        <x:v>25-34</x:v>
      </x:c>
    </x:row>
    <x:row r="406">
      <x:c r="A406" t="n">
        <x:v>405</x:v>
      </x:c>
      <x:c r="B406" s="16" t="n">
        <x:v>46143</x:v>
      </x:c>
      <x:c r="C406" t="str">
        <x:v>Standard</x:v>
      </x:c>
      <x:c r="D406" t="str">
        <x:v>India</x:v>
      </x:c>
      <x:c r="E406" t="str">
        <x:v>Organic</x:v>
      </x:c>
      <x:c r="F406" t="str">
        <x:v>35-44</x:v>
      </x:c>
    </x:row>
    <x:row r="407">
      <x:c r="A407" t="n">
        <x:v>406</x:v>
      </x:c>
      <x:c r="B407" s="16" t="n">
        <x:v>46054</x:v>
      </x:c>
      <x:c r="C407" t="str">
        <x:v>Premium</x:v>
      </x:c>
      <x:c r="D407" t="str">
        <x:v>United Kingdom</x:v>
      </x:c>
      <x:c r="E407" t="str">
        <x:v>Partnership</x:v>
      </x:c>
      <x:c r="F407" t="str">
        <x:v>45+</x:v>
      </x:c>
    </x:row>
    <x:row r="408">
      <x:c r="A408" t="n">
        <x:v>407</x:v>
      </x:c>
      <x:c r="B408" s="16" t="n">
        <x:v>46174</x:v>
      </x:c>
      <x:c r="C408" t="str">
        <x:v>Standard</x:v>
      </x:c>
      <x:c r="D408" t="str">
        <x:v>Singapore</x:v>
      </x:c>
      <x:c r="E408" t="str">
        <x:v>Paid Search</x:v>
      </x:c>
      <x:c r="F408" t="str">
        <x:v>35-44</x:v>
      </x:c>
    </x:row>
    <x:row r="409">
      <x:c r="A409" t="n">
        <x:v>408</x:v>
      </x:c>
      <x:c r="B409" s="16" t="n">
        <x:v>46054</x:v>
      </x:c>
      <x:c r="C409" t="str">
        <x:v>Premium</x:v>
      </x:c>
      <x:c r="D409" t="str">
        <x:v>UAE</x:v>
      </x:c>
      <x:c r="E409" t="str">
        <x:v>Paid Search</x:v>
      </x:c>
      <x:c r="F409" t="str">
        <x:v>45+</x:v>
      </x:c>
    </x:row>
    <x:row r="410">
      <x:c r="A410" t="n">
        <x:v>409</x:v>
      </x:c>
      <x:c r="B410" s="16" t="n">
        <x:v>46143</x:v>
      </x:c>
      <x:c r="C410" t="str">
        <x:v>Standard</x:v>
      </x:c>
      <x:c r="D410" t="str">
        <x:v>Germany</x:v>
      </x:c>
      <x:c r="E410" t="str">
        <x:v>Referral</x:v>
      </x:c>
      <x:c r="F410" t="str">
        <x:v>18-24</x:v>
      </x:c>
    </x:row>
    <x:row r="411">
      <x:c r="A411" t="n">
        <x:v>410</x:v>
      </x:c>
      <x:c r="B411" s="16" t="n">
        <x:v>46054</x:v>
      </x:c>
      <x:c r="C411" t="str">
        <x:v>Premium</x:v>
      </x:c>
      <x:c r="D411" t="str">
        <x:v>United Kingdom</x:v>
      </x:c>
      <x:c r="E411" t="str">
        <x:v>Paid Search</x:v>
      </x:c>
      <x:c r="F411" t="str">
        <x:v>45+</x:v>
      </x:c>
    </x:row>
    <x:row r="412">
      <x:c r="A412" t="n">
        <x:v>411</x:v>
      </x:c>
      <x:c r="B412" s="16" t="n">
        <x:v>46113</x:v>
      </x:c>
      <x:c r="C412" t="str">
        <x:v>Standard</x:v>
      </x:c>
      <x:c r="D412" t="str">
        <x:v>United Kingdom</x:v>
      </x:c>
      <x:c r="E412" t="str">
        <x:v>Referral</x:v>
      </x:c>
      <x:c r="F412" t="str">
        <x:v>35-44</x:v>
      </x:c>
    </x:row>
    <x:row r="413">
      <x:c r="A413" t="n">
        <x:v>412</x:v>
      </x:c>
      <x:c r="B413" s="16" t="n">
        <x:v>46082</x:v>
      </x:c>
      <x:c r="C413" t="str">
        <x:v>Standard</x:v>
      </x:c>
      <x:c r="D413" t="str">
        <x:v>Germany</x:v>
      </x:c>
      <x:c r="E413" t="str">
        <x:v>Organic</x:v>
      </x:c>
      <x:c r="F413" t="str">
        <x:v>18-24</x:v>
      </x:c>
    </x:row>
    <x:row r="414">
      <x:c r="A414" t="n">
        <x:v>413</x:v>
      </x:c>
      <x:c r="B414" s="16" t="n">
        <x:v>46082</x:v>
      </x:c>
      <x:c r="C414" t="str">
        <x:v>Plus</x:v>
      </x:c>
      <x:c r="D414" t="str">
        <x:v>India</x:v>
      </x:c>
      <x:c r="E414" t="str">
        <x:v>Paid Search</x:v>
      </x:c>
      <x:c r="F414" t="str">
        <x:v>45+</x:v>
      </x:c>
    </x:row>
    <x:row r="415">
      <x:c r="A415" t="n">
        <x:v>414</x:v>
      </x:c>
      <x:c r="B415" s="16" t="n">
        <x:v>46143</x:v>
      </x:c>
      <x:c r="C415" t="str">
        <x:v>Plus</x:v>
      </x:c>
      <x:c r="D415" t="str">
        <x:v>India</x:v>
      </x:c>
      <x:c r="E415" t="str">
        <x:v>Organic</x:v>
      </x:c>
      <x:c r="F415" t="str">
        <x:v>25-34</x:v>
      </x:c>
    </x:row>
    <x:row r="416">
      <x:c r="A416" t="n">
        <x:v>415</x:v>
      </x:c>
      <x:c r="B416" s="16" t="n">
        <x:v>46054</x:v>
      </x:c>
      <x:c r="C416" t="str">
        <x:v>Premium</x:v>
      </x:c>
      <x:c r="D416" t="str">
        <x:v>Singapore</x:v>
      </x:c>
      <x:c r="E416" t="str">
        <x:v>Organic</x:v>
      </x:c>
      <x:c r="F416" t="str">
        <x:v>18-24</x:v>
      </x:c>
    </x:row>
    <x:row r="417">
      <x:c r="A417" t="n">
        <x:v>416</x:v>
      </x:c>
      <x:c r="B417" s="16" t="n">
        <x:v>46143</x:v>
      </x:c>
      <x:c r="C417" t="str">
        <x:v>Metal</x:v>
      </x:c>
      <x:c r="D417" t="str">
        <x:v>United Kingdom</x:v>
      </x:c>
      <x:c r="E417" t="str">
        <x:v>Referral</x:v>
      </x:c>
      <x:c r="F417" t="str">
        <x:v>35-44</x:v>
      </x:c>
    </x:row>
    <x:row r="418">
      <x:c r="A418" t="n">
        <x:v>417</x:v>
      </x:c>
      <x:c r="B418" s="16" t="n">
        <x:v>46113</x:v>
      </x:c>
      <x:c r="C418" t="str">
        <x:v>Standard</x:v>
      </x:c>
      <x:c r="D418" t="str">
        <x:v>Singapore</x:v>
      </x:c>
      <x:c r="E418" t="str">
        <x:v>Referral</x:v>
      </x:c>
      <x:c r="F418" t="str">
        <x:v>45+</x:v>
      </x:c>
    </x:row>
    <x:row r="419">
      <x:c r="A419" t="n">
        <x:v>418</x:v>
      </x:c>
      <x:c r="B419" s="16" t="n">
        <x:v>46143</x:v>
      </x:c>
      <x:c r="C419" t="str">
        <x:v>Standard</x:v>
      </x:c>
      <x:c r="D419" t="str">
        <x:v>United Kingdom</x:v>
      </x:c>
      <x:c r="E419" t="str">
        <x:v>Organic</x:v>
      </x:c>
      <x:c r="F419" t="str">
        <x:v>25-34</x:v>
      </x:c>
    </x:row>
    <x:row r="420">
      <x:c r="A420" t="n">
        <x:v>419</x:v>
      </x:c>
      <x:c r="B420" s="16" t="n">
        <x:v>46054</x:v>
      </x:c>
      <x:c r="C420" t="str">
        <x:v>Plus</x:v>
      </x:c>
      <x:c r="D420" t="str">
        <x:v>UAE</x:v>
      </x:c>
      <x:c r="E420" t="str">
        <x:v>Partnership</x:v>
      </x:c>
      <x:c r="F420" t="str">
        <x:v>25-34</x:v>
      </x:c>
    </x:row>
    <x:row r="421">
      <x:c r="A421" t="n">
        <x:v>420</x:v>
      </x:c>
      <x:c r="B421" s="16" t="n">
        <x:v>46082</x:v>
      </x:c>
      <x:c r="C421" t="str">
        <x:v>Standard</x:v>
      </x:c>
      <x:c r="D421" t="str">
        <x:v>India</x:v>
      </x:c>
      <x:c r="E421" t="str">
        <x:v>Organic</x:v>
      </x:c>
      <x:c r="F421" t="str">
        <x:v>35-44</x:v>
      </x:c>
    </x:row>
    <x:row r="422">
      <x:c r="A422" t="n">
        <x:v>421</x:v>
      </x:c>
      <x:c r="B422" s="16" t="n">
        <x:v>46113</x:v>
      </x:c>
      <x:c r="C422" t="str">
        <x:v>Plus</x:v>
      </x:c>
      <x:c r="D422" t="str">
        <x:v>UAE</x:v>
      </x:c>
      <x:c r="E422" t="str">
        <x:v>Paid Search</x:v>
      </x:c>
      <x:c r="F422" t="str">
        <x:v>45+</x:v>
      </x:c>
    </x:row>
    <x:row r="423">
      <x:c r="A423" t="n">
        <x:v>422</x:v>
      </x:c>
      <x:c r="B423" s="16" t="n">
        <x:v>46113</x:v>
      </x:c>
      <x:c r="C423" t="str">
        <x:v>Plus</x:v>
      </x:c>
      <x:c r="D423" t="str">
        <x:v>United Kingdom</x:v>
      </x:c>
      <x:c r="E423" t="str">
        <x:v>Referral</x:v>
      </x:c>
      <x:c r="F423" t="str">
        <x:v>25-34</x:v>
      </x:c>
    </x:row>
    <x:row r="424">
      <x:c r="A424" t="n">
        <x:v>423</x:v>
      </x:c>
      <x:c r="B424" s="16" t="n">
        <x:v>46113</x:v>
      </x:c>
      <x:c r="C424" t="str">
        <x:v>Standard</x:v>
      </x:c>
      <x:c r="D424" t="str">
        <x:v>Germany</x:v>
      </x:c>
      <x:c r="E424" t="str">
        <x:v>Partnership</x:v>
      </x:c>
      <x:c r="F424" t="str">
        <x:v>45+</x:v>
      </x:c>
    </x:row>
    <x:row r="425">
      <x:c r="A425" t="n">
        <x:v>424</x:v>
      </x:c>
      <x:c r="B425" s="16" t="n">
        <x:v>46143</x:v>
      </x:c>
      <x:c r="C425" t="str">
        <x:v>Plus</x:v>
      </x:c>
      <x:c r="D425" t="str">
        <x:v>India</x:v>
      </x:c>
      <x:c r="E425" t="str">
        <x:v>Paid Search</x:v>
      </x:c>
      <x:c r="F425" t="str">
        <x:v>25-34</x:v>
      </x:c>
    </x:row>
    <x:row r="426">
      <x:c r="A426" t="n">
        <x:v>425</x:v>
      </x:c>
      <x:c r="B426" s="16" t="n">
        <x:v>46113</x:v>
      </x:c>
      <x:c r="C426" t="str">
        <x:v>Standard</x:v>
      </x:c>
      <x:c r="D426" t="str">
        <x:v>Germany</x:v>
      </x:c>
      <x:c r="E426" t="str">
        <x:v>Organic</x:v>
      </x:c>
      <x:c r="F426" t="str">
        <x:v>35-44</x:v>
      </x:c>
    </x:row>
    <x:row r="427">
      <x:c r="A427" t="n">
        <x:v>426</x:v>
      </x:c>
      <x:c r="B427" s="16" t="n">
        <x:v>46082</x:v>
      </x:c>
      <x:c r="C427" t="str">
        <x:v>Standard</x:v>
      </x:c>
      <x:c r="D427" t="str">
        <x:v>Germany</x:v>
      </x:c>
      <x:c r="E427" t="str">
        <x:v>Referral</x:v>
      </x:c>
      <x:c r="F427" t="str">
        <x:v>18-24</x:v>
      </x:c>
    </x:row>
    <x:row r="428">
      <x:c r="A428" t="n">
        <x:v>427</x:v>
      </x:c>
      <x:c r="B428" s="16" t="n">
        <x:v>46174</x:v>
      </x:c>
      <x:c r="C428" t="str">
        <x:v>Plus</x:v>
      </x:c>
      <x:c r="D428" t="str">
        <x:v>United Kingdom</x:v>
      </x:c>
      <x:c r="E428" t="str">
        <x:v>Referral</x:v>
      </x:c>
      <x:c r="F428" t="str">
        <x:v>45+</x:v>
      </x:c>
    </x:row>
    <x:row r="429">
      <x:c r="A429" t="n">
        <x:v>428</x:v>
      </x:c>
      <x:c r="B429" s="16" t="n">
        <x:v>46113</x:v>
      </x:c>
      <x:c r="C429" t="str">
        <x:v>Plus</x:v>
      </x:c>
      <x:c r="D429" t="str">
        <x:v>India</x:v>
      </x:c>
      <x:c r="E429" t="str">
        <x:v>Referral</x:v>
      </x:c>
      <x:c r="F429" t="str">
        <x:v>35-44</x:v>
      </x:c>
    </x:row>
    <x:row r="430">
      <x:c r="A430" t="n">
        <x:v>429</x:v>
      </x:c>
      <x:c r="B430" s="16" t="n">
        <x:v>46054</x:v>
      </x:c>
      <x:c r="C430" t="str">
        <x:v>Plus</x:v>
      </x:c>
      <x:c r="D430" t="str">
        <x:v>United Kingdom</x:v>
      </x:c>
      <x:c r="E430" t="str">
        <x:v>Referral</x:v>
      </x:c>
      <x:c r="F430" t="str">
        <x:v>25-34</x:v>
      </x:c>
    </x:row>
    <x:row r="431">
      <x:c r="A431" t="n">
        <x:v>430</x:v>
      </x:c>
      <x:c r="B431" s="16" t="n">
        <x:v>46113</x:v>
      </x:c>
      <x:c r="C431" t="str">
        <x:v>Standard</x:v>
      </x:c>
      <x:c r="D431" t="str">
        <x:v>India</x:v>
      </x:c>
      <x:c r="E431" t="str">
        <x:v>Referral</x:v>
      </x:c>
      <x:c r="F431" t="str">
        <x:v>45+</x:v>
      </x:c>
    </x:row>
    <x:row r="432">
      <x:c r="A432" t="n">
        <x:v>431</x:v>
      </x:c>
      <x:c r="B432" s="16" t="n">
        <x:v>46174</x:v>
      </x:c>
      <x:c r="C432" t="str">
        <x:v>Standard</x:v>
      </x:c>
      <x:c r="D432" t="str">
        <x:v>India</x:v>
      </x:c>
      <x:c r="E432" t="str">
        <x:v>Organic</x:v>
      </x:c>
      <x:c r="F432" t="str">
        <x:v>25-34</x:v>
      </x:c>
    </x:row>
    <x:row r="433">
      <x:c r="A433" t="n">
        <x:v>432</x:v>
      </x:c>
      <x:c r="B433" s="16" t="n">
        <x:v>46143</x:v>
      </x:c>
      <x:c r="C433" t="str">
        <x:v>Standard</x:v>
      </x:c>
      <x:c r="D433" t="str">
        <x:v>India</x:v>
      </x:c>
      <x:c r="E433" t="str">
        <x:v>Organic</x:v>
      </x:c>
      <x:c r="F433" t="str">
        <x:v>35-44</x:v>
      </x:c>
    </x:row>
    <x:row r="434">
      <x:c r="A434" t="n">
        <x:v>433</x:v>
      </x:c>
      <x:c r="B434" s="16" t="n">
        <x:v>46082</x:v>
      </x:c>
      <x:c r="C434" t="str">
        <x:v>Standard</x:v>
      </x:c>
      <x:c r="D434" t="str">
        <x:v>UAE</x:v>
      </x:c>
      <x:c r="E434" t="str">
        <x:v>Referral</x:v>
      </x:c>
      <x:c r="F434" t="str">
        <x:v>45+</x:v>
      </x:c>
    </x:row>
    <x:row r="435">
      <x:c r="A435" t="n">
        <x:v>434</x:v>
      </x:c>
      <x:c r="B435" s="16" t="n">
        <x:v>46082</x:v>
      </x:c>
      <x:c r="C435" t="str">
        <x:v>Plus</x:v>
      </x:c>
      <x:c r="D435" t="str">
        <x:v>India</x:v>
      </x:c>
      <x:c r="E435" t="str">
        <x:v>Referral</x:v>
      </x:c>
      <x:c r="F435" t="str">
        <x:v>25-34</x:v>
      </x:c>
    </x:row>
    <x:row r="436">
      <x:c r="A436" t="n">
        <x:v>435</x:v>
      </x:c>
      <x:c r="B436" s="16" t="n">
        <x:v>46082</x:v>
      </x:c>
      <x:c r="C436" t="str">
        <x:v>Standard</x:v>
      </x:c>
      <x:c r="D436" t="str">
        <x:v>India</x:v>
      </x:c>
      <x:c r="E436" t="str">
        <x:v>Organic</x:v>
      </x:c>
      <x:c r="F436" t="str">
        <x:v>18-24</x:v>
      </x:c>
    </x:row>
    <x:row r="437">
      <x:c r="A437" t="n">
        <x:v>436</x:v>
      </x:c>
      <x:c r="B437" s="16" t="n">
        <x:v>46143</x:v>
      </x:c>
      <x:c r="C437" t="str">
        <x:v>Standard</x:v>
      </x:c>
      <x:c r="D437" t="str">
        <x:v>United Kingdom</x:v>
      </x:c>
      <x:c r="E437" t="str">
        <x:v>Organic</x:v>
      </x:c>
      <x:c r="F437" t="str">
        <x:v>35-44</x:v>
      </x:c>
    </x:row>
    <x:row r="438">
      <x:c r="A438" t="n">
        <x:v>437</x:v>
      </x:c>
      <x:c r="B438" s="16" t="n">
        <x:v>46143</x:v>
      </x:c>
      <x:c r="C438" t="str">
        <x:v>Plus</x:v>
      </x:c>
      <x:c r="D438" t="str">
        <x:v>India</x:v>
      </x:c>
      <x:c r="E438" t="str">
        <x:v>Referral</x:v>
      </x:c>
      <x:c r="F438" t="str">
        <x:v>35-44</x:v>
      </x:c>
    </x:row>
    <x:row r="439">
      <x:c r="A439" t="n">
        <x:v>438</x:v>
      </x:c>
      <x:c r="B439" s="16" t="n">
        <x:v>46113</x:v>
      </x:c>
      <x:c r="C439" t="str">
        <x:v>Metal</x:v>
      </x:c>
      <x:c r="D439" t="str">
        <x:v>United Kingdom</x:v>
      </x:c>
      <x:c r="E439" t="str">
        <x:v>Paid Search</x:v>
      </x:c>
      <x:c r="F439" t="str">
        <x:v>45+</x:v>
      </x:c>
    </x:row>
    <x:row r="440">
      <x:c r="A440" t="n">
        <x:v>439</x:v>
      </x:c>
      <x:c r="B440" s="16" t="n">
        <x:v>46113</x:v>
      </x:c>
      <x:c r="C440" t="str">
        <x:v>Standard</x:v>
      </x:c>
      <x:c r="D440" t="str">
        <x:v>UAE</x:v>
      </x:c>
      <x:c r="E440" t="str">
        <x:v>Partnership</x:v>
      </x:c>
      <x:c r="F440" t="str">
        <x:v>45+</x:v>
      </x:c>
    </x:row>
    <x:row r="441">
      <x:c r="A441" t="n">
        <x:v>440</x:v>
      </x:c>
      <x:c r="B441" s="16" t="n">
        <x:v>46113</x:v>
      </x:c>
      <x:c r="C441" t="str">
        <x:v>Standard</x:v>
      </x:c>
      <x:c r="D441" t="str">
        <x:v>India</x:v>
      </x:c>
      <x:c r="E441" t="str">
        <x:v>Organic</x:v>
      </x:c>
      <x:c r="F441" t="str">
        <x:v>45+</x:v>
      </x:c>
    </x:row>
    <x:row r="442">
      <x:c r="A442" t="n">
        <x:v>441</x:v>
      </x:c>
      <x:c r="B442" s="16" t="n">
        <x:v>46143</x:v>
      </x:c>
      <x:c r="C442" t="str">
        <x:v>Premium</x:v>
      </x:c>
      <x:c r="D442" t="str">
        <x:v>Singapore</x:v>
      </x:c>
      <x:c r="E442" t="str">
        <x:v>Referral</x:v>
      </x:c>
      <x:c r="F442" t="str">
        <x:v>35-44</x:v>
      </x:c>
    </x:row>
    <x:row r="443">
      <x:c r="A443" t="n">
        <x:v>442</x:v>
      </x:c>
      <x:c r="B443" s="16" t="n">
        <x:v>46082</x:v>
      </x:c>
      <x:c r="C443" t="str">
        <x:v>Plus</x:v>
      </x:c>
      <x:c r="D443" t="str">
        <x:v>UAE</x:v>
      </x:c>
      <x:c r="E443" t="str">
        <x:v>Referral</x:v>
      </x:c>
      <x:c r="F443" t="str">
        <x:v>18-24</x:v>
      </x:c>
    </x:row>
    <x:row r="444">
      <x:c r="A444" t="n">
        <x:v>443</x:v>
      </x:c>
      <x:c r="B444" s="16" t="n">
        <x:v>46113</x:v>
      </x:c>
      <x:c r="C444" t="str">
        <x:v>Standard</x:v>
      </x:c>
      <x:c r="D444" t="str">
        <x:v>Germany</x:v>
      </x:c>
      <x:c r="E444" t="str">
        <x:v>Partnership</x:v>
      </x:c>
      <x:c r="F444" t="str">
        <x:v>35-44</x:v>
      </x:c>
    </x:row>
    <x:row r="445">
      <x:c r="A445" t="n">
        <x:v>444</x:v>
      </x:c>
      <x:c r="B445" s="16" t="n">
        <x:v>46174</x:v>
      </x:c>
      <x:c r="C445" t="str">
        <x:v>Standard</x:v>
      </x:c>
      <x:c r="D445" t="str">
        <x:v>UAE</x:v>
      </x:c>
      <x:c r="E445" t="str">
        <x:v>Organic</x:v>
      </x:c>
      <x:c r="F445" t="str">
        <x:v>35-44</x:v>
      </x:c>
    </x:row>
    <x:row r="446">
      <x:c r="A446" t="n">
        <x:v>445</x:v>
      </x:c>
      <x:c r="B446" s="16" t="n">
        <x:v>46113</x:v>
      </x:c>
      <x:c r="C446" t="str">
        <x:v>Premium</x:v>
      </x:c>
      <x:c r="D446" t="str">
        <x:v>Germany</x:v>
      </x:c>
      <x:c r="E446" t="str">
        <x:v>Referral</x:v>
      </x:c>
      <x:c r="F446" t="str">
        <x:v>45+</x:v>
      </x:c>
    </x:row>
    <x:row r="447">
      <x:c r="A447" t="n">
        <x:v>446</x:v>
      </x:c>
      <x:c r="B447" s="16" t="n">
        <x:v>46113</x:v>
      </x:c>
      <x:c r="C447" t="str">
        <x:v>Standard</x:v>
      </x:c>
      <x:c r="D447" t="str">
        <x:v>United Kingdom</x:v>
      </x:c>
      <x:c r="E447" t="str">
        <x:v>Organic</x:v>
      </x:c>
      <x:c r="F447" t="str">
        <x:v>25-34</x:v>
      </x:c>
    </x:row>
    <x:row r="448">
      <x:c r="A448" t="n">
        <x:v>447</x:v>
      </x:c>
      <x:c r="B448" s="16" t="n">
        <x:v>46143</x:v>
      </x:c>
      <x:c r="C448" t="str">
        <x:v>Standard</x:v>
      </x:c>
      <x:c r="D448" t="str">
        <x:v>Singapore</x:v>
      </x:c>
      <x:c r="E448" t="str">
        <x:v>Referral</x:v>
      </x:c>
      <x:c r="F448" t="str">
        <x:v>18-24</x:v>
      </x:c>
    </x:row>
    <x:row r="449">
      <x:c r="A449" t="n">
        <x:v>448</x:v>
      </x:c>
      <x:c r="B449" s="16" t="n">
        <x:v>46113</x:v>
      </x:c>
      <x:c r="C449" t="str">
        <x:v>Plus</x:v>
      </x:c>
      <x:c r="D449" t="str">
        <x:v>Singapore</x:v>
      </x:c>
      <x:c r="E449" t="str">
        <x:v>Organic</x:v>
      </x:c>
      <x:c r="F449" t="str">
        <x:v>45+</x:v>
      </x:c>
    </x:row>
    <x:row r="450">
      <x:c r="A450" t="n">
        <x:v>449</x:v>
      </x:c>
      <x:c r="B450" s="16" t="n">
        <x:v>46113</x:v>
      </x:c>
      <x:c r="C450" t="str">
        <x:v>Premium</x:v>
      </x:c>
      <x:c r="D450" t="str">
        <x:v>India</x:v>
      </x:c>
      <x:c r="E450" t="str">
        <x:v>Organic</x:v>
      </x:c>
      <x:c r="F450" t="str">
        <x:v>18-24</x:v>
      </x:c>
    </x:row>
    <x:row r="451">
      <x:c r="A451" t="n">
        <x:v>450</x:v>
      </x:c>
      <x:c r="B451" s="16" t="n">
        <x:v>46143</x:v>
      </x:c>
      <x:c r="C451" t="str">
        <x:v>Premium</x:v>
      </x:c>
      <x:c r="D451" t="str">
        <x:v>India</x:v>
      </x:c>
      <x:c r="E451" t="str">
        <x:v>Partnership</x:v>
      </x:c>
      <x:c r="F451" t="str">
        <x:v>35-44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9" customHeight="1">
      <x:c r="A1" s="12" t="str">
        <x:v>customer_id</x:v>
      </x:c>
      <x:c r="B1" s="12" t="str">
        <x:v>month_start</x:v>
      </x:c>
      <x:c r="C1" s="12" t="str">
        <x:v>is_active</x:v>
      </x:c>
      <x:c r="D1" s="12" t="str">
        <x:v>transaction_count</x:v>
      </x:c>
      <x:c r="E1" s="12" t="str">
        <x:v>transaction_volume_usd</x:v>
      </x:c>
      <x:c r="F1" s="12" t="str">
        <x:v>subscription_revenue_usd</x:v>
      </x:c>
      <x:c r="G1" s="12" t="str">
        <x:v>interchange_revenue_usd</x:v>
      </x:c>
      <x:c r="H1" s="12" t="str">
        <x:v>fx_fee_revenue_usd</x:v>
      </x:c>
      <x:c r="I1" s="12" t="str">
        <x:v>total_revenue_usd</x:v>
      </x:c>
      <x:c r="J1" s="11" t="str">
        <x:v>Previous active</x:v>
      </x:c>
      <x:c r="K1" s="11" t="str">
        <x:v>Newly inactive</x:v>
      </x:c>
      <x:c r="L1" s="11" t="str">
        <x:v>Customer plan (INDEX-MATCH)</x:v>
      </x:c>
    </x:row>
    <x:row r="2">
      <x:c r="A2" t="n">
        <x:v>1</x:v>
      </x:c>
      <x:c r="B2" s="16" t="n">
        <x:v>46113</x:v>
      </x:c>
      <x:c r="C2" t="n">
        <x:v>1</x:v>
      </x:c>
      <x:c r="D2" t="n">
        <x:v>16</x:v>
      </x:c>
      <x:c r="E2" s="18" t="n">
        <x:v>1746.93</x:v>
      </x:c>
      <x:c r="F2" s="18" t="n">
        <x:v>8</x:v>
      </x:c>
      <x:c r="G2" s="18" t="n">
        <x:v>7.86</x:v>
      </x:c>
      <x:c r="H2" s="18" t="n">
        <x:v>3.63</x:v>
      </x:c>
      <x:c r="I2" s="18" t="n">
        <x:v>19.49</x:v>
      </x:c>
      <x:c r="J2" t="n">
        <x:f>IF(A2=A1,IFERROR(IF(B2=EDATE(B1,1),C1,0),0),0)</x:f>
        <x:v>0</x:v>
      </x:c>
      <x:c r="K2" t="n">
        <x:f>IF(AND(J2=1,C2=0),1,0)</x:f>
        <x:v>0</x:v>
      </x:c>
      <x:c r="L2" t="str">
        <x:f>IFERROR(INDEX(Customers!$C$2:$C$451,MATCH(A2,Customers!$A$2:$A$451,0)),"Unknown")</x:f>
        <x:v>Plus</x:v>
      </x:c>
    </x:row>
    <x:row r="3">
      <x:c r="A3" t="n">
        <x:v>1</x:v>
      </x:c>
      <x:c r="B3" s="16" t="n">
        <x:v>46143</x:v>
      </x:c>
      <x:c r="C3" t="n">
        <x:v>1</x:v>
      </x:c>
      <x:c r="D3" t="n">
        <x:v>12</x:v>
      </x:c>
      <x:c r="E3" s="18" t="n">
        <x:v>832.79</x:v>
      </x:c>
      <x:c r="F3" s="18" t="n">
        <x:v>8</x:v>
      </x:c>
      <x:c r="G3" s="18" t="n">
        <x:v>3.75</x:v>
      </x:c>
      <x:c r="H3" s="18" t="n">
        <x:v>1.38</x:v>
      </x:c>
      <x:c r="I3" s="18" t="n">
        <x:v>13.13</x:v>
      </x:c>
      <x:c r="J3" t="n">
        <x:f>IF(A3=A2,IFERROR(IF(B3=EDATE(B2,1),C2,0),0),0)</x:f>
        <x:v>1</x:v>
      </x:c>
      <x:c r="K3" t="n">
        <x:f>IF(AND(J3=1,C3=0),1,0)</x:f>
        <x:v>0</x:v>
      </x:c>
      <x:c r="L3" t="str">
        <x:f>IFERROR(INDEX(Customers!$C$2:$C$451,MATCH(A3,Customers!$A$2:$A$451,0)),"Unknown")</x:f>
        <x:v>Plus</x:v>
      </x:c>
    </x:row>
    <x:row r="4">
      <x:c r="A4" t="n">
        <x:v>1</x:v>
      </x:c>
      <x:c r="B4" s="16" t="n">
        <x:v>46174</x:v>
      </x:c>
      <x:c r="C4" t="n">
        <x:v>1</x:v>
      </x:c>
      <x:c r="D4" t="n">
        <x:v>35</x:v>
      </x:c>
      <x:c r="E4" s="18" t="n">
        <x:v>3144.74</x:v>
      </x:c>
      <x:c r="F4" s="18" t="n">
        <x:v>8</x:v>
      </x:c>
      <x:c r="G4" s="18" t="n">
        <x:v>14.15</x:v>
      </x:c>
      <x:c r="H4" s="18" t="n">
        <x:v>8.83</x:v>
      </x:c>
      <x:c r="I4" s="18" t="n">
        <x:v>30.98</x:v>
      </x:c>
      <x:c r="J4" t="n">
        <x:f>IF(A4=A3,IFERROR(IF(B4=EDATE(B3,1),C3,0),0),0)</x:f>
        <x:v>1</x:v>
      </x:c>
      <x:c r="K4" t="n">
        <x:f>IF(AND(J4=1,C4=0),1,0)</x:f>
        <x:v>0</x:v>
      </x:c>
      <x:c r="L4" t="str">
        <x:f>IFERROR(INDEX(Customers!$C$2:$C$451,MATCH(A4,Customers!$A$2:$A$451,0)),"Unknown")</x:f>
        <x:v>Plus</x:v>
      </x:c>
    </x:row>
    <x:row r="5">
      <x:c r="A5" t="n">
        <x:v>1</x:v>
      </x:c>
      <x:c r="B5" s="16" t="n">
        <x:v>46204</x:v>
      </x:c>
      <x:c r="C5" t="n">
        <x:v>1</x:v>
      </x:c>
      <x:c r="D5" t="n">
        <x:v>14</x:v>
      </x:c>
      <x:c r="E5" s="18" t="n">
        <x:v>1865.76</x:v>
      </x:c>
      <x:c r="F5" s="18" t="n">
        <x:v>8</x:v>
      </x:c>
      <x:c r="G5" s="18" t="n">
        <x:v>8.4</x:v>
      </x:c>
      <x:c r="H5" s="18" t="n">
        <x:v>3.45</x:v>
      </x:c>
      <x:c r="I5" s="18" t="n">
        <x:v>19.85</x:v>
      </x:c>
      <x:c r="J5" t="n">
        <x:f>IF(A5=A4,IFERROR(IF(B5=EDATE(B4,1),C4,0),0),0)</x:f>
        <x:v>1</x:v>
      </x:c>
      <x:c r="K5" t="n">
        <x:f>IF(AND(J5=1,C5=0),1,0)</x:f>
        <x:v>0</x:v>
      </x:c>
      <x:c r="L5" t="str">
        <x:f>IFERROR(INDEX(Customers!$C$2:$C$451,MATCH(A5,Customers!$A$2:$A$451,0)),"Unknown")</x:f>
        <x:v>Plus</x:v>
      </x:c>
    </x:row>
    <x:row r="6">
      <x:c r="A6" t="n">
        <x:v>1</x:v>
      </x:c>
      <x:c r="B6" s="16" t="n">
        <x:v>46235</x:v>
      </x:c>
      <x:c r="C6" t="n">
        <x:v>1</x:v>
      </x:c>
      <x:c r="D6" t="n">
        <x:v>21</x:v>
      </x:c>
      <x:c r="E6" s="18" t="n">
        <x:v>1489.2</x:v>
      </x:c>
      <x:c r="F6" s="18" t="n">
        <x:v>8</x:v>
      </x:c>
      <x:c r="G6" s="18" t="n">
        <x:v>6.7</x:v>
      </x:c>
      <x:c r="H6" s="18" t="n">
        <x:v>5.59</x:v>
      </x:c>
      <x:c r="I6" s="18" t="n">
        <x:v>20.29</x:v>
      </x:c>
      <x:c r="J6" t="n">
        <x:f>IF(A6=A5,IFERROR(IF(B6=EDATE(B5,1),C5,0),0),0)</x:f>
        <x:v>1</x:v>
      </x:c>
      <x:c r="K6" t="n">
        <x:f>IF(AND(J6=1,C6=0),1,0)</x:f>
        <x:v>0</x:v>
      </x:c>
      <x:c r="L6" t="str">
        <x:f>IFERROR(INDEX(Customers!$C$2:$C$451,MATCH(A6,Customers!$A$2:$A$451,0)),"Unknown")</x:f>
        <x:v>Plus</x:v>
      </x:c>
    </x:row>
    <x:row r="7">
      <x:c r="A7" t="n">
        <x:v>1</x:v>
      </x:c>
      <x:c r="B7" s="16" t="n">
        <x:v>46266</x:v>
      </x:c>
      <x:c r="C7" t="n">
        <x:v>0</x:v>
      </x:c>
      <x:c r="D7" t="n">
        <x:v>0</x:v>
      </x:c>
      <x:c r="E7" s="18" t="n">
        <x:v>0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t="n">
        <x:f>IF(A7=A6,IFERROR(IF(B7=EDATE(B6,1),C6,0),0),0)</x:f>
        <x:v>1</x:v>
      </x:c>
      <x:c r="K7" t="n">
        <x:f>IF(AND(J7=1,C7=0),1,0)</x:f>
        <x:v>1</x:v>
      </x:c>
      <x:c r="L7" t="str">
        <x:f>IFERROR(INDEX(Customers!$C$2:$C$451,MATCH(A7,Customers!$A$2:$A$451,0)),"Unknown")</x:f>
        <x:v>Plus</x:v>
      </x:c>
    </x:row>
    <x:row r="8">
      <x:c r="A8" t="n">
        <x:v>2</x:v>
      </x:c>
      <x:c r="B8" s="16" t="n">
        <x:v>46113</x:v>
      </x:c>
      <x:c r="C8" t="n">
        <x:v>1</x:v>
      </x:c>
      <x:c r="D8" t="n">
        <x:v>27</x:v>
      </x:c>
      <x:c r="E8" s="18" t="n">
        <x:v>1242.32</x:v>
      </x:c>
      <x:c r="F8" s="18" t="n">
        <x:v>8</x:v>
      </x:c>
      <x:c r="G8" s="18" t="n">
        <x:v>5.59</x:v>
      </x:c>
      <x:c r="H8" s="18" t="n">
        <x:v>3.67</x:v>
      </x:c>
      <x:c r="I8" s="18" t="n">
        <x:v>17.26</x:v>
      </x:c>
      <x:c r="J8" t="n">
        <x:f>IF(A8=A7,IFERROR(IF(B8=EDATE(B7,1),C7,0),0),0)</x:f>
        <x:v>0</x:v>
      </x:c>
      <x:c r="K8" t="n">
        <x:f>IF(AND(J8=1,C8=0),1,0)</x:f>
        <x:v>0</x:v>
      </x:c>
      <x:c r="L8" t="str">
        <x:f>IFERROR(INDEX(Customers!$C$2:$C$451,MATCH(A8,Customers!$A$2:$A$451,0)),"Unknown")</x:f>
        <x:v>Plus</x:v>
      </x:c>
    </x:row>
    <x:row r="9">
      <x:c r="A9" t="n">
        <x:v>2</x:v>
      </x:c>
      <x:c r="B9" s="16" t="n">
        <x:v>46143</x:v>
      </x:c>
      <x:c r="C9" t="n">
        <x:v>0</x:v>
      </x:c>
      <x:c r="D9" t="n">
        <x:v>0</x:v>
      </x:c>
      <x:c r="E9" s="18" t="n">
        <x:v>0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t="n">
        <x:f>IF(A9=A8,IFERROR(IF(B9=EDATE(B8,1),C8,0),0),0)</x:f>
        <x:v>1</x:v>
      </x:c>
      <x:c r="K9" t="n">
        <x:f>IF(AND(J9=1,C9=0),1,0)</x:f>
        <x:v>1</x:v>
      </x:c>
      <x:c r="L9" t="str">
        <x:f>IFERROR(INDEX(Customers!$C$2:$C$451,MATCH(A9,Customers!$A$2:$A$451,0)),"Unknown")</x:f>
        <x:v>Plus</x:v>
      </x:c>
    </x:row>
    <x:row r="10">
      <x:c r="A10" t="n">
        <x:v>2</x:v>
      </x:c>
      <x:c r="B10" s="16" t="n">
        <x:v>46174</x:v>
      </x:c>
      <x:c r="C10" t="n">
        <x:v>1</x:v>
      </x:c>
      <x:c r="D10" t="n">
        <x:v>27</x:v>
      </x:c>
      <x:c r="E10" s="18" t="n">
        <x:v>1236.18</x:v>
      </x:c>
      <x:c r="F10" s="18" t="n">
        <x:v>8</x:v>
      </x:c>
      <x:c r="G10" s="18" t="n">
        <x:v>5.56</x:v>
      </x:c>
      <x:c r="H10" s="18" t="n">
        <x:v>1.57</x:v>
      </x:c>
      <x:c r="I10" s="18" t="n">
        <x:v>15.13</x:v>
      </x:c>
      <x:c r="J10" t="n">
        <x:f>IF(A10=A9,IFERROR(IF(B10=EDATE(B9,1),C9,0),0),0)</x:f>
        <x:v>0</x:v>
      </x:c>
      <x:c r="K10" t="n">
        <x:f>IF(AND(J10=1,C10=0),1,0)</x:f>
        <x:v>0</x:v>
      </x:c>
      <x:c r="L10" t="str">
        <x:f>IFERROR(INDEX(Customers!$C$2:$C$451,MATCH(A10,Customers!$A$2:$A$451,0)),"Unknown")</x:f>
        <x:v>Plus</x:v>
      </x:c>
    </x:row>
    <x:row r="11">
      <x:c r="A11" t="n">
        <x:v>2</x:v>
      </x:c>
      <x:c r="B11" s="16" t="n">
        <x:v>46204</x:v>
      </x:c>
      <x:c r="C11" t="n">
        <x:v>1</x:v>
      </x:c>
      <x:c r="D11" t="n">
        <x:v>9</x:v>
      </x:c>
      <x:c r="E11" s="18" t="n">
        <x:v>488.79</x:v>
      </x:c>
      <x:c r="F11" s="18" t="n">
        <x:v>8</x:v>
      </x:c>
      <x:c r="G11" s="18" t="n">
        <x:v>2.2</x:v>
      </x:c>
      <x:c r="H11" s="18" t="n">
        <x:v>1.66</x:v>
      </x:c>
      <x:c r="I11" s="18" t="n">
        <x:v>11.86</x:v>
      </x:c>
      <x:c r="J11" t="n">
        <x:f>IF(A11=A10,IFERROR(IF(B11=EDATE(B10,1),C10,0),0),0)</x:f>
        <x:v>1</x:v>
      </x:c>
      <x:c r="K11" t="n">
        <x:f>IF(AND(J11=1,C11=0),1,0)</x:f>
        <x:v>0</x:v>
      </x:c>
      <x:c r="L11" t="str">
        <x:f>IFERROR(INDEX(Customers!$C$2:$C$451,MATCH(A11,Customers!$A$2:$A$451,0)),"Unknown")</x:f>
        <x:v>Plus</x:v>
      </x:c>
    </x:row>
    <x:row r="12">
      <x:c r="A12" t="n">
        <x:v>2</x:v>
      </x:c>
      <x:c r="B12" s="16" t="n">
        <x:v>46235</x:v>
      </x:c>
      <x:c r="C12" t="n">
        <x:v>1</x:v>
      </x:c>
      <x:c r="D12" t="n">
        <x:v>20</x:v>
      </x:c>
      <x:c r="E12" s="18" t="n">
        <x:v>1693.57</x:v>
      </x:c>
      <x:c r="F12" s="18" t="n">
        <x:v>8</x:v>
      </x:c>
      <x:c r="G12" s="18" t="n">
        <x:v>7.62</x:v>
      </x:c>
      <x:c r="H12" s="18" t="n">
        <x:v>1.49</x:v>
      </x:c>
      <x:c r="I12" s="18" t="n">
        <x:v>17.11</x:v>
      </x:c>
      <x:c r="J12" t="n">
        <x:f>IF(A12=A11,IFERROR(IF(B12=EDATE(B11,1),C11,0),0),0)</x:f>
        <x:v>1</x:v>
      </x:c>
      <x:c r="K12" t="n">
        <x:f>IF(AND(J12=1,C12=0),1,0)</x:f>
        <x:v>0</x:v>
      </x:c>
      <x:c r="L12" t="str">
        <x:f>IFERROR(INDEX(Customers!$C$2:$C$451,MATCH(A12,Customers!$A$2:$A$451,0)),"Unknown")</x:f>
        <x:v>Plus</x:v>
      </x:c>
    </x:row>
    <x:row r="13">
      <x:c r="A13" t="n">
        <x:v>2</x:v>
      </x:c>
      <x:c r="B13" s="16" t="n">
        <x:v>46266</x:v>
      </x:c>
      <x:c r="C13" t="n">
        <x:v>1</x:v>
      </x:c>
      <x:c r="D13" t="n">
        <x:v>35</x:v>
      </x:c>
      <x:c r="E13" s="18" t="n">
        <x:v>2551.23</x:v>
      </x:c>
      <x:c r="F13" s="18" t="n">
        <x:v>8</x:v>
      </x:c>
      <x:c r="G13" s="18" t="n">
        <x:v>11.48</x:v>
      </x:c>
      <x:c r="H13" s="18" t="n">
        <x:v>2.07</x:v>
      </x:c>
      <x:c r="I13" s="18" t="n">
        <x:v>21.55</x:v>
      </x:c>
      <x:c r="J13" t="n">
        <x:f>IF(A13=A12,IFERROR(IF(B13=EDATE(B12,1),C12,0),0),0)</x:f>
        <x:v>1</x:v>
      </x:c>
      <x:c r="K13" t="n">
        <x:f>IF(AND(J13=1,C13=0),1,0)</x:f>
        <x:v>0</x:v>
      </x:c>
      <x:c r="L13" t="str">
        <x:f>IFERROR(INDEX(Customers!$C$2:$C$451,MATCH(A13,Customers!$A$2:$A$451,0)),"Unknown")</x:f>
        <x:v>Plus</x:v>
      </x:c>
    </x:row>
    <x:row r="14">
      <x:c r="A14" t="n">
        <x:v>3</x:v>
      </x:c>
      <x:c r="B14" s="16" t="n">
        <x:v>46113</x:v>
      </x:c>
      <x:c r="C14" t="n">
        <x:v>1</x:v>
      </x:c>
      <x:c r="D14" t="n">
        <x:v>30</x:v>
      </x:c>
      <x:c r="E14" s="18" t="n">
        <x:v>1918.25</x:v>
      </x:c>
      <x:c r="F14" s="18" t="n">
        <x:v>0</x:v>
      </x:c>
      <x:c r="G14" s="18" t="n">
        <x:v>8.63</x:v>
      </x:c>
      <x:c r="H14" s="18" t="n">
        <x:v>6.21</x:v>
      </x:c>
      <x:c r="I14" s="18" t="n">
        <x:v>14.84</x:v>
      </x:c>
      <x:c r="J14" t="n">
        <x:f>IF(A14=A13,IFERROR(IF(B14=EDATE(B13,1),C13,0),0),0)</x:f>
        <x:v>0</x:v>
      </x:c>
      <x:c r="K14" t="n">
        <x:f>IF(AND(J14=1,C14=0),1,0)</x:f>
        <x:v>0</x:v>
      </x:c>
      <x:c r="L14" t="str">
        <x:f>IFERROR(INDEX(Customers!$C$2:$C$451,MATCH(A14,Customers!$A$2:$A$451,0)),"Unknown")</x:f>
        <x:v>Standard</x:v>
      </x:c>
    </x:row>
    <x:row r="15">
      <x:c r="A15" t="n">
        <x:v>3</x:v>
      </x:c>
      <x:c r="B15" s="16" t="n">
        <x:v>46143</x:v>
      </x:c>
      <x:c r="C15" t="n">
        <x:v>1</x:v>
      </x:c>
      <x:c r="D15" t="n">
        <x:v>23</x:v>
      </x:c>
      <x:c r="E15" s="18" t="n">
        <x:v>2255.87</x:v>
      </x:c>
      <x:c r="F15" s="18" t="n">
        <x:v>0</x:v>
      </x:c>
      <x:c r="G15" s="18" t="n">
        <x:v>10.15</x:v>
      </x:c>
      <x:c r="H15" s="18" t="n">
        <x:v>7.19</x:v>
      </x:c>
      <x:c r="I15" s="18" t="n">
        <x:v>17.34</x:v>
      </x:c>
      <x:c r="J15" t="n">
        <x:f>IF(A15=A14,IFERROR(IF(B15=EDATE(B14,1),C14,0),0),0)</x:f>
        <x:v>1</x:v>
      </x:c>
      <x:c r="K15" t="n">
        <x:f>IF(AND(J15=1,C15=0),1,0)</x:f>
        <x:v>0</x:v>
      </x:c>
      <x:c r="L15" t="str">
        <x:f>IFERROR(INDEX(Customers!$C$2:$C$451,MATCH(A15,Customers!$A$2:$A$451,0)),"Unknown")</x:f>
        <x:v>Standard</x:v>
      </x:c>
    </x:row>
    <x:row r="16">
      <x:c r="A16" t="n">
        <x:v>3</x:v>
      </x:c>
      <x:c r="B16" s="16" t="n">
        <x:v>46174</x:v>
      </x:c>
      <x:c r="C16" t="n">
        <x:v>1</x:v>
      </x:c>
      <x:c r="D16" t="n">
        <x:v>27</x:v>
      </x:c>
      <x:c r="E16" s="18" t="n">
        <x:v>1592.96</x:v>
      </x:c>
      <x:c r="F16" s="18" t="n">
        <x:v>0</x:v>
      </x:c>
      <x:c r="G16" s="18" t="n">
        <x:v>7.17</x:v>
      </x:c>
      <x:c r="H16" s="18" t="n">
        <x:v>1.79</x:v>
      </x:c>
      <x:c r="I16" s="18" t="n">
        <x:v>8.96</x:v>
      </x:c>
      <x:c r="J16" t="n">
        <x:f>IF(A16=A15,IFERROR(IF(B16=EDATE(B15,1),C15,0),0),0)</x:f>
        <x:v>1</x:v>
      </x:c>
      <x:c r="K16" t="n">
        <x:f>IF(AND(J16=1,C16=0),1,0)</x:f>
        <x:v>0</x:v>
      </x:c>
      <x:c r="L16" t="str">
        <x:f>IFERROR(INDEX(Customers!$C$2:$C$451,MATCH(A16,Customers!$A$2:$A$451,0)),"Unknown")</x:f>
        <x:v>Standard</x:v>
      </x:c>
    </x:row>
    <x:row r="17">
      <x:c r="A17" t="n">
        <x:v>3</x:v>
      </x:c>
      <x:c r="B17" s="16" t="n">
        <x:v>46204</x:v>
      </x:c>
      <x:c r="C17" t="n">
        <x:v>0</x:v>
      </x:c>
      <x:c r="D17" t="n">
        <x:v>0</x:v>
      </x:c>
      <x:c r="E17" s="18" t="n">
        <x:v>0</x:v>
      </x:c>
      <x:c r="F17" s="18" t="n">
        <x:v>0</x:v>
      </x:c>
      <x:c r="G17" s="18" t="n">
        <x:v>0</x:v>
      </x:c>
      <x:c r="H17" s="18" t="n">
        <x:v>0</x:v>
      </x:c>
      <x:c r="I17" s="18" t="n">
        <x:v>0</x:v>
      </x:c>
      <x:c r="J17" t="n">
        <x:f>IF(A17=A16,IFERROR(IF(B17=EDATE(B16,1),C16,0),0),0)</x:f>
        <x:v>1</x:v>
      </x:c>
      <x:c r="K17" t="n">
        <x:f>IF(AND(J17=1,C17=0),1,0)</x:f>
        <x:v>1</x:v>
      </x:c>
      <x:c r="L17" t="str">
        <x:f>IFERROR(INDEX(Customers!$C$2:$C$451,MATCH(A17,Customers!$A$2:$A$451,0)),"Unknown")</x:f>
        <x:v>Standard</x:v>
      </x:c>
    </x:row>
    <x:row r="18">
      <x:c r="A18" t="n">
        <x:v>3</x:v>
      </x:c>
      <x:c r="B18" s="16" t="n">
        <x:v>46235</x:v>
      </x:c>
      <x:c r="C18" t="n">
        <x:v>1</x:v>
      </x:c>
      <x:c r="D18" t="n">
        <x:v>31</x:v>
      </x:c>
      <x:c r="E18" s="18" t="n">
        <x:v>3199.96</x:v>
      </x:c>
      <x:c r="F18" s="18" t="n">
        <x:v>0</x:v>
      </x:c>
      <x:c r="G18" s="18" t="n">
        <x:v>14.4</x:v>
      </x:c>
      <x:c r="H18" s="18" t="n">
        <x:v>4.53</x:v>
      </x:c>
      <x:c r="I18" s="18" t="n">
        <x:v>18.93</x:v>
      </x:c>
      <x:c r="J18" t="n">
        <x:f>IF(A18=A17,IFERROR(IF(B18=EDATE(B17,1),C17,0),0),0)</x:f>
        <x:v>0</x:v>
      </x:c>
      <x:c r="K18" t="n">
        <x:f>IF(AND(J18=1,C18=0),1,0)</x:f>
        <x:v>0</x:v>
      </x:c>
      <x:c r="L18" t="str">
        <x:f>IFERROR(INDEX(Customers!$C$2:$C$451,MATCH(A18,Customers!$A$2:$A$451,0)),"Unknown")</x:f>
        <x:v>Standard</x:v>
      </x:c>
    </x:row>
    <x:row r="19">
      <x:c r="A19" t="n">
        <x:v>3</x:v>
      </x:c>
      <x:c r="B19" s="16" t="n">
        <x:v>46266</x:v>
      </x:c>
      <x:c r="C19" t="n">
        <x:v>1</x:v>
      </x:c>
      <x:c r="D19" t="n">
        <x:v>10</x:v>
      </x:c>
      <x:c r="E19" s="18" t="n">
        <x:v>1020.71</x:v>
      </x:c>
      <x:c r="F19" s="18" t="n">
        <x:v>0</x:v>
      </x:c>
      <x:c r="G19" s="18" t="n">
        <x:v>4.59</x:v>
      </x:c>
      <x:c r="H19" s="18" t="n">
        <x:v>3</x:v>
      </x:c>
      <x:c r="I19" s="18" t="n">
        <x:v>7.59</x:v>
      </x:c>
      <x:c r="J19" t="n">
        <x:f>IF(A19=A18,IFERROR(IF(B19=EDATE(B18,1),C18,0),0),0)</x:f>
        <x:v>1</x:v>
      </x:c>
      <x:c r="K19" t="n">
        <x:f>IF(AND(J19=1,C19=0),1,0)</x:f>
        <x:v>0</x:v>
      </x:c>
      <x:c r="L19" t="str">
        <x:f>IFERROR(INDEX(Customers!$C$2:$C$451,MATCH(A19,Customers!$A$2:$A$451,0)),"Unknown")</x:f>
        <x:v>Standard</x:v>
      </x:c>
    </x:row>
    <x:row r="20">
      <x:c r="A20" t="n">
        <x:v>4</x:v>
      </x:c>
      <x:c r="B20" s="16" t="n">
        <x:v>46113</x:v>
      </x:c>
      <x:c r="C20" t="n">
        <x:v>1</x:v>
      </x:c>
      <x:c r="D20" t="n">
        <x:v>7</x:v>
      </x:c>
      <x:c r="E20" s="18" t="n">
        <x:v>400.92</x:v>
      </x:c>
      <x:c r="F20" s="18" t="n">
        <x:v>8</x:v>
      </x:c>
      <x:c r="G20" s="18" t="n">
        <x:v>1.8</x:v>
      </x:c>
      <x:c r="H20" s="18" t="n">
        <x:v>1.49</x:v>
      </x:c>
      <x:c r="I20" s="18" t="n">
        <x:v>11.29</x:v>
      </x:c>
      <x:c r="J20" t="n">
        <x:f>IF(A20=A19,IFERROR(IF(B20=EDATE(B19,1),C19,0),0),0)</x:f>
        <x:v>0</x:v>
      </x:c>
      <x:c r="K20" t="n">
        <x:f>IF(AND(J20=1,C20=0),1,0)</x:f>
        <x:v>0</x:v>
      </x:c>
      <x:c r="L20" t="str">
        <x:f>IFERROR(INDEX(Customers!$C$2:$C$451,MATCH(A20,Customers!$A$2:$A$451,0)),"Unknown")</x:f>
        <x:v>Plus</x:v>
      </x:c>
    </x:row>
    <x:row r="21">
      <x:c r="A21" t="n">
        <x:v>4</x:v>
      </x:c>
      <x:c r="B21" s="16" t="n">
        <x:v>46143</x:v>
      </x:c>
      <x:c r="C21" t="n">
        <x:v>1</x:v>
      </x:c>
      <x:c r="D21" t="n">
        <x:v>12</x:v>
      </x:c>
      <x:c r="E21" s="18" t="n">
        <x:v>1218.24</x:v>
      </x:c>
      <x:c r="F21" s="18" t="n">
        <x:v>8</x:v>
      </x:c>
      <x:c r="G21" s="18" t="n">
        <x:v>5.48</x:v>
      </x:c>
      <x:c r="H21" s="18" t="n">
        <x:v>3.65</x:v>
      </x:c>
      <x:c r="I21" s="18" t="n">
        <x:v>17.13</x:v>
      </x:c>
      <x:c r="J21" t="n">
        <x:f>IF(A21=A20,IFERROR(IF(B21=EDATE(B20,1),C20,0),0),0)</x:f>
        <x:v>1</x:v>
      </x:c>
      <x:c r="K21" t="n">
        <x:f>IF(AND(J21=1,C21=0),1,0)</x:f>
        <x:v>0</x:v>
      </x:c>
      <x:c r="L21" t="str">
        <x:f>IFERROR(INDEX(Customers!$C$2:$C$451,MATCH(A21,Customers!$A$2:$A$451,0)),"Unknown")</x:f>
        <x:v>Plus</x:v>
      </x:c>
    </x:row>
    <x:row r="22">
      <x:c r="A22" t="n">
        <x:v>4</x:v>
      </x:c>
      <x:c r="B22" s="16" t="n">
        <x:v>46174</x:v>
      </x:c>
      <x:c r="C22" t="n">
        <x:v>1</x:v>
      </x:c>
      <x:c r="D22" t="n">
        <x:v>20</x:v>
      </x:c>
      <x:c r="E22" s="18" t="n">
        <x:v>1980.21</x:v>
      </x:c>
      <x:c r="F22" s="18" t="n">
        <x:v>8</x:v>
      </x:c>
      <x:c r="G22" s="18" t="n">
        <x:v>8.91</x:v>
      </x:c>
      <x:c r="H22" s="18" t="n">
        <x:v>2.74</x:v>
      </x:c>
      <x:c r="I22" s="18" t="n">
        <x:v>19.65</x:v>
      </x:c>
      <x:c r="J22" t="n">
        <x:f>IF(A22=A21,IFERROR(IF(B22=EDATE(B21,1),C21,0),0),0)</x:f>
        <x:v>1</x:v>
      </x:c>
      <x:c r="K22" t="n">
        <x:f>IF(AND(J22=1,C22=0),1,0)</x:f>
        <x:v>0</x:v>
      </x:c>
      <x:c r="L22" t="str">
        <x:f>IFERROR(INDEX(Customers!$C$2:$C$451,MATCH(A22,Customers!$A$2:$A$451,0)),"Unknown")</x:f>
        <x:v>Plus</x:v>
      </x:c>
    </x:row>
    <x:row r="23">
      <x:c r="A23" t="n">
        <x:v>4</x:v>
      </x:c>
      <x:c r="B23" s="16" t="n">
        <x:v>46204</x:v>
      </x:c>
      <x:c r="C23" t="n">
        <x:v>1</x:v>
      </x:c>
      <x:c r="D23" t="n">
        <x:v>19</x:v>
      </x:c>
      <x:c r="E23" s="18" t="n">
        <x:v>2645.83</x:v>
      </x:c>
      <x:c r="F23" s="18" t="n">
        <x:v>8</x:v>
      </x:c>
      <x:c r="G23" s="18" t="n">
        <x:v>11.91</x:v>
      </x:c>
      <x:c r="H23" s="18" t="n">
        <x:v>5.99</x:v>
      </x:c>
      <x:c r="I23" s="18" t="n">
        <x:v>25.9</x:v>
      </x:c>
      <x:c r="J23" t="n">
        <x:f>IF(A23=A22,IFERROR(IF(B23=EDATE(B22,1),C22,0),0),0)</x:f>
        <x:v>1</x:v>
      </x:c>
      <x:c r="K23" t="n">
        <x:f>IF(AND(J23=1,C23=0),1,0)</x:f>
        <x:v>0</x:v>
      </x:c>
      <x:c r="L23" t="str">
        <x:f>IFERROR(INDEX(Customers!$C$2:$C$451,MATCH(A23,Customers!$A$2:$A$451,0)),"Unknown")</x:f>
        <x:v>Plus</x:v>
      </x:c>
    </x:row>
    <x:row r="24">
      <x:c r="A24" t="n">
        <x:v>4</x:v>
      </x:c>
      <x:c r="B24" s="16" t="n">
        <x:v>46235</x:v>
      </x:c>
      <x:c r="C24" t="n">
        <x:v>1</x:v>
      </x:c>
      <x:c r="D24" t="n">
        <x:v>17</x:v>
      </x:c>
      <x:c r="E24" s="18" t="n">
        <x:v>1225.46</x:v>
      </x:c>
      <x:c r="F24" s="18" t="n">
        <x:v>8</x:v>
      </x:c>
      <x:c r="G24" s="18" t="n">
        <x:v>5.51</x:v>
      </x:c>
      <x:c r="H24" s="18" t="n">
        <x:v>3.29</x:v>
      </x:c>
      <x:c r="I24" s="18" t="n">
        <x:v>16.8</x:v>
      </x:c>
      <x:c r="J24" t="n">
        <x:f>IF(A24=A23,IFERROR(IF(B24=EDATE(B23,1),C23,0),0),0)</x:f>
        <x:v>1</x:v>
      </x:c>
      <x:c r="K24" t="n">
        <x:f>IF(AND(J24=1,C24=0),1,0)</x:f>
        <x:v>0</x:v>
      </x:c>
      <x:c r="L24" t="str">
        <x:f>IFERROR(INDEX(Customers!$C$2:$C$451,MATCH(A24,Customers!$A$2:$A$451,0)),"Unknown")</x:f>
        <x:v>Plus</x:v>
      </x:c>
    </x:row>
    <x:row r="25">
      <x:c r="A25" t="n">
        <x:v>4</x:v>
      </x:c>
      <x:c r="B25" s="16" t="n">
        <x:v>46266</x:v>
      </x:c>
      <x:c r="C25" t="n">
        <x:v>0</x:v>
      </x:c>
      <x:c r="D25" t="n">
        <x:v>0</x:v>
      </x:c>
      <x:c r="E25" s="18" t="n">
        <x:v>0</x:v>
      </x:c>
      <x:c r="F25" s="18" t="n">
        <x:v>0</x:v>
      </x:c>
      <x:c r="G25" s="18" t="n">
        <x:v>0</x:v>
      </x:c>
      <x:c r="H25" s="18" t="n">
        <x:v>0</x:v>
      </x:c>
      <x:c r="I25" s="18" t="n">
        <x:v>0</x:v>
      </x:c>
      <x:c r="J25" t="n">
        <x:f>IF(A25=A24,IFERROR(IF(B25=EDATE(B24,1),C24,0),0),0)</x:f>
        <x:v>1</x:v>
      </x:c>
      <x:c r="K25" t="n">
        <x:f>IF(AND(J25=1,C25=0),1,0)</x:f>
        <x:v>1</x:v>
      </x:c>
      <x:c r="L25" t="str">
        <x:f>IFERROR(INDEX(Customers!$C$2:$C$451,MATCH(A25,Customers!$A$2:$A$451,0)),"Unknown")</x:f>
        <x:v>Plus</x:v>
      </x:c>
    </x:row>
    <x:row r="26">
      <x:c r="A26" t="n">
        <x:v>5</x:v>
      </x:c>
      <x:c r="B26" s="16" t="n">
        <x:v>46113</x:v>
      </x:c>
      <x:c r="C26" t="n">
        <x:v>1</x:v>
      </x:c>
      <x:c r="D26" t="n">
        <x:v>13</x:v>
      </x:c>
      <x:c r="E26" s="18" t="n">
        <x:v>1188.58</x:v>
      </x:c>
      <x:c r="F26" s="18" t="n">
        <x:v>8</x:v>
      </x:c>
      <x:c r="G26" s="18" t="n">
        <x:v>5.35</x:v>
      </x:c>
      <x:c r="H26" s="18" t="n">
        <x:v>4.43</x:v>
      </x:c>
      <x:c r="I26" s="18" t="n">
        <x:v>17.78</x:v>
      </x:c>
      <x:c r="J26" t="n">
        <x:f>IF(A26=A25,IFERROR(IF(B26=EDATE(B25,1),C25,0),0),0)</x:f>
        <x:v>0</x:v>
      </x:c>
      <x:c r="K26" t="n">
        <x:f>IF(AND(J26=1,C26=0),1,0)</x:f>
        <x:v>0</x:v>
      </x:c>
      <x:c r="L26" t="str">
        <x:f>IFERROR(INDEX(Customers!$C$2:$C$451,MATCH(A26,Customers!$A$2:$A$451,0)),"Unknown")</x:f>
        <x:v>Plus</x:v>
      </x:c>
    </x:row>
    <x:row r="27">
      <x:c r="A27" t="n">
        <x:v>5</x:v>
      </x:c>
      <x:c r="B27" s="16" t="n">
        <x:v>46143</x:v>
      </x:c>
      <x:c r="C27" t="n">
        <x:v>1</x:v>
      </x:c>
      <x:c r="D27" t="n">
        <x:v>27</x:v>
      </x:c>
      <x:c r="E27" s="18" t="n">
        <x:v>3385.11</x:v>
      </x:c>
      <x:c r="F27" s="18" t="n">
        <x:v>8</x:v>
      </x:c>
      <x:c r="G27" s="18" t="n">
        <x:v>15.23</x:v>
      </x:c>
      <x:c r="H27" s="18" t="n">
        <x:v>11.5</x:v>
      </x:c>
      <x:c r="I27" s="18" t="n">
        <x:v>34.73</x:v>
      </x:c>
      <x:c r="J27" t="n">
        <x:f>IF(A27=A26,IFERROR(IF(B27=EDATE(B26,1),C26,0),0),0)</x:f>
        <x:v>1</x:v>
      </x:c>
      <x:c r="K27" t="n">
        <x:f>IF(AND(J27=1,C27=0),1,0)</x:f>
        <x:v>0</x:v>
      </x:c>
      <x:c r="L27" t="str">
        <x:f>IFERROR(INDEX(Customers!$C$2:$C$451,MATCH(A27,Customers!$A$2:$A$451,0)),"Unknown")</x:f>
        <x:v>Plus</x:v>
      </x:c>
    </x:row>
    <x:row r="28">
      <x:c r="A28" t="n">
        <x:v>5</x:v>
      </x:c>
      <x:c r="B28" s="16" t="n">
        <x:v>46174</x:v>
      </x:c>
      <x:c r="C28" t="n">
        <x:v>1</x:v>
      </x:c>
      <x:c r="D28" t="n">
        <x:v>5</x:v>
      </x:c>
      <x:c r="E28" s="18" t="n">
        <x:v>444.89</x:v>
      </x:c>
      <x:c r="F28" s="18" t="n">
        <x:v>8</x:v>
      </x:c>
      <x:c r="G28" s="18" t="n">
        <x:v>2</x:v>
      </x:c>
      <x:c r="H28" s="18" t="n">
        <x:v>1.03</x:v>
      </x:c>
      <x:c r="I28" s="18" t="n">
        <x:v>11.03</x:v>
      </x:c>
      <x:c r="J28" t="n">
        <x:f>IF(A28=A27,IFERROR(IF(B28=EDATE(B27,1),C27,0),0),0)</x:f>
        <x:v>1</x:v>
      </x:c>
      <x:c r="K28" t="n">
        <x:f>IF(AND(J28=1,C28=0),1,0)</x:f>
        <x:v>0</x:v>
      </x:c>
      <x:c r="L28" t="str">
        <x:f>IFERROR(INDEX(Customers!$C$2:$C$451,MATCH(A28,Customers!$A$2:$A$451,0)),"Unknown")</x:f>
        <x:v>Plus</x:v>
      </x:c>
    </x:row>
    <x:row r="29">
      <x:c r="A29" t="n">
        <x:v>5</x:v>
      </x:c>
      <x:c r="B29" s="16" t="n">
        <x:v>46204</x:v>
      </x:c>
      <x:c r="C29" t="n">
        <x:v>1</x:v>
      </x:c>
      <x:c r="D29" t="n">
        <x:v>8</x:v>
      </x:c>
      <x:c r="E29" s="18" t="n">
        <x:v>344.89</x:v>
      </x:c>
      <x:c r="F29" s="18" t="n">
        <x:v>8</x:v>
      </x:c>
      <x:c r="G29" s="18" t="n">
        <x:v>1.55</x:v>
      </x:c>
      <x:c r="H29" s="18" t="n">
        <x:v>1.07</x:v>
      </x:c>
      <x:c r="I29" s="18" t="n">
        <x:v>10.62</x:v>
      </x:c>
      <x:c r="J29" t="n">
        <x:f>IF(A29=A28,IFERROR(IF(B29=EDATE(B28,1),C28,0),0),0)</x:f>
        <x:v>1</x:v>
      </x:c>
      <x:c r="K29" t="n">
        <x:f>IF(AND(J29=1,C29=0),1,0)</x:f>
        <x:v>0</x:v>
      </x:c>
      <x:c r="L29" t="str">
        <x:f>IFERROR(INDEX(Customers!$C$2:$C$451,MATCH(A29,Customers!$A$2:$A$451,0)),"Unknown")</x:f>
        <x:v>Plus</x:v>
      </x:c>
    </x:row>
    <x:row r="30">
      <x:c r="A30" t="n">
        <x:v>5</x:v>
      </x:c>
      <x:c r="B30" s="16" t="n">
        <x:v>46235</x:v>
      </x:c>
      <x:c r="C30" t="n">
        <x:v>0</x:v>
      </x:c>
      <x:c r="D30" t="n">
        <x:v>0</x:v>
      </x:c>
      <x:c r="E30" s="18" t="n">
        <x:v>0</x:v>
      </x:c>
      <x:c r="F30" s="18" t="n">
        <x:v>0</x:v>
      </x:c>
      <x:c r="G30" s="18" t="n">
        <x:v>0</x:v>
      </x:c>
      <x:c r="H30" s="18" t="n">
        <x:v>0</x:v>
      </x:c>
      <x:c r="I30" s="18" t="n">
        <x:v>0</x:v>
      </x:c>
      <x:c r="J30" t="n">
        <x:f>IF(A30=A29,IFERROR(IF(B30=EDATE(B29,1),C29,0),0),0)</x:f>
        <x:v>1</x:v>
      </x:c>
      <x:c r="K30" t="n">
        <x:f>IF(AND(J30=1,C30=0),1,0)</x:f>
        <x:v>1</x:v>
      </x:c>
      <x:c r="L30" t="str">
        <x:f>IFERROR(INDEX(Customers!$C$2:$C$451,MATCH(A30,Customers!$A$2:$A$451,0)),"Unknown")</x:f>
        <x:v>Plus</x:v>
      </x:c>
    </x:row>
    <x:row r="31">
      <x:c r="A31" t="n">
        <x:v>5</x:v>
      </x:c>
      <x:c r="B31" s="16" t="n">
        <x:v>46266</x:v>
      </x:c>
      <x:c r="C31" t="n">
        <x:v>1</x:v>
      </x:c>
      <x:c r="D31" t="n">
        <x:v>25</x:v>
      </x:c>
      <x:c r="E31" s="18" t="n">
        <x:v>2085.26</x:v>
      </x:c>
      <x:c r="F31" s="18" t="n">
        <x:v>8</x:v>
      </x:c>
      <x:c r="G31" s="18" t="n">
        <x:v>9.38</x:v>
      </x:c>
      <x:c r="H31" s="18" t="n">
        <x:v>4.15</x:v>
      </x:c>
      <x:c r="I31" s="18" t="n">
        <x:v>21.53</x:v>
      </x:c>
      <x:c r="J31" t="n">
        <x:f>IF(A31=A30,IFERROR(IF(B31=EDATE(B30,1),C30,0),0),0)</x:f>
        <x:v>0</x:v>
      </x:c>
      <x:c r="K31" t="n">
        <x:f>IF(AND(J31=1,C31=0),1,0)</x:f>
        <x:v>0</x:v>
      </x:c>
      <x:c r="L31" t="str">
        <x:f>IFERROR(INDEX(Customers!$C$2:$C$451,MATCH(A31,Customers!$A$2:$A$451,0)),"Unknown")</x:f>
        <x:v>Plus</x:v>
      </x:c>
    </x:row>
    <x:row r="32">
      <x:c r="A32" t="n">
        <x:v>6</x:v>
      </x:c>
      <x:c r="B32" s="16" t="n">
        <x:v>46113</x:v>
      </x:c>
      <x:c r="C32" t="n">
        <x:v>1</x:v>
      </x:c>
      <x:c r="D32" t="n">
        <x:v>33</x:v>
      </x:c>
      <x:c r="E32" s="18" t="n">
        <x:v>3832.83</x:v>
      </x:c>
      <x:c r="F32" s="18" t="n">
        <x:v>0</x:v>
      </x:c>
      <x:c r="G32" s="18" t="n">
        <x:v>17.25</x:v>
      </x:c>
      <x:c r="H32" s="18" t="n">
        <x:v>14.41</x:v>
      </x:c>
      <x:c r="I32" s="18" t="n">
        <x:v>31.66</x:v>
      </x:c>
      <x:c r="J32" t="n">
        <x:f>IF(A32=A31,IFERROR(IF(B32=EDATE(B31,1),C31,0),0),0)</x:f>
        <x:v>0</x:v>
      </x:c>
      <x:c r="K32" t="n">
        <x:f>IF(AND(J32=1,C32=0),1,0)</x:f>
        <x:v>0</x:v>
      </x:c>
      <x:c r="L32" t="str">
        <x:f>IFERROR(INDEX(Customers!$C$2:$C$451,MATCH(A32,Customers!$A$2:$A$451,0)),"Unknown")</x:f>
        <x:v>Standard</x:v>
      </x:c>
    </x:row>
    <x:row r="33">
      <x:c r="A33" t="n">
        <x:v>6</x:v>
      </x:c>
      <x:c r="B33" s="16" t="n">
        <x:v>46143</x:v>
      </x:c>
      <x:c r="C33" t="n">
        <x:v>1</x:v>
      </x:c>
      <x:c r="D33" t="n">
        <x:v>36</x:v>
      </x:c>
      <x:c r="E33" s="18" t="n">
        <x:v>4298.13</x:v>
      </x:c>
      <x:c r="F33" s="18" t="n">
        <x:v>0</x:v>
      </x:c>
      <x:c r="G33" s="18" t="n">
        <x:v>19.34</x:v>
      </x:c>
      <x:c r="H33" s="18" t="n">
        <x:v>15.56</x:v>
      </x:c>
      <x:c r="I33" s="18" t="n">
        <x:v>34.9</x:v>
      </x:c>
      <x:c r="J33" t="n">
        <x:f>IF(A33=A32,IFERROR(IF(B33=EDATE(B32,1),C32,0),0),0)</x:f>
        <x:v>1</x:v>
      </x:c>
      <x:c r="K33" t="n">
        <x:f>IF(AND(J33=1,C33=0),1,0)</x:f>
        <x:v>0</x:v>
      </x:c>
      <x:c r="L33" t="str">
        <x:f>IFERROR(INDEX(Customers!$C$2:$C$451,MATCH(A33,Customers!$A$2:$A$451,0)),"Unknown")</x:f>
        <x:v>Standard</x:v>
      </x:c>
    </x:row>
    <x:row r="34">
      <x:c r="A34" t="n">
        <x:v>6</x:v>
      </x:c>
      <x:c r="B34" s="16" t="n">
        <x:v>46174</x:v>
      </x:c>
      <x:c r="C34" t="n">
        <x:v>1</x:v>
      </x:c>
      <x:c r="D34" t="n">
        <x:v>26</x:v>
      </x:c>
      <x:c r="E34" s="18" t="n">
        <x:v>1167.19</x:v>
      </x:c>
      <x:c r="F34" s="18" t="n">
        <x:v>0</x:v>
      </x:c>
      <x:c r="G34" s="18" t="n">
        <x:v>5.25</x:v>
      </x:c>
      <x:c r="H34" s="18" t="n">
        <x:v>3.7</x:v>
      </x:c>
      <x:c r="I34" s="18" t="n">
        <x:v>8.95</x:v>
      </x:c>
      <x:c r="J34" t="n">
        <x:f>IF(A34=A33,IFERROR(IF(B34=EDATE(B33,1),C33,0),0),0)</x:f>
        <x:v>1</x:v>
      </x:c>
      <x:c r="K34" t="n">
        <x:f>IF(AND(J34=1,C34=0),1,0)</x:f>
        <x:v>0</x:v>
      </x:c>
      <x:c r="L34" t="str">
        <x:f>IFERROR(INDEX(Customers!$C$2:$C$451,MATCH(A34,Customers!$A$2:$A$451,0)),"Unknown")</x:f>
        <x:v>Standard</x:v>
      </x:c>
    </x:row>
    <x:row r="35">
      <x:c r="A35" t="n">
        <x:v>6</x:v>
      </x:c>
      <x:c r="B35" s="16" t="n">
        <x:v>46204</x:v>
      </x:c>
      <x:c r="C35" t="n">
        <x:v>1</x:v>
      </x:c>
      <x:c r="D35" t="n">
        <x:v>17</x:v>
      </x:c>
      <x:c r="E35" s="18" t="n">
        <x:v>2253.94</x:v>
      </x:c>
      <x:c r="F35" s="18" t="n">
        <x:v>0</x:v>
      </x:c>
      <x:c r="G35" s="18" t="n">
        <x:v>10.14</x:v>
      </x:c>
      <x:c r="H35" s="18" t="n">
        <x:v>4.68</x:v>
      </x:c>
      <x:c r="I35" s="18" t="n">
        <x:v>14.82</x:v>
      </x:c>
      <x:c r="J35" t="n">
        <x:f>IF(A35=A34,IFERROR(IF(B35=EDATE(B34,1),C34,0),0),0)</x:f>
        <x:v>1</x:v>
      </x:c>
      <x:c r="K35" t="n">
        <x:f>IF(AND(J35=1,C35=0),1,0)</x:f>
        <x:v>0</x:v>
      </x:c>
      <x:c r="L35" t="str">
        <x:f>IFERROR(INDEX(Customers!$C$2:$C$451,MATCH(A35,Customers!$A$2:$A$451,0)),"Unknown")</x:f>
        <x:v>Standard</x:v>
      </x:c>
    </x:row>
    <x:row r="36">
      <x:c r="A36" t="n">
        <x:v>6</x:v>
      </x:c>
      <x:c r="B36" s="16" t="n">
        <x:v>46235</x:v>
      </x:c>
      <x:c r="C36" t="n">
        <x:v>1</x:v>
      </x:c>
      <x:c r="D36" t="n">
        <x:v>8</x:v>
      </x:c>
      <x:c r="E36" s="18" t="n">
        <x:v>362.03</x:v>
      </x:c>
      <x:c r="F36" s="18" t="n">
        <x:v>0</x:v>
      </x:c>
      <x:c r="G36" s="18" t="n">
        <x:v>1.63</x:v>
      </x:c>
      <x:c r="H36" s="18" t="n">
        <x:v>0.66</x:v>
      </x:c>
      <x:c r="I36" s="18" t="n">
        <x:v>2.29</x:v>
      </x:c>
      <x:c r="J36" t="n">
        <x:f>IF(A36=A35,IFERROR(IF(B36=EDATE(B35,1),C35,0),0),0)</x:f>
        <x:v>1</x:v>
      </x:c>
      <x:c r="K36" t="n">
        <x:f>IF(AND(J36=1,C36=0),1,0)</x:f>
        <x:v>0</x:v>
      </x:c>
      <x:c r="L36" t="str">
        <x:f>IFERROR(INDEX(Customers!$C$2:$C$451,MATCH(A36,Customers!$A$2:$A$451,0)),"Unknown")</x:f>
        <x:v>Standard</x:v>
      </x:c>
    </x:row>
    <x:row r="37">
      <x:c r="A37" t="n">
        <x:v>6</x:v>
      </x:c>
      <x:c r="B37" s="16" t="n">
        <x:v>46266</x:v>
      </x:c>
      <x:c r="C37" t="n">
        <x:v>0</x:v>
      </x:c>
      <x:c r="D37" t="n">
        <x:v>0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  <x:c r="J37" t="n">
        <x:f>IF(A37=A36,IFERROR(IF(B37=EDATE(B36,1),C36,0),0),0)</x:f>
        <x:v>1</x:v>
      </x:c>
      <x:c r="K37" t="n">
        <x:f>IF(AND(J37=1,C37=0),1,0)</x:f>
        <x:v>1</x:v>
      </x:c>
      <x:c r="L37" t="str">
        <x:f>IFERROR(INDEX(Customers!$C$2:$C$451,MATCH(A37,Customers!$A$2:$A$451,0)),"Unknown")</x:f>
        <x:v>Standard</x:v>
      </x:c>
    </x:row>
    <x:row r="38">
      <x:c r="A38" t="n">
        <x:v>7</x:v>
      </x:c>
      <x:c r="B38" s="16" t="n">
        <x:v>46113</x:v>
      </x:c>
      <x:c r="C38" t="n">
        <x:v>1</x:v>
      </x:c>
      <x:c r="D38" t="n">
        <x:v>34</x:v>
      </x:c>
      <x:c r="E38" s="18" t="n">
        <x:v>2887.43</x:v>
      </x:c>
      <x:c r="F38" s="18" t="n">
        <x:v>8</x:v>
      </x:c>
      <x:c r="G38" s="18" t="n">
        <x:v>12.99</x:v>
      </x:c>
      <x:c r="H38" s="18" t="n">
        <x:v>3.97</x:v>
      </x:c>
      <x:c r="I38" s="18" t="n">
        <x:v>24.96</x:v>
      </x:c>
      <x:c r="J38" t="n">
        <x:f>IF(A38=A37,IFERROR(IF(B38=EDATE(B37,1),C37,0),0),0)</x:f>
        <x:v>0</x:v>
      </x:c>
      <x:c r="K38" t="n">
        <x:f>IF(AND(J38=1,C38=0),1,0)</x:f>
        <x:v>0</x:v>
      </x:c>
      <x:c r="L38" t="str">
        <x:f>IFERROR(INDEX(Customers!$C$2:$C$451,MATCH(A38,Customers!$A$2:$A$451,0)),"Unknown")</x:f>
        <x:v>Plus</x:v>
      </x:c>
    </x:row>
    <x:row r="39">
      <x:c r="A39" t="n">
        <x:v>7</x:v>
      </x:c>
      <x:c r="B39" s="16" t="n">
        <x:v>46143</x:v>
      </x:c>
      <x:c r="C39" t="n">
        <x:v>1</x:v>
      </x:c>
      <x:c r="D39" t="n">
        <x:v>29</x:v>
      </x:c>
      <x:c r="E39" s="18" t="n">
        <x:v>3836.92</x:v>
      </x:c>
      <x:c r="F39" s="18" t="n">
        <x:v>8</x:v>
      </x:c>
      <x:c r="G39" s="18" t="n">
        <x:v>17.27</x:v>
      </x:c>
      <x:c r="H39" s="18" t="n">
        <x:v>10.96</x:v>
      </x:c>
      <x:c r="I39" s="18" t="n">
        <x:v>36.23</x:v>
      </x:c>
      <x:c r="J39" t="n">
        <x:f>IF(A39=A38,IFERROR(IF(B39=EDATE(B38,1),C38,0),0),0)</x:f>
        <x:v>1</x:v>
      </x:c>
      <x:c r="K39" t="n">
        <x:f>IF(AND(J39=1,C39=0),1,0)</x:f>
        <x:v>0</x:v>
      </x:c>
      <x:c r="L39" t="str">
        <x:f>IFERROR(INDEX(Customers!$C$2:$C$451,MATCH(A39,Customers!$A$2:$A$451,0)),"Unknown")</x:f>
        <x:v>Plus</x:v>
      </x:c>
    </x:row>
    <x:row r="40">
      <x:c r="A40" t="n">
        <x:v>7</x:v>
      </x:c>
      <x:c r="B40" s="16" t="n">
        <x:v>46174</x:v>
      </x:c>
      <x:c r="C40" t="n">
        <x:v>1</x:v>
      </x:c>
      <x:c r="D40" t="n">
        <x:v>5</x:v>
      </x:c>
      <x:c r="E40" s="18" t="n">
        <x:v>654.64</x:v>
      </x:c>
      <x:c r="F40" s="18" t="n">
        <x:v>8</x:v>
      </x:c>
      <x:c r="G40" s="18" t="n">
        <x:v>2.95</x:v>
      </x:c>
      <x:c r="H40" s="18" t="n">
        <x:v>0.56</x:v>
      </x:c>
      <x:c r="I40" s="18" t="n">
        <x:v>11.51</x:v>
      </x:c>
      <x:c r="J40" t="n">
        <x:f>IF(A40=A39,IFERROR(IF(B40=EDATE(B39,1),C39,0),0),0)</x:f>
        <x:v>1</x:v>
      </x:c>
      <x:c r="K40" t="n">
        <x:f>IF(AND(J40=1,C40=0),1,0)</x:f>
        <x:v>0</x:v>
      </x:c>
      <x:c r="L40" t="str">
        <x:f>IFERROR(INDEX(Customers!$C$2:$C$451,MATCH(A40,Customers!$A$2:$A$451,0)),"Unknown")</x:f>
        <x:v>Plus</x:v>
      </x:c>
    </x:row>
    <x:row r="41">
      <x:c r="A41" t="n">
        <x:v>7</x:v>
      </x:c>
      <x:c r="B41" s="16" t="n">
        <x:v>46204</x:v>
      </x:c>
      <x:c r="C41" t="n">
        <x:v>1</x:v>
      </x:c>
      <x:c r="D41" t="n">
        <x:v>24</x:v>
      </x:c>
      <x:c r="E41" s="18" t="n">
        <x:v>1457.49</x:v>
      </x:c>
      <x:c r="F41" s="18" t="n">
        <x:v>8</x:v>
      </x:c>
      <x:c r="G41" s="18" t="n">
        <x:v>6.56</x:v>
      </x:c>
      <x:c r="H41" s="18" t="n">
        <x:v>2.9</x:v>
      </x:c>
      <x:c r="I41" s="18" t="n">
        <x:v>17.46</x:v>
      </x:c>
      <x:c r="J41" t="n">
        <x:f>IF(A41=A40,IFERROR(IF(B41=EDATE(B40,1),C40,0),0),0)</x:f>
        <x:v>1</x:v>
      </x:c>
      <x:c r="K41" t="n">
        <x:f>IF(AND(J41=1,C41=0),1,0)</x:f>
        <x:v>0</x:v>
      </x:c>
      <x:c r="L41" t="str">
        <x:f>IFERROR(INDEX(Customers!$C$2:$C$451,MATCH(A41,Customers!$A$2:$A$451,0)),"Unknown")</x:f>
        <x:v>Plus</x:v>
      </x:c>
    </x:row>
    <x:row r="42">
      <x:c r="A42" t="n">
        <x:v>7</x:v>
      </x:c>
      <x:c r="B42" s="16" t="n">
        <x:v>46235</x:v>
      </x:c>
      <x:c r="C42" t="n">
        <x:v>1</x:v>
      </x:c>
      <x:c r="D42" t="n">
        <x:v>28</x:v>
      </x:c>
      <x:c r="E42" s="18" t="n">
        <x:v>1420.34</x:v>
      </x:c>
      <x:c r="F42" s="18" t="n">
        <x:v>8</x:v>
      </x:c>
      <x:c r="G42" s="18" t="n">
        <x:v>6.39</x:v>
      </x:c>
      <x:c r="H42" s="18" t="n">
        <x:v>3.41</x:v>
      </x:c>
      <x:c r="I42" s="18" t="n">
        <x:v>17.8</x:v>
      </x:c>
      <x:c r="J42" t="n">
        <x:f>IF(A42=A41,IFERROR(IF(B42=EDATE(B41,1),C41,0),0),0)</x:f>
        <x:v>1</x:v>
      </x:c>
      <x:c r="K42" t="n">
        <x:f>IF(AND(J42=1,C42=0),1,0)</x:f>
        <x:v>0</x:v>
      </x:c>
      <x:c r="L42" t="str">
        <x:f>IFERROR(INDEX(Customers!$C$2:$C$451,MATCH(A42,Customers!$A$2:$A$451,0)),"Unknown")</x:f>
        <x:v>Plus</x:v>
      </x:c>
    </x:row>
    <x:row r="43">
      <x:c r="A43" t="n">
        <x:v>7</x:v>
      </x:c>
      <x:c r="B43" s="16" t="n">
        <x:v>46266</x:v>
      </x:c>
      <x:c r="C43" t="n">
        <x:v>0</x:v>
      </x:c>
      <x:c r="D43" t="n">
        <x:v>0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  <x:c r="J43" t="n">
        <x:f>IF(A43=A42,IFERROR(IF(B43=EDATE(B42,1),C42,0),0),0)</x:f>
        <x:v>1</x:v>
      </x:c>
      <x:c r="K43" t="n">
        <x:f>IF(AND(J43=1,C43=0),1,0)</x:f>
        <x:v>1</x:v>
      </x:c>
      <x:c r="L43" t="str">
        <x:f>IFERROR(INDEX(Customers!$C$2:$C$451,MATCH(A43,Customers!$A$2:$A$451,0)),"Unknown")</x:f>
        <x:v>Plus</x:v>
      </x:c>
    </x:row>
    <x:row r="44">
      <x:c r="A44" t="n">
        <x:v>8</x:v>
      </x:c>
      <x:c r="B44" s="16" t="n">
        <x:v>46113</x:v>
      </x:c>
      <x:c r="C44" t="n">
        <x:v>1</x:v>
      </x:c>
      <x:c r="D44" t="n">
        <x:v>29</x:v>
      </x:c>
      <x:c r="E44" s="18" t="n">
        <x:v>2984.12</x:v>
      </x:c>
      <x:c r="F44" s="18" t="n">
        <x:v>0</x:v>
      </x:c>
      <x:c r="G44" s="18" t="n">
        <x:v>13.43</x:v>
      </x:c>
      <x:c r="H44" s="18" t="n">
        <x:v>10.04</x:v>
      </x:c>
      <x:c r="I44" s="18" t="n">
        <x:v>23.47</x:v>
      </x:c>
      <x:c r="J44" t="n">
        <x:f>IF(A44=A43,IFERROR(IF(B44=EDATE(B43,1),C43,0),0),0)</x:f>
        <x:v>0</x:v>
      </x:c>
      <x:c r="K44" t="n">
        <x:f>IF(AND(J44=1,C44=0),1,0)</x:f>
        <x:v>0</x:v>
      </x:c>
      <x:c r="L44" t="str">
        <x:f>IFERROR(INDEX(Customers!$C$2:$C$451,MATCH(A44,Customers!$A$2:$A$451,0)),"Unknown")</x:f>
        <x:v>Standard</x:v>
      </x:c>
    </x:row>
    <x:row r="45">
      <x:c r="A45" t="n">
        <x:v>8</x:v>
      </x:c>
      <x:c r="B45" s="16" t="n">
        <x:v>46143</x:v>
      </x:c>
      <x:c r="C45" t="n">
        <x:v>1</x:v>
      </x:c>
      <x:c r="D45" t="n">
        <x:v>13</x:v>
      </x:c>
      <x:c r="E45" s="18" t="n">
        <x:v>1427.34</x:v>
      </x:c>
      <x:c r="F45" s="18" t="n">
        <x:v>0</x:v>
      </x:c>
      <x:c r="G45" s="18" t="n">
        <x:v>6.42</x:v>
      </x:c>
      <x:c r="H45" s="18" t="n">
        <x:v>4.8</x:v>
      </x:c>
      <x:c r="I45" s="18" t="n">
        <x:v>11.22</x:v>
      </x:c>
      <x:c r="J45" t="n">
        <x:f>IF(A45=A44,IFERROR(IF(B45=EDATE(B44,1),C44,0),0),0)</x:f>
        <x:v>1</x:v>
      </x:c>
      <x:c r="K45" t="n">
        <x:f>IF(AND(J45=1,C45=0),1,0)</x:f>
        <x:v>0</x:v>
      </x:c>
      <x:c r="L45" t="str">
        <x:f>IFERROR(INDEX(Customers!$C$2:$C$451,MATCH(A45,Customers!$A$2:$A$451,0)),"Unknown")</x:f>
        <x:v>Standard</x:v>
      </x:c>
    </x:row>
    <x:row r="46">
      <x:c r="A46" t="n">
        <x:v>8</x:v>
      </x:c>
      <x:c r="B46" s="16" t="n">
        <x:v>46174</x:v>
      </x:c>
      <x:c r="C46" t="n">
        <x:v>0</x:v>
      </x:c>
      <x:c r="D46" t="n">
        <x:v>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  <x:c r="J46" t="n">
        <x:f>IF(A46=A45,IFERROR(IF(B46=EDATE(B45,1),C45,0),0),0)</x:f>
        <x:v>1</x:v>
      </x:c>
      <x:c r="K46" t="n">
        <x:f>IF(AND(J46=1,C46=0),1,0)</x:f>
        <x:v>1</x:v>
      </x:c>
      <x:c r="L46" t="str">
        <x:f>IFERROR(INDEX(Customers!$C$2:$C$451,MATCH(A46,Customers!$A$2:$A$451,0)),"Unknown")</x:f>
        <x:v>Standard</x:v>
      </x:c>
    </x:row>
    <x:row r="47">
      <x:c r="A47" t="n">
        <x:v>8</x:v>
      </x:c>
      <x:c r="B47" s="16" t="n">
        <x:v>46204</x:v>
      </x:c>
      <x:c r="C47" t="n">
        <x:v>0</x:v>
      </x:c>
      <x:c r="D47" t="n">
        <x:v>0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  <x:c r="J47" t="n">
        <x:f>IF(A47=A46,IFERROR(IF(B47=EDATE(B46,1),C46,0),0),0)</x:f>
        <x:v>0</x:v>
      </x:c>
      <x:c r="K47" t="n">
        <x:f>IF(AND(J47=1,C47=0),1,0)</x:f>
        <x:v>0</x:v>
      </x:c>
      <x:c r="L47" t="str">
        <x:f>IFERROR(INDEX(Customers!$C$2:$C$451,MATCH(A47,Customers!$A$2:$A$451,0)),"Unknown")</x:f>
        <x:v>Standard</x:v>
      </x:c>
    </x:row>
    <x:row r="48">
      <x:c r="A48" t="n">
        <x:v>8</x:v>
      </x:c>
      <x:c r="B48" s="16" t="n">
        <x:v>46235</x:v>
      </x:c>
      <x:c r="C48" t="n">
        <x:v>1</x:v>
      </x:c>
      <x:c r="D48" t="n">
        <x:v>8</x:v>
      </x:c>
      <x:c r="E48" s="18" t="n">
        <x:v>535.59</x:v>
      </x:c>
      <x:c r="F48" s="18" t="n">
        <x:v>0</x:v>
      </x:c>
      <x:c r="G48" s="18" t="n">
        <x:v>2.41</x:v>
      </x:c>
      <x:c r="H48" s="18" t="n">
        <x:v>0.57</x:v>
      </x:c>
      <x:c r="I48" s="18" t="n">
        <x:v>2.98</x:v>
      </x:c>
      <x:c r="J48" t="n">
        <x:f>IF(A48=A47,IFERROR(IF(B48=EDATE(B47,1),C47,0),0),0)</x:f>
        <x:v>0</x:v>
      </x:c>
      <x:c r="K48" t="n">
        <x:f>IF(AND(J48=1,C48=0),1,0)</x:f>
        <x:v>0</x:v>
      </x:c>
      <x:c r="L48" t="str">
        <x:f>IFERROR(INDEX(Customers!$C$2:$C$451,MATCH(A48,Customers!$A$2:$A$451,0)),"Unknown")</x:f>
        <x:v>Standard</x:v>
      </x:c>
    </x:row>
    <x:row r="49">
      <x:c r="A49" t="n">
        <x:v>8</x:v>
      </x:c>
      <x:c r="B49" s="16" t="n">
        <x:v>46266</x:v>
      </x:c>
      <x:c r="C49" t="n">
        <x:v>0</x:v>
      </x:c>
      <x:c r="D49" t="n">
        <x:v>0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  <x:c r="J49" t="n">
        <x:f>IF(A49=A48,IFERROR(IF(B49=EDATE(B48,1),C48,0),0),0)</x:f>
        <x:v>1</x:v>
      </x:c>
      <x:c r="K49" t="n">
        <x:f>IF(AND(J49=1,C49=0),1,0)</x:f>
        <x:v>1</x:v>
      </x:c>
      <x:c r="L49" t="str">
        <x:f>IFERROR(INDEX(Customers!$C$2:$C$451,MATCH(A49,Customers!$A$2:$A$451,0)),"Unknown")</x:f>
        <x:v>Standard</x:v>
      </x:c>
    </x:row>
    <x:row r="50">
      <x:c r="A50" t="n">
        <x:v>9</x:v>
      </x:c>
      <x:c r="B50" s="16" t="n">
        <x:v>46143</x:v>
      </x:c>
      <x:c r="C50" t="n">
        <x:v>1</x:v>
      </x:c>
      <x:c r="D50" t="n">
        <x:v>11</x:v>
      </x:c>
      <x:c r="E50" s="18" t="n">
        <x:v>1390.87</x:v>
      </x:c>
      <x:c r="F50" s="18" t="n">
        <x:v>34</x:v>
      </x:c>
      <x:c r="G50" s="18" t="n">
        <x:v>6.26</x:v>
      </x:c>
      <x:c r="H50" s="18" t="n">
        <x:v>3.02</x:v>
      </x:c>
      <x:c r="I50" s="18" t="n">
        <x:v>43.28</x:v>
      </x:c>
      <x:c r="J50" t="n">
        <x:f>IF(A50=A49,IFERROR(IF(B50=EDATE(B49,1),C49,0),0),0)</x:f>
        <x:v>0</x:v>
      </x:c>
      <x:c r="K50" t="n">
        <x:f>IF(AND(J50=1,C50=0),1,0)</x:f>
        <x:v>0</x:v>
      </x:c>
      <x:c r="L50" t="str">
        <x:f>IFERROR(INDEX(Customers!$C$2:$C$451,MATCH(A50,Customers!$A$2:$A$451,0)),"Unknown")</x:f>
        <x:v>Metal</x:v>
      </x:c>
    </x:row>
    <x:row r="51">
      <x:c r="A51" t="n">
        <x:v>9</x:v>
      </x:c>
      <x:c r="B51" s="16" t="n">
        <x:v>46174</x:v>
      </x:c>
      <x:c r="C51" t="n">
        <x:v>0</x:v>
      </x:c>
      <x:c r="D51" t="n">
        <x:v>0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  <x:c r="J51" t="n">
        <x:f>IF(A51=A50,IFERROR(IF(B51=EDATE(B50,1),C50,0),0),0)</x:f>
        <x:v>1</x:v>
      </x:c>
      <x:c r="K51" t="n">
        <x:f>IF(AND(J51=1,C51=0),1,0)</x:f>
        <x:v>1</x:v>
      </x:c>
      <x:c r="L51" t="str">
        <x:f>IFERROR(INDEX(Customers!$C$2:$C$451,MATCH(A51,Customers!$A$2:$A$451,0)),"Unknown")</x:f>
        <x:v>Metal</x:v>
      </x:c>
    </x:row>
    <x:row r="52">
      <x:c r="A52" t="n">
        <x:v>9</x:v>
      </x:c>
      <x:c r="B52" s="16" t="n">
        <x:v>46204</x:v>
      </x:c>
      <x:c r="C52" t="n">
        <x:v>0</x:v>
      </x:c>
      <x:c r="D52" t="n">
        <x:v>0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  <x:c r="J52" t="n">
        <x:f>IF(A52=A51,IFERROR(IF(B52=EDATE(B51,1),C51,0),0),0)</x:f>
        <x:v>0</x:v>
      </x:c>
      <x:c r="K52" t="n">
        <x:f>IF(AND(J52=1,C52=0),1,0)</x:f>
        <x:v>0</x:v>
      </x:c>
      <x:c r="L52" t="str">
        <x:f>IFERROR(INDEX(Customers!$C$2:$C$451,MATCH(A52,Customers!$A$2:$A$451,0)),"Unknown")</x:f>
        <x:v>Metal</x:v>
      </x:c>
    </x:row>
    <x:row r="53">
      <x:c r="A53" t="n">
        <x:v>9</x:v>
      </x:c>
      <x:c r="B53" s="16" t="n">
        <x:v>46235</x:v>
      </x:c>
      <x:c r="C53" t="n">
        <x:v>1</x:v>
      </x:c>
      <x:c r="D53" t="n">
        <x:v>10</x:v>
      </x:c>
      <x:c r="E53" s="18" t="n">
        <x:v>1102.05</x:v>
      </x:c>
      <x:c r="F53" s="18" t="n">
        <x:v>34</x:v>
      </x:c>
      <x:c r="G53" s="18" t="n">
        <x:v>4.96</x:v>
      </x:c>
      <x:c r="H53" s="18" t="n">
        <x:v>2.54</x:v>
      </x:c>
      <x:c r="I53" s="18" t="n">
        <x:v>41.5</x:v>
      </x:c>
      <x:c r="J53" t="n">
        <x:f>IF(A53=A52,IFERROR(IF(B53=EDATE(B52,1),C52,0),0),0)</x:f>
        <x:v>0</x:v>
      </x:c>
      <x:c r="K53" t="n">
        <x:f>IF(AND(J53=1,C53=0),1,0)</x:f>
        <x:v>0</x:v>
      </x:c>
      <x:c r="L53" t="str">
        <x:f>IFERROR(INDEX(Customers!$C$2:$C$451,MATCH(A53,Customers!$A$2:$A$451,0)),"Unknown")</x:f>
        <x:v>Metal</x:v>
      </x:c>
    </x:row>
    <x:row r="54">
      <x:c r="A54" t="n">
        <x:v>9</x:v>
      </x:c>
      <x:c r="B54" s="16" t="n">
        <x:v>46266</x:v>
      </x:c>
      <x:c r="C54" t="n">
        <x:v>1</x:v>
      </x:c>
      <x:c r="D54" t="n">
        <x:v>29</x:v>
      </x:c>
      <x:c r="E54" s="18" t="n">
        <x:v>2324.3</x:v>
      </x:c>
      <x:c r="F54" s="18" t="n">
        <x:v>34</x:v>
      </x:c>
      <x:c r="G54" s="18" t="n">
        <x:v>10.46</x:v>
      </x:c>
      <x:c r="H54" s="18" t="n">
        <x:v>2.85</x:v>
      </x:c>
      <x:c r="I54" s="18" t="n">
        <x:v>47.31</x:v>
      </x:c>
      <x:c r="J54" t="n">
        <x:f>IF(A54=A53,IFERROR(IF(B54=EDATE(B53,1),C53,0),0),0)</x:f>
        <x:v>1</x:v>
      </x:c>
      <x:c r="K54" t="n">
        <x:f>IF(AND(J54=1,C54=0),1,0)</x:f>
        <x:v>0</x:v>
      </x:c>
      <x:c r="L54" t="str">
        <x:f>IFERROR(INDEX(Customers!$C$2:$C$451,MATCH(A54,Customers!$A$2:$A$451,0)),"Unknown")</x:f>
        <x:v>Metal</x:v>
      </x:c>
    </x:row>
    <x:row r="55">
      <x:c r="A55" t="n">
        <x:v>10</x:v>
      </x:c>
      <x:c r="B55" s="16" t="n">
        <x:v>46113</x:v>
      </x:c>
      <x:c r="C55" t="n">
        <x:v>1</x:v>
      </x:c>
      <x:c r="D55" t="n">
        <x:v>17</x:v>
      </x:c>
      <x:c r="E55" s="18" t="n">
        <x:v>2314.4</x:v>
      </x:c>
      <x:c r="F55" s="18" t="n">
        <x:v>17</x:v>
      </x:c>
      <x:c r="G55" s="18" t="n">
        <x:v>10.41</x:v>
      </x:c>
      <x:c r="H55" s="18" t="n">
        <x:v>7.51</x:v>
      </x:c>
      <x:c r="I55" s="18" t="n">
        <x:v>34.92</x:v>
      </x:c>
      <x:c r="J55" t="n">
        <x:f>IF(A55=A54,IFERROR(IF(B55=EDATE(B54,1),C54,0),0),0)</x:f>
        <x:v>0</x:v>
      </x:c>
      <x:c r="K55" t="n">
        <x:f>IF(AND(J55=1,C55=0),1,0)</x:f>
        <x:v>0</x:v>
      </x:c>
      <x:c r="L55" t="str">
        <x:f>IFERROR(INDEX(Customers!$C$2:$C$451,MATCH(A55,Customers!$A$2:$A$451,0)),"Unknown")</x:f>
        <x:v>Premium</x:v>
      </x:c>
    </x:row>
    <x:row r="56">
      <x:c r="A56" t="n">
        <x:v>10</x:v>
      </x:c>
      <x:c r="B56" s="16" t="n">
        <x:v>46143</x:v>
      </x:c>
      <x:c r="C56" t="n">
        <x:v>1</x:v>
      </x:c>
      <x:c r="D56" t="n">
        <x:v>24</x:v>
      </x:c>
      <x:c r="E56" s="18" t="n">
        <x:v>3187.62</x:v>
      </x:c>
      <x:c r="F56" s="18" t="n">
        <x:v>17</x:v>
      </x:c>
      <x:c r="G56" s="18" t="n">
        <x:v>14.34</x:v>
      </x:c>
      <x:c r="H56" s="18" t="n">
        <x:v>7.37</x:v>
      </x:c>
      <x:c r="I56" s="18" t="n">
        <x:v>38.71</x:v>
      </x:c>
      <x:c r="J56" t="n">
        <x:f>IF(A56=A55,IFERROR(IF(B56=EDATE(B55,1),C55,0),0),0)</x:f>
        <x:v>1</x:v>
      </x:c>
      <x:c r="K56" t="n">
        <x:f>IF(AND(J56=1,C56=0),1,0)</x:f>
        <x:v>0</x:v>
      </x:c>
      <x:c r="L56" t="str">
        <x:f>IFERROR(INDEX(Customers!$C$2:$C$451,MATCH(A56,Customers!$A$2:$A$451,0)),"Unknown")</x:f>
        <x:v>Premium</x:v>
      </x:c>
    </x:row>
    <x:row r="57">
      <x:c r="A57" t="n">
        <x:v>10</x:v>
      </x:c>
      <x:c r="B57" s="16" t="n">
        <x:v>46174</x:v>
      </x:c>
      <x:c r="C57" t="n">
        <x:v>1</x:v>
      </x:c>
      <x:c r="D57" t="n">
        <x:v>5</x:v>
      </x:c>
      <x:c r="E57" s="18" t="n">
        <x:v>565.88</x:v>
      </x:c>
      <x:c r="F57" s="18" t="n">
        <x:v>17</x:v>
      </x:c>
      <x:c r="G57" s="18" t="n">
        <x:v>2.55</x:v>
      </x:c>
      <x:c r="H57" s="18" t="n">
        <x:v>0.58</x:v>
      </x:c>
      <x:c r="I57" s="18" t="n">
        <x:v>20.13</x:v>
      </x:c>
      <x:c r="J57" t="n">
        <x:f>IF(A57=A56,IFERROR(IF(B57=EDATE(B56,1),C56,0),0),0)</x:f>
        <x:v>1</x:v>
      </x:c>
      <x:c r="K57" t="n">
        <x:f>IF(AND(J57=1,C57=0),1,0)</x:f>
        <x:v>0</x:v>
      </x:c>
      <x:c r="L57" t="str">
        <x:f>IFERROR(INDEX(Customers!$C$2:$C$451,MATCH(A57,Customers!$A$2:$A$451,0)),"Unknown")</x:f>
        <x:v>Premium</x:v>
      </x:c>
    </x:row>
    <x:row r="58">
      <x:c r="A58" t="n">
        <x:v>10</x:v>
      </x:c>
      <x:c r="B58" s="16" t="n">
        <x:v>46204</x:v>
      </x:c>
      <x:c r="C58" t="n">
        <x:v>1</x:v>
      </x:c>
      <x:c r="D58" t="n">
        <x:v>14</x:v>
      </x:c>
      <x:c r="E58" s="18" t="n">
        <x:v>1631.51</x:v>
      </x:c>
      <x:c r="F58" s="18" t="n">
        <x:v>17</x:v>
      </x:c>
      <x:c r="G58" s="18" t="n">
        <x:v>7.34</x:v>
      </x:c>
      <x:c r="H58" s="18" t="n">
        <x:v>4.77</x:v>
      </x:c>
      <x:c r="I58" s="18" t="n">
        <x:v>29.11</x:v>
      </x:c>
      <x:c r="J58" t="n">
        <x:f>IF(A58=A57,IFERROR(IF(B58=EDATE(B57,1),C57,0),0),0)</x:f>
        <x:v>1</x:v>
      </x:c>
      <x:c r="K58" t="n">
        <x:f>IF(AND(J58=1,C58=0),1,0)</x:f>
        <x:v>0</x:v>
      </x:c>
      <x:c r="L58" t="str">
        <x:f>IFERROR(INDEX(Customers!$C$2:$C$451,MATCH(A58,Customers!$A$2:$A$451,0)),"Unknown")</x:f>
        <x:v>Premium</x:v>
      </x:c>
    </x:row>
    <x:row r="59">
      <x:c r="A59" t="n">
        <x:v>10</x:v>
      </x:c>
      <x:c r="B59" s="16" t="n">
        <x:v>46235</x:v>
      </x:c>
      <x:c r="C59" t="n">
        <x:v>1</x:v>
      </x:c>
      <x:c r="D59" t="n">
        <x:v>13</x:v>
      </x:c>
      <x:c r="E59" s="18" t="n">
        <x:v>622.94</x:v>
      </x:c>
      <x:c r="F59" s="18" t="n">
        <x:v>17</x:v>
      </x:c>
      <x:c r="G59" s="18" t="n">
        <x:v>2.8</x:v>
      </x:c>
      <x:c r="H59" s="18" t="n">
        <x:v>1.58</x:v>
      </x:c>
      <x:c r="I59" s="18" t="n">
        <x:v>21.38</x:v>
      </x:c>
      <x:c r="J59" t="n">
        <x:f>IF(A59=A58,IFERROR(IF(B59=EDATE(B58,1),C58,0),0),0)</x:f>
        <x:v>1</x:v>
      </x:c>
      <x:c r="K59" t="n">
        <x:f>IF(AND(J59=1,C59=0),1,0)</x:f>
        <x:v>0</x:v>
      </x:c>
      <x:c r="L59" t="str">
        <x:f>IFERROR(INDEX(Customers!$C$2:$C$451,MATCH(A59,Customers!$A$2:$A$451,0)),"Unknown")</x:f>
        <x:v>Premium</x:v>
      </x:c>
    </x:row>
    <x:row r="60">
      <x:c r="A60" t="n">
        <x:v>10</x:v>
      </x:c>
      <x:c r="B60" s="16" t="n">
        <x:v>46266</x:v>
      </x:c>
      <x:c r="C60" t="n">
        <x:v>0</x:v>
      </x:c>
      <x:c r="D60" t="n">
        <x:v>0</x:v>
      </x:c>
      <x:c r="E60" s="18" t="n">
        <x:v>0</x:v>
      </x:c>
      <x:c r="F60" s="18" t="n">
        <x:v>0</x:v>
      </x:c>
      <x:c r="G60" s="18" t="n">
        <x:v>0</x:v>
      </x:c>
      <x:c r="H60" s="18" t="n">
        <x:v>0</x:v>
      </x:c>
      <x:c r="I60" s="18" t="n">
        <x:v>0</x:v>
      </x:c>
      <x:c r="J60" t="n">
        <x:f>IF(A60=A59,IFERROR(IF(B60=EDATE(B59,1),C59,0),0),0)</x:f>
        <x:v>1</x:v>
      </x:c>
      <x:c r="K60" t="n">
        <x:f>IF(AND(J60=1,C60=0),1,0)</x:f>
        <x:v>1</x:v>
      </x:c>
      <x:c r="L60" t="str">
        <x:f>IFERROR(INDEX(Customers!$C$2:$C$451,MATCH(A60,Customers!$A$2:$A$451,0)),"Unknown")</x:f>
        <x:v>Premium</x:v>
      </x:c>
    </x:row>
    <x:row r="61">
      <x:c r="A61" t="n">
        <x:v>11</x:v>
      </x:c>
      <x:c r="B61" s="16" t="n">
        <x:v>46113</x:v>
      </x:c>
      <x:c r="C61" t="n">
        <x:v>0</x:v>
      </x:c>
      <x:c r="D61" t="n">
        <x:v>0</x:v>
      </x:c>
      <x:c r="E61" s="18" t="n">
        <x:v>0</x:v>
      </x:c>
      <x:c r="F61" s="18" t="n">
        <x:v>0</x:v>
      </x:c>
      <x:c r="G61" s="18" t="n">
        <x:v>0</x:v>
      </x:c>
      <x:c r="H61" s="18" t="n">
        <x:v>0</x:v>
      </x:c>
      <x:c r="I61" s="18" t="n">
        <x:v>0</x:v>
      </x:c>
      <x:c r="J61" t="n">
        <x:f>IF(A61=A60,IFERROR(IF(B61=EDATE(B60,1),C60,0),0),0)</x:f>
        <x:v>0</x:v>
      </x:c>
      <x:c r="K61" t="n">
        <x:f>IF(AND(J61=1,C61=0),1,0)</x:f>
        <x:v>0</x:v>
      </x:c>
      <x:c r="L61" t="str">
        <x:f>IFERROR(INDEX(Customers!$C$2:$C$451,MATCH(A61,Customers!$A$2:$A$451,0)),"Unknown")</x:f>
        <x:v>Standard</x:v>
      </x:c>
    </x:row>
    <x:row r="62">
      <x:c r="A62" t="n">
        <x:v>11</x:v>
      </x:c>
      <x:c r="B62" s="16" t="n">
        <x:v>46143</x:v>
      </x:c>
      <x:c r="C62" t="n">
        <x:v>1</x:v>
      </x:c>
      <x:c r="D62" t="n">
        <x:v>32</x:v>
      </x:c>
      <x:c r="E62" s="18" t="n">
        <x:v>2999.91</x:v>
      </x:c>
      <x:c r="F62" s="18" t="n">
        <x:v>0</x:v>
      </x:c>
      <x:c r="G62" s="18" t="n">
        <x:v>13.5</x:v>
      </x:c>
      <x:c r="H62" s="18" t="n">
        <x:v>9.23</x:v>
      </x:c>
      <x:c r="I62" s="18" t="n">
        <x:v>22.73</x:v>
      </x:c>
      <x:c r="J62" t="n">
        <x:f>IF(A62=A61,IFERROR(IF(B62=EDATE(B61,1),C61,0),0),0)</x:f>
        <x:v>0</x:v>
      </x:c>
      <x:c r="K62" t="n">
        <x:f>IF(AND(J62=1,C62=0),1,0)</x:f>
        <x:v>0</x:v>
      </x:c>
      <x:c r="L62" t="str">
        <x:f>IFERROR(INDEX(Customers!$C$2:$C$451,MATCH(A62,Customers!$A$2:$A$451,0)),"Unknown")</x:f>
        <x:v>Standard</x:v>
      </x:c>
    </x:row>
    <x:row r="63">
      <x:c r="A63" t="n">
        <x:v>11</x:v>
      </x:c>
      <x:c r="B63" s="16" t="n">
        <x:v>46174</x:v>
      </x:c>
      <x:c r="C63" t="n">
        <x:v>1</x:v>
      </x:c>
      <x:c r="D63" t="n">
        <x:v>33</x:v>
      </x:c>
      <x:c r="E63" s="18" t="n">
        <x:v>3557.2</x:v>
      </x:c>
      <x:c r="F63" s="18" t="n">
        <x:v>0</x:v>
      </x:c>
      <x:c r="G63" s="18" t="n">
        <x:v>16.01</x:v>
      </x:c>
      <x:c r="H63" s="18" t="n">
        <x:v>12.55</x:v>
      </x:c>
      <x:c r="I63" s="18" t="n">
        <x:v>28.56</x:v>
      </x:c>
      <x:c r="J63" t="n">
        <x:f>IF(A63=A62,IFERROR(IF(B63=EDATE(B62,1),C62,0),0),0)</x:f>
        <x:v>1</x:v>
      </x:c>
      <x:c r="K63" t="n">
        <x:f>IF(AND(J63=1,C63=0),1,0)</x:f>
        <x:v>0</x:v>
      </x:c>
      <x:c r="L63" t="str">
        <x:f>IFERROR(INDEX(Customers!$C$2:$C$451,MATCH(A63,Customers!$A$2:$A$451,0)),"Unknown")</x:f>
        <x:v>Standard</x:v>
      </x:c>
    </x:row>
    <x:row r="64">
      <x:c r="A64" t="n">
        <x:v>11</x:v>
      </x:c>
      <x:c r="B64" s="16" t="n">
        <x:v>46204</x:v>
      </x:c>
      <x:c r="C64" t="n">
        <x:v>1</x:v>
      </x:c>
      <x:c r="D64" t="n">
        <x:v>25</x:v>
      </x:c>
      <x:c r="E64" s="18" t="n">
        <x:v>1572.59</x:v>
      </x:c>
      <x:c r="F64" s="18" t="n">
        <x:v>0</x:v>
      </x:c>
      <x:c r="G64" s="18" t="n">
        <x:v>7.08</x:v>
      </x:c>
      <x:c r="H64" s="18" t="n">
        <x:v>4.05</x:v>
      </x:c>
      <x:c r="I64" s="18" t="n">
        <x:v>11.13</x:v>
      </x:c>
      <x:c r="J64" t="n">
        <x:f>IF(A64=A63,IFERROR(IF(B64=EDATE(B63,1),C63,0),0),0)</x:f>
        <x:v>1</x:v>
      </x:c>
      <x:c r="K64" t="n">
        <x:f>IF(AND(J64=1,C64=0),1,0)</x:f>
        <x:v>0</x:v>
      </x:c>
      <x:c r="L64" t="str">
        <x:f>IFERROR(INDEX(Customers!$C$2:$C$451,MATCH(A64,Customers!$A$2:$A$451,0)),"Unknown")</x:f>
        <x:v>Standard</x:v>
      </x:c>
    </x:row>
    <x:row r="65">
      <x:c r="A65" t="n">
        <x:v>11</x:v>
      </x:c>
      <x:c r="B65" s="16" t="n">
        <x:v>46235</x:v>
      </x:c>
      <x:c r="C65" t="n">
        <x:v>1</x:v>
      </x:c>
      <x:c r="D65" t="n">
        <x:v>18</x:v>
      </x:c>
      <x:c r="E65" s="18" t="n">
        <x:v>1192.38</x:v>
      </x:c>
      <x:c r="F65" s="18" t="n">
        <x:v>0</x:v>
      </x:c>
      <x:c r="G65" s="18" t="n">
        <x:v>5.37</x:v>
      </x:c>
      <x:c r="H65" s="18" t="n">
        <x:v>3.59</x:v>
      </x:c>
      <x:c r="I65" s="18" t="n">
        <x:v>8.96</x:v>
      </x:c>
      <x:c r="J65" t="n">
        <x:f>IF(A65=A64,IFERROR(IF(B65=EDATE(B64,1),C64,0),0),0)</x:f>
        <x:v>1</x:v>
      </x:c>
      <x:c r="K65" t="n">
        <x:f>IF(AND(J65=1,C65=0),1,0)</x:f>
        <x:v>0</x:v>
      </x:c>
      <x:c r="L65" t="str">
        <x:f>IFERROR(INDEX(Customers!$C$2:$C$451,MATCH(A65,Customers!$A$2:$A$451,0)),"Unknown")</x:f>
        <x:v>Standard</x:v>
      </x:c>
    </x:row>
    <x:row r="66">
      <x:c r="A66" t="n">
        <x:v>11</x:v>
      </x:c>
      <x:c r="B66" s="16" t="n">
        <x:v>46266</x:v>
      </x:c>
      <x:c r="C66" t="n">
        <x:v>0</x:v>
      </x:c>
      <x:c r="D66" t="n">
        <x:v>0</x:v>
      </x:c>
      <x:c r="E66" s="18" t="n">
        <x:v>0</x:v>
      </x:c>
      <x:c r="F66" s="18" t="n">
        <x:v>0</x:v>
      </x:c>
      <x:c r="G66" s="18" t="n">
        <x:v>0</x:v>
      </x:c>
      <x:c r="H66" s="18" t="n">
        <x:v>0</x:v>
      </x:c>
      <x:c r="I66" s="18" t="n">
        <x:v>0</x:v>
      </x:c>
      <x:c r="J66" t="n">
        <x:f>IF(A66=A65,IFERROR(IF(B66=EDATE(B65,1),C65,0),0),0)</x:f>
        <x:v>1</x:v>
      </x:c>
      <x:c r="K66" t="n">
        <x:f>IF(AND(J66=1,C66=0),1,0)</x:f>
        <x:v>1</x:v>
      </x:c>
      <x:c r="L66" t="str">
        <x:f>IFERROR(INDEX(Customers!$C$2:$C$451,MATCH(A66,Customers!$A$2:$A$451,0)),"Unknown")</x:f>
        <x:v>Standard</x:v>
      </x:c>
    </x:row>
    <x:row r="67">
      <x:c r="A67" t="n">
        <x:v>12</x:v>
      </x:c>
      <x:c r="B67" s="16" t="n">
        <x:v>46143</x:v>
      </x:c>
      <x:c r="C67" t="n">
        <x:v>1</x:v>
      </x:c>
      <x:c r="D67" t="n">
        <x:v>22</x:v>
      </x:c>
      <x:c r="E67" s="18" t="n">
        <x:v>1833.69</x:v>
      </x:c>
      <x:c r="F67" s="18" t="n">
        <x:v>0</x:v>
      </x:c>
      <x:c r="G67" s="18" t="n">
        <x:v>8.25</x:v>
      </x:c>
      <x:c r="H67" s="18" t="n">
        <x:v>5.57</x:v>
      </x:c>
      <x:c r="I67" s="18" t="n">
        <x:v>13.82</x:v>
      </x:c>
      <x:c r="J67" t="n">
        <x:f>IF(A67=A66,IFERROR(IF(B67=EDATE(B66,1),C66,0),0),0)</x:f>
        <x:v>0</x:v>
      </x:c>
      <x:c r="K67" t="n">
        <x:f>IF(AND(J67=1,C67=0),1,0)</x:f>
        <x:v>0</x:v>
      </x:c>
      <x:c r="L67" t="str">
        <x:f>IFERROR(INDEX(Customers!$C$2:$C$451,MATCH(A67,Customers!$A$2:$A$451,0)),"Unknown")</x:f>
        <x:v>Standard</x:v>
      </x:c>
    </x:row>
    <x:row r="68">
      <x:c r="A68" t="n">
        <x:v>12</x:v>
      </x:c>
      <x:c r="B68" s="16" t="n">
        <x:v>46174</x:v>
      </x:c>
      <x:c r="C68" t="n">
        <x:v>1</x:v>
      </x:c>
      <x:c r="D68" t="n">
        <x:v>35</x:v>
      </x:c>
      <x:c r="E68" s="18" t="n">
        <x:v>2086.22</x:v>
      </x:c>
      <x:c r="F68" s="18" t="n">
        <x:v>0</x:v>
      </x:c>
      <x:c r="G68" s="18" t="n">
        <x:v>9.39</x:v>
      </x:c>
      <x:c r="H68" s="18" t="n">
        <x:v>6.66</x:v>
      </x:c>
      <x:c r="I68" s="18" t="n">
        <x:v>16.05</x:v>
      </x:c>
      <x:c r="J68" t="n">
        <x:f>IF(A68=A67,IFERROR(IF(B68=EDATE(B67,1),C67,0),0),0)</x:f>
        <x:v>1</x:v>
      </x:c>
      <x:c r="K68" t="n">
        <x:f>IF(AND(J68=1,C68=0),1,0)</x:f>
        <x:v>0</x:v>
      </x:c>
      <x:c r="L68" t="str">
        <x:f>IFERROR(INDEX(Customers!$C$2:$C$451,MATCH(A68,Customers!$A$2:$A$451,0)),"Unknown")</x:f>
        <x:v>Standard</x:v>
      </x:c>
    </x:row>
    <x:row r="69">
      <x:c r="A69" t="n">
        <x:v>12</x:v>
      </x:c>
      <x:c r="B69" s="16" t="n">
        <x:v>46204</x:v>
      </x:c>
      <x:c r="C69" t="n">
        <x:v>1</x:v>
      </x:c>
      <x:c r="D69" t="n">
        <x:v>6</x:v>
      </x:c>
      <x:c r="E69" s="18" t="n">
        <x:v>705.68</x:v>
      </x:c>
      <x:c r="F69" s="18" t="n">
        <x:v>0</x:v>
      </x:c>
      <x:c r="G69" s="18" t="n">
        <x:v>3.18</x:v>
      </x:c>
      <x:c r="H69" s="18" t="n">
        <x:v>1.01</x:v>
      </x:c>
      <x:c r="I69" s="18" t="n">
        <x:v>4.19</x:v>
      </x:c>
      <x:c r="J69" t="n">
        <x:f>IF(A69=A68,IFERROR(IF(B69=EDATE(B68,1),C68,0),0),0)</x:f>
        <x:v>1</x:v>
      </x:c>
      <x:c r="K69" t="n">
        <x:f>IF(AND(J69=1,C69=0),1,0)</x:f>
        <x:v>0</x:v>
      </x:c>
      <x:c r="L69" t="str">
        <x:f>IFERROR(INDEX(Customers!$C$2:$C$451,MATCH(A69,Customers!$A$2:$A$451,0)),"Unknown")</x:f>
        <x:v>Standard</x:v>
      </x:c>
    </x:row>
    <x:row r="70">
      <x:c r="A70" t="n">
        <x:v>12</x:v>
      </x:c>
      <x:c r="B70" s="16" t="n">
        <x:v>46235</x:v>
      </x:c>
      <x:c r="C70" t="n">
        <x:v>1</x:v>
      </x:c>
      <x:c r="D70" t="n">
        <x:v>15</x:v>
      </x:c>
      <x:c r="E70" s="18" t="n">
        <x:v>1018.98</x:v>
      </x:c>
      <x:c r="F70" s="18" t="n">
        <x:v>0</x:v>
      </x:c>
      <x:c r="G70" s="18" t="n">
        <x:v>4.59</x:v>
      </x:c>
      <x:c r="H70" s="18" t="n">
        <x:v>2.91</x:v>
      </x:c>
      <x:c r="I70" s="18" t="n">
        <x:v>7.5</x:v>
      </x:c>
      <x:c r="J70" t="n">
        <x:f>IF(A70=A69,IFERROR(IF(B70=EDATE(B69,1),C69,0),0),0)</x:f>
        <x:v>1</x:v>
      </x:c>
      <x:c r="K70" t="n">
        <x:f>IF(AND(J70=1,C70=0),1,0)</x:f>
        <x:v>0</x:v>
      </x:c>
      <x:c r="L70" t="str">
        <x:f>IFERROR(INDEX(Customers!$C$2:$C$451,MATCH(A70,Customers!$A$2:$A$451,0)),"Unknown")</x:f>
        <x:v>Standard</x:v>
      </x:c>
    </x:row>
    <x:row r="71">
      <x:c r="A71" t="n">
        <x:v>12</x:v>
      </x:c>
      <x:c r="B71" s="16" t="n">
        <x:v>46266</x:v>
      </x:c>
      <x:c r="C71" t="n">
        <x:v>1</x:v>
      </x:c>
      <x:c r="D71" t="n">
        <x:v>9</x:v>
      </x:c>
      <x:c r="E71" s="18" t="n">
        <x:v>795.98</x:v>
      </x:c>
      <x:c r="F71" s="18" t="n">
        <x:v>0</x:v>
      </x:c>
      <x:c r="G71" s="18" t="n">
        <x:v>3.58</x:v>
      </x:c>
      <x:c r="H71" s="18" t="n">
        <x:v>1</x:v>
      </x:c>
      <x:c r="I71" s="18" t="n">
        <x:v>4.58</x:v>
      </x:c>
      <x:c r="J71" t="n">
        <x:f>IF(A71=A70,IFERROR(IF(B71=EDATE(B70,1),C70,0),0),0)</x:f>
        <x:v>1</x:v>
      </x:c>
      <x:c r="K71" t="n">
        <x:f>IF(AND(J71=1,C71=0),1,0)</x:f>
        <x:v>0</x:v>
      </x:c>
      <x:c r="L71" t="str">
        <x:f>IFERROR(INDEX(Customers!$C$2:$C$451,MATCH(A71,Customers!$A$2:$A$451,0)),"Unknown")</x:f>
        <x:v>Standard</x:v>
      </x:c>
    </x:row>
    <x:row r="72">
      <x:c r="A72" t="n">
        <x:v>13</x:v>
      </x:c>
      <x:c r="B72" s="16" t="n">
        <x:v>46113</x:v>
      </x:c>
      <x:c r="C72" t="n">
        <x:v>1</x:v>
      </x:c>
      <x:c r="D72" t="n">
        <x:v>5</x:v>
      </x:c>
      <x:c r="E72" s="18" t="n">
        <x:v>520</x:v>
      </x:c>
      <x:c r="F72" s="18" t="n">
        <x:v>17</x:v>
      </x:c>
      <x:c r="G72" s="18" t="n">
        <x:v>2.34</x:v>
      </x:c>
      <x:c r="H72" s="18" t="n">
        <x:v>1.77</x:v>
      </x:c>
      <x:c r="I72" s="18" t="n">
        <x:v>21.11</x:v>
      </x:c>
      <x:c r="J72" t="n">
        <x:f>IF(A72=A71,IFERROR(IF(B72=EDATE(B71,1),C71,0),0),0)</x:f>
        <x:v>0</x:v>
      </x:c>
      <x:c r="K72" t="n">
        <x:f>IF(AND(J72=1,C72=0),1,0)</x:f>
        <x:v>0</x:v>
      </x:c>
      <x:c r="L72" t="str">
        <x:f>IFERROR(INDEX(Customers!$C$2:$C$451,MATCH(A72,Customers!$A$2:$A$451,0)),"Unknown")</x:f>
        <x:v>Premium</x:v>
      </x:c>
    </x:row>
    <x:row r="73">
      <x:c r="A73" t="n">
        <x:v>13</x:v>
      </x:c>
      <x:c r="B73" s="16" t="n">
        <x:v>46143</x:v>
      </x:c>
      <x:c r="C73" t="n">
        <x:v>1</x:v>
      </x:c>
      <x:c r="D73" t="n">
        <x:v>14</x:v>
      </x:c>
      <x:c r="E73" s="18" t="n">
        <x:v>1572.76</x:v>
      </x:c>
      <x:c r="F73" s="18" t="n">
        <x:v>17</x:v>
      </x:c>
      <x:c r="G73" s="18" t="n">
        <x:v>7.08</x:v>
      </x:c>
      <x:c r="H73" s="18" t="n">
        <x:v>1.39</x:v>
      </x:c>
      <x:c r="I73" s="18" t="n">
        <x:v>25.47</x:v>
      </x:c>
      <x:c r="J73" t="n">
        <x:f>IF(A73=A72,IFERROR(IF(B73=EDATE(B72,1),C72,0),0),0)</x:f>
        <x:v>1</x:v>
      </x:c>
      <x:c r="K73" t="n">
        <x:f>IF(AND(J73=1,C73=0),1,0)</x:f>
        <x:v>0</x:v>
      </x:c>
      <x:c r="L73" t="str">
        <x:f>IFERROR(INDEX(Customers!$C$2:$C$451,MATCH(A73,Customers!$A$2:$A$451,0)),"Unknown")</x:f>
        <x:v>Premium</x:v>
      </x:c>
    </x:row>
    <x:row r="74">
      <x:c r="A74" t="n">
        <x:v>13</x:v>
      </x:c>
      <x:c r="B74" s="16" t="n">
        <x:v>46174</x:v>
      </x:c>
      <x:c r="C74" t="n">
        <x:v>1</x:v>
      </x:c>
      <x:c r="D74" t="n">
        <x:v>22</x:v>
      </x:c>
      <x:c r="E74" s="18" t="n">
        <x:v>1016.89</x:v>
      </x:c>
      <x:c r="F74" s="18" t="n">
        <x:v>17</x:v>
      </x:c>
      <x:c r="G74" s="18" t="n">
        <x:v>4.58</x:v>
      </x:c>
      <x:c r="H74" s="18" t="n">
        <x:v>3.04</x:v>
      </x:c>
      <x:c r="I74" s="18" t="n">
        <x:v>24.62</x:v>
      </x:c>
      <x:c r="J74" t="n">
        <x:f>IF(A74=A73,IFERROR(IF(B74=EDATE(B73,1),C73,0),0),0)</x:f>
        <x:v>1</x:v>
      </x:c>
      <x:c r="K74" t="n">
        <x:f>IF(AND(J74=1,C74=0),1,0)</x:f>
        <x:v>0</x:v>
      </x:c>
      <x:c r="L74" t="str">
        <x:f>IFERROR(INDEX(Customers!$C$2:$C$451,MATCH(A74,Customers!$A$2:$A$451,0)),"Unknown")</x:f>
        <x:v>Premium</x:v>
      </x:c>
    </x:row>
    <x:row r="75">
      <x:c r="A75" t="n">
        <x:v>13</x:v>
      </x:c>
      <x:c r="B75" s="16" t="n">
        <x:v>46204</x:v>
      </x:c>
      <x:c r="C75" t="n">
        <x:v>1</x:v>
      </x:c>
      <x:c r="D75" t="n">
        <x:v>34</x:v>
      </x:c>
      <x:c r="E75" s="18" t="n">
        <x:v>2070.51</x:v>
      </x:c>
      <x:c r="F75" s="18" t="n">
        <x:v>17</x:v>
      </x:c>
      <x:c r="G75" s="18" t="n">
        <x:v>9.32</x:v>
      </x:c>
      <x:c r="H75" s="18" t="n">
        <x:v>6.48</x:v>
      </x:c>
      <x:c r="I75" s="18" t="n">
        <x:v>32.8</x:v>
      </x:c>
      <x:c r="J75" t="n">
        <x:f>IF(A75=A74,IFERROR(IF(B75=EDATE(B74,1),C74,0),0),0)</x:f>
        <x:v>1</x:v>
      </x:c>
      <x:c r="K75" t="n">
        <x:f>IF(AND(J75=1,C75=0),1,0)</x:f>
        <x:v>0</x:v>
      </x:c>
      <x:c r="L75" t="str">
        <x:f>IFERROR(INDEX(Customers!$C$2:$C$451,MATCH(A75,Customers!$A$2:$A$451,0)),"Unknown")</x:f>
        <x:v>Premium</x:v>
      </x:c>
    </x:row>
    <x:row r="76">
      <x:c r="A76" t="n">
        <x:v>13</x:v>
      </x:c>
      <x:c r="B76" s="16" t="n">
        <x:v>46235</x:v>
      </x:c>
      <x:c r="C76" t="n">
        <x:v>1</x:v>
      </x:c>
      <x:c r="D76" t="n">
        <x:v>28</x:v>
      </x:c>
      <x:c r="E76" s="18" t="n">
        <x:v>3214.27</x:v>
      </x:c>
      <x:c r="F76" s="18" t="n">
        <x:v>17</x:v>
      </x:c>
      <x:c r="G76" s="18" t="n">
        <x:v>14.46</x:v>
      </x:c>
      <x:c r="H76" s="18" t="n">
        <x:v>6.11</x:v>
      </x:c>
      <x:c r="I76" s="18" t="n">
        <x:v>37.57</x:v>
      </x:c>
      <x:c r="J76" t="n">
        <x:f>IF(A76=A75,IFERROR(IF(B76=EDATE(B75,1),C75,0),0),0)</x:f>
        <x:v>1</x:v>
      </x:c>
      <x:c r="K76" t="n">
        <x:f>IF(AND(J76=1,C76=0),1,0)</x:f>
        <x:v>0</x:v>
      </x:c>
      <x:c r="L76" t="str">
        <x:f>IFERROR(INDEX(Customers!$C$2:$C$451,MATCH(A76,Customers!$A$2:$A$451,0)),"Unknown")</x:f>
        <x:v>Premium</x:v>
      </x:c>
    </x:row>
    <x:row r="77">
      <x:c r="A77" t="n">
        <x:v>13</x:v>
      </x:c>
      <x:c r="B77" s="16" t="n">
        <x:v>46266</x:v>
      </x:c>
      <x:c r="C77" t="n">
        <x:v>1</x:v>
      </x:c>
      <x:c r="D77" t="n">
        <x:v>22</x:v>
      </x:c>
      <x:c r="E77" s="18" t="n">
        <x:v>1115.77</x:v>
      </x:c>
      <x:c r="F77" s="18" t="n">
        <x:v>17</x:v>
      </x:c>
      <x:c r="G77" s="18" t="n">
        <x:v>5.02</x:v>
      </x:c>
      <x:c r="H77" s="18" t="n">
        <x:v>0.93</x:v>
      </x:c>
      <x:c r="I77" s="18" t="n">
        <x:v>22.95</x:v>
      </x:c>
      <x:c r="J77" t="n">
        <x:f>IF(A77=A76,IFERROR(IF(B77=EDATE(B76,1),C76,0),0),0)</x:f>
        <x:v>1</x:v>
      </x:c>
      <x:c r="K77" t="n">
        <x:f>IF(AND(J77=1,C77=0),1,0)</x:f>
        <x:v>0</x:v>
      </x:c>
      <x:c r="L77" t="str">
        <x:f>IFERROR(INDEX(Customers!$C$2:$C$451,MATCH(A77,Customers!$A$2:$A$451,0)),"Unknown")</x:f>
        <x:v>Premium</x:v>
      </x:c>
    </x:row>
    <x:row r="78">
      <x:c r="A78" t="n">
        <x:v>14</x:v>
      </x:c>
      <x:c r="B78" s="16" t="n">
        <x:v>46113</x:v>
      </x:c>
      <x:c r="C78" t="n">
        <x:v>1</x:v>
      </x:c>
      <x:c r="D78" t="n">
        <x:v>14</x:v>
      </x:c>
      <x:c r="E78" s="18" t="n">
        <x:v>977.95</x:v>
      </x:c>
      <x:c r="F78" s="18" t="n">
        <x:v>0</x:v>
      </x:c>
      <x:c r="G78" s="18" t="n">
        <x:v>4.4</x:v>
      </x:c>
      <x:c r="H78" s="18" t="n">
        <x:v>3.56</x:v>
      </x:c>
      <x:c r="I78" s="18" t="n">
        <x:v>7.96</x:v>
      </x:c>
      <x:c r="J78" t="n">
        <x:f>IF(A78=A77,IFERROR(IF(B78=EDATE(B77,1),C77,0),0),0)</x:f>
        <x:v>0</x:v>
      </x:c>
      <x:c r="K78" t="n">
        <x:f>IF(AND(J78=1,C78=0),1,0)</x:f>
        <x:v>0</x:v>
      </x:c>
      <x:c r="L78" t="str">
        <x:f>IFERROR(INDEX(Customers!$C$2:$C$451,MATCH(A78,Customers!$A$2:$A$451,0)),"Unknown")</x:f>
        <x:v>Standard</x:v>
      </x:c>
    </x:row>
    <x:row r="79">
      <x:c r="A79" t="n">
        <x:v>14</x:v>
      </x:c>
      <x:c r="B79" s="16" t="n">
        <x:v>46143</x:v>
      </x:c>
      <x:c r="C79" t="n">
        <x:v>1</x:v>
      </x:c>
      <x:c r="D79" t="n">
        <x:v>7</x:v>
      </x:c>
      <x:c r="E79" s="18" t="n">
        <x:v>908.05</x:v>
      </x:c>
      <x:c r="F79" s="18" t="n">
        <x:v>0</x:v>
      </x:c>
      <x:c r="G79" s="18" t="n">
        <x:v>4.09</x:v>
      </x:c>
      <x:c r="H79" s="18" t="n">
        <x:v>0.85</x:v>
      </x:c>
      <x:c r="I79" s="18" t="n">
        <x:v>4.94</x:v>
      </x:c>
      <x:c r="J79" t="n">
        <x:f>IF(A79=A78,IFERROR(IF(B79=EDATE(B78,1),C78,0),0),0)</x:f>
        <x:v>1</x:v>
      </x:c>
      <x:c r="K79" t="n">
        <x:f>IF(AND(J79=1,C79=0),1,0)</x:f>
        <x:v>0</x:v>
      </x:c>
      <x:c r="L79" t="str">
        <x:f>IFERROR(INDEX(Customers!$C$2:$C$451,MATCH(A79,Customers!$A$2:$A$451,0)),"Unknown")</x:f>
        <x:v>Standard</x:v>
      </x:c>
    </x:row>
    <x:row r="80">
      <x:c r="A80" t="n">
        <x:v>14</x:v>
      </x:c>
      <x:c r="B80" s="16" t="n">
        <x:v>46174</x:v>
      </x:c>
      <x:c r="C80" t="n">
        <x:v>1</x:v>
      </x:c>
      <x:c r="D80" t="n">
        <x:v>22</x:v>
      </x:c>
      <x:c r="E80" s="18" t="n">
        <x:v>1487.49</x:v>
      </x:c>
      <x:c r="F80" s="18" t="n">
        <x:v>0</x:v>
      </x:c>
      <x:c r="G80" s="18" t="n">
        <x:v>6.69</x:v>
      </x:c>
      <x:c r="H80" s="18" t="n">
        <x:v>4.39</x:v>
      </x:c>
      <x:c r="I80" s="18" t="n">
        <x:v>11.08</x:v>
      </x:c>
      <x:c r="J80" t="n">
        <x:f>IF(A80=A79,IFERROR(IF(B80=EDATE(B79,1),C79,0),0),0)</x:f>
        <x:v>1</x:v>
      </x:c>
      <x:c r="K80" t="n">
        <x:f>IF(AND(J80=1,C80=0),1,0)</x:f>
        <x:v>0</x:v>
      </x:c>
      <x:c r="L80" t="str">
        <x:f>IFERROR(INDEX(Customers!$C$2:$C$451,MATCH(A80,Customers!$A$2:$A$451,0)),"Unknown")</x:f>
        <x:v>Standard</x:v>
      </x:c>
    </x:row>
    <x:row r="81">
      <x:c r="A81" t="n">
        <x:v>14</x:v>
      </x:c>
      <x:c r="B81" s="16" t="n">
        <x:v>46204</x:v>
      </x:c>
      <x:c r="C81" t="n">
        <x:v>1</x:v>
      </x:c>
      <x:c r="D81" t="n">
        <x:v>20</x:v>
      </x:c>
      <x:c r="E81" s="18" t="n">
        <x:v>1187.44</x:v>
      </x:c>
      <x:c r="F81" s="18" t="n">
        <x:v>0</x:v>
      </x:c>
      <x:c r="G81" s="18" t="n">
        <x:v>5.34</x:v>
      </x:c>
      <x:c r="H81" s="18" t="n">
        <x:v>2.38</x:v>
      </x:c>
      <x:c r="I81" s="18" t="n">
        <x:v>7.72</x:v>
      </x:c>
      <x:c r="J81" t="n">
        <x:f>IF(A81=A80,IFERROR(IF(B81=EDATE(B80,1),C80,0),0),0)</x:f>
        <x:v>1</x:v>
      </x:c>
      <x:c r="K81" t="n">
        <x:f>IF(AND(J81=1,C81=0),1,0)</x:f>
        <x:v>0</x:v>
      </x:c>
      <x:c r="L81" t="str">
        <x:f>IFERROR(INDEX(Customers!$C$2:$C$451,MATCH(A81,Customers!$A$2:$A$451,0)),"Unknown")</x:f>
        <x:v>Standard</x:v>
      </x:c>
    </x:row>
    <x:row r="82">
      <x:c r="A82" t="n">
        <x:v>14</x:v>
      </x:c>
      <x:c r="B82" s="16" t="n">
        <x:v>46235</x:v>
      </x:c>
      <x:c r="C82" t="n">
        <x:v>1</x:v>
      </x:c>
      <x:c r="D82" t="n">
        <x:v>14</x:v>
      </x:c>
      <x:c r="E82" s="18" t="n">
        <x:v>618.96</x:v>
      </x:c>
      <x:c r="F82" s="18" t="n">
        <x:v>0</x:v>
      </x:c>
      <x:c r="G82" s="18" t="n">
        <x:v>2.79</x:v>
      </x:c>
      <x:c r="H82" s="18" t="n">
        <x:v>1.7</x:v>
      </x:c>
      <x:c r="I82" s="18" t="n">
        <x:v>4.49</x:v>
      </x:c>
      <x:c r="J82" t="n">
        <x:f>IF(A82=A81,IFERROR(IF(B82=EDATE(B81,1),C81,0),0),0)</x:f>
        <x:v>1</x:v>
      </x:c>
      <x:c r="K82" t="n">
        <x:f>IF(AND(J82=1,C82=0),1,0)</x:f>
        <x:v>0</x:v>
      </x:c>
      <x:c r="L82" t="str">
        <x:f>IFERROR(INDEX(Customers!$C$2:$C$451,MATCH(A82,Customers!$A$2:$A$451,0)),"Unknown")</x:f>
        <x:v>Standard</x:v>
      </x:c>
    </x:row>
    <x:row r="83">
      <x:c r="A83" t="n">
        <x:v>14</x:v>
      </x:c>
      <x:c r="B83" s="16" t="n">
        <x:v>46266</x:v>
      </x:c>
      <x:c r="C83" t="n">
        <x:v>1</x:v>
      </x:c>
      <x:c r="D83" t="n">
        <x:v>33</x:v>
      </x:c>
      <x:c r="E83" s="18" t="n">
        <x:v>4044.36</x:v>
      </x:c>
      <x:c r="F83" s="18" t="n">
        <x:v>0</x:v>
      </x:c>
      <x:c r="G83" s="18" t="n">
        <x:v>18.2</x:v>
      </x:c>
      <x:c r="H83" s="18" t="n">
        <x:v>14.98</x:v>
      </x:c>
      <x:c r="I83" s="18" t="n">
        <x:v>33.18</x:v>
      </x:c>
      <x:c r="J83" t="n">
        <x:f>IF(A83=A82,IFERROR(IF(B83=EDATE(B82,1),C82,0),0),0)</x:f>
        <x:v>1</x:v>
      </x:c>
      <x:c r="K83" t="n">
        <x:f>IF(AND(J83=1,C83=0),1,0)</x:f>
        <x:v>0</x:v>
      </x:c>
      <x:c r="L83" t="str">
        <x:f>IFERROR(INDEX(Customers!$C$2:$C$451,MATCH(A83,Customers!$A$2:$A$451,0)),"Unknown")</x:f>
        <x:v>Standard</x:v>
      </x:c>
    </x:row>
    <x:row r="84">
      <x:c r="A84" t="n">
        <x:v>15</x:v>
      </x:c>
      <x:c r="B84" s="16" t="n">
        <x:v>46113</x:v>
      </x:c>
      <x:c r="C84" t="n">
        <x:v>1</x:v>
      </x:c>
      <x:c r="D84" t="n">
        <x:v>19</x:v>
      </x:c>
      <x:c r="E84" s="18" t="n">
        <x:v>1252.45</x:v>
      </x:c>
      <x:c r="F84" s="18" t="n">
        <x:v>0</x:v>
      </x:c>
      <x:c r="G84" s="18" t="n">
        <x:v>5.64</x:v>
      </x:c>
      <x:c r="H84" s="18" t="n">
        <x:v>2.13</x:v>
      </x:c>
      <x:c r="I84" s="18" t="n">
        <x:v>7.77</x:v>
      </x:c>
      <x:c r="J84" t="n">
        <x:f>IF(A84=A83,IFERROR(IF(B84=EDATE(B83,1),C83,0),0),0)</x:f>
        <x:v>0</x:v>
      </x:c>
      <x:c r="K84" t="n">
        <x:f>IF(AND(J84=1,C84=0),1,0)</x:f>
        <x:v>0</x:v>
      </x:c>
      <x:c r="L84" t="str">
        <x:f>IFERROR(INDEX(Customers!$C$2:$C$451,MATCH(A84,Customers!$A$2:$A$451,0)),"Unknown")</x:f>
        <x:v>Standard</x:v>
      </x:c>
    </x:row>
    <x:row r="85">
      <x:c r="A85" t="n">
        <x:v>15</x:v>
      </x:c>
      <x:c r="B85" s="16" t="n">
        <x:v>46143</x:v>
      </x:c>
      <x:c r="C85" t="n">
        <x:v>0</x:v>
      </x:c>
      <x:c r="D85" t="n">
        <x:v>0</x:v>
      </x:c>
      <x:c r="E85" s="18" t="n">
        <x:v>0</x:v>
      </x:c>
      <x:c r="F85" s="18" t="n">
        <x:v>0</x:v>
      </x:c>
      <x:c r="G85" s="18" t="n">
        <x:v>0</x:v>
      </x:c>
      <x:c r="H85" s="18" t="n">
        <x:v>0</x:v>
      </x:c>
      <x:c r="I85" s="18" t="n">
        <x:v>0</x:v>
      </x:c>
      <x:c r="J85" t="n">
        <x:f>IF(A85=A84,IFERROR(IF(B85=EDATE(B84,1),C84,0),0),0)</x:f>
        <x:v>1</x:v>
      </x:c>
      <x:c r="K85" t="n">
        <x:f>IF(AND(J85=1,C85=0),1,0)</x:f>
        <x:v>1</x:v>
      </x:c>
      <x:c r="L85" t="str">
        <x:f>IFERROR(INDEX(Customers!$C$2:$C$451,MATCH(A85,Customers!$A$2:$A$451,0)),"Unknown")</x:f>
        <x:v>Standard</x:v>
      </x:c>
    </x:row>
    <x:row r="86">
      <x:c r="A86" t="n">
        <x:v>15</x:v>
      </x:c>
      <x:c r="B86" s="16" t="n">
        <x:v>46174</x:v>
      </x:c>
      <x:c r="C86" t="n">
        <x:v>1</x:v>
      </x:c>
      <x:c r="D86" t="n">
        <x:v>34</x:v>
      </x:c>
      <x:c r="E86" s="18" t="n">
        <x:v>4462.78</x:v>
      </x:c>
      <x:c r="F86" s="18" t="n">
        <x:v>0</x:v>
      </x:c>
      <x:c r="G86" s="18" t="n">
        <x:v>20.08</x:v>
      </x:c>
      <x:c r="H86" s="18" t="n">
        <x:v>8.53</x:v>
      </x:c>
      <x:c r="I86" s="18" t="n">
        <x:v>28.61</x:v>
      </x:c>
      <x:c r="J86" t="n">
        <x:f>IF(A86=A85,IFERROR(IF(B86=EDATE(B85,1),C85,0),0),0)</x:f>
        <x:v>0</x:v>
      </x:c>
      <x:c r="K86" t="n">
        <x:f>IF(AND(J86=1,C86=0),1,0)</x:f>
        <x:v>0</x:v>
      </x:c>
      <x:c r="L86" t="str">
        <x:f>IFERROR(INDEX(Customers!$C$2:$C$451,MATCH(A86,Customers!$A$2:$A$451,0)),"Unknown")</x:f>
        <x:v>Standard</x:v>
      </x:c>
    </x:row>
    <x:row r="87">
      <x:c r="A87" t="n">
        <x:v>15</x:v>
      </x:c>
      <x:c r="B87" s="16" t="n">
        <x:v>46204</x:v>
      </x:c>
      <x:c r="C87" t="n">
        <x:v>1</x:v>
      </x:c>
      <x:c r="D87" t="n">
        <x:v>23</x:v>
      </x:c>
      <x:c r="E87" s="18" t="n">
        <x:v>1816.49</x:v>
      </x:c>
      <x:c r="F87" s="18" t="n">
        <x:v>0</x:v>
      </x:c>
      <x:c r="G87" s="18" t="n">
        <x:v>8.17</x:v>
      </x:c>
      <x:c r="H87" s="18" t="n">
        <x:v>4.63</x:v>
      </x:c>
      <x:c r="I87" s="18" t="n">
        <x:v>12.8</x:v>
      </x:c>
      <x:c r="J87" t="n">
        <x:f>IF(A87=A86,IFERROR(IF(B87=EDATE(B86,1),C86,0),0),0)</x:f>
        <x:v>1</x:v>
      </x:c>
      <x:c r="K87" t="n">
        <x:f>IF(AND(J87=1,C87=0),1,0)</x:f>
        <x:v>0</x:v>
      </x:c>
      <x:c r="L87" t="str">
        <x:f>IFERROR(INDEX(Customers!$C$2:$C$451,MATCH(A87,Customers!$A$2:$A$451,0)),"Unknown")</x:f>
        <x:v>Standard</x:v>
      </x:c>
    </x:row>
    <x:row r="88">
      <x:c r="A88" t="n">
        <x:v>15</x:v>
      </x:c>
      <x:c r="B88" s="16" t="n">
        <x:v>46235</x:v>
      </x:c>
      <x:c r="C88" t="n">
        <x:v>0</x:v>
      </x:c>
      <x:c r="D88" t="n">
        <x:v>0</x:v>
      </x:c>
      <x:c r="E88" s="18" t="n">
        <x:v>0</x:v>
      </x:c>
      <x:c r="F88" s="18" t="n">
        <x:v>0</x:v>
      </x:c>
      <x:c r="G88" s="18" t="n">
        <x:v>0</x:v>
      </x:c>
      <x:c r="H88" s="18" t="n">
        <x:v>0</x:v>
      </x:c>
      <x:c r="I88" s="18" t="n">
        <x:v>0</x:v>
      </x:c>
      <x:c r="J88" t="n">
        <x:f>IF(A88=A87,IFERROR(IF(B88=EDATE(B87,1),C87,0),0),0)</x:f>
        <x:v>1</x:v>
      </x:c>
      <x:c r="K88" t="n">
        <x:f>IF(AND(J88=1,C88=0),1,0)</x:f>
        <x:v>1</x:v>
      </x:c>
      <x:c r="L88" t="str">
        <x:f>IFERROR(INDEX(Customers!$C$2:$C$451,MATCH(A88,Customers!$A$2:$A$451,0)),"Unknown")</x:f>
        <x:v>Standard</x:v>
      </x:c>
    </x:row>
    <x:row r="89">
      <x:c r="A89" t="n">
        <x:v>15</x:v>
      </x:c>
      <x:c r="B89" s="16" t="n">
        <x:v>46266</x:v>
      </x:c>
      <x:c r="C89" t="n">
        <x:v>1</x:v>
      </x:c>
      <x:c r="D89" t="n">
        <x:v>23</x:v>
      </x:c>
      <x:c r="E89" s="18" t="n">
        <x:v>2269.63</x:v>
      </x:c>
      <x:c r="F89" s="18" t="n">
        <x:v>0</x:v>
      </x:c>
      <x:c r="G89" s="18" t="n">
        <x:v>10.21</x:v>
      </x:c>
      <x:c r="H89" s="18" t="n">
        <x:v>4.92</x:v>
      </x:c>
      <x:c r="I89" s="18" t="n">
        <x:v>15.13</x:v>
      </x:c>
      <x:c r="J89" t="n">
        <x:f>IF(A89=A88,IFERROR(IF(B89=EDATE(B88,1),C88,0),0),0)</x:f>
        <x:v>0</x:v>
      </x:c>
      <x:c r="K89" t="n">
        <x:f>IF(AND(J89=1,C89=0),1,0)</x:f>
        <x:v>0</x:v>
      </x:c>
      <x:c r="L89" t="str">
        <x:f>IFERROR(INDEX(Customers!$C$2:$C$451,MATCH(A89,Customers!$A$2:$A$451,0)),"Unknown")</x:f>
        <x:v>Standard</x:v>
      </x:c>
    </x:row>
    <x:row r="90">
      <x:c r="A90" t="n">
        <x:v>16</x:v>
      </x:c>
      <x:c r="B90" s="16" t="n">
        <x:v>46113</x:v>
      </x:c>
      <x:c r="C90" t="n">
        <x:v>1</x:v>
      </x:c>
      <x:c r="D90" t="n">
        <x:v>8</x:v>
      </x:c>
      <x:c r="E90" s="18" t="n">
        <x:v>676.07</x:v>
      </x:c>
      <x:c r="F90" s="18" t="n">
        <x:v>0</x:v>
      </x:c>
      <x:c r="G90" s="18" t="n">
        <x:v>3.04</x:v>
      </x:c>
      <x:c r="H90" s="18" t="n">
        <x:v>1</x:v>
      </x:c>
      <x:c r="I90" s="18" t="n">
        <x:v>4.04</x:v>
      </x:c>
      <x:c r="J90" t="n">
        <x:f>IF(A90=A89,IFERROR(IF(B90=EDATE(B89,1),C89,0),0),0)</x:f>
        <x:v>0</x:v>
      </x:c>
      <x:c r="K90" t="n">
        <x:f>IF(AND(J90=1,C90=0),1,0)</x:f>
        <x:v>0</x:v>
      </x:c>
      <x:c r="L90" t="str">
        <x:f>IFERROR(INDEX(Customers!$C$2:$C$451,MATCH(A90,Customers!$A$2:$A$451,0)),"Unknown")</x:f>
        <x:v>Standard</x:v>
      </x:c>
    </x:row>
    <x:row r="91">
      <x:c r="A91" t="n">
        <x:v>16</x:v>
      </x:c>
      <x:c r="B91" s="16" t="n">
        <x:v>46143</x:v>
      </x:c>
      <x:c r="C91" t="n">
        <x:v>1</x:v>
      </x:c>
      <x:c r="D91" t="n">
        <x:v>9</x:v>
      </x:c>
      <x:c r="E91" s="18" t="n">
        <x:v>802.91</x:v>
      </x:c>
      <x:c r="F91" s="18" t="n">
        <x:v>0</x:v>
      </x:c>
      <x:c r="G91" s="18" t="n">
        <x:v>3.61</x:v>
      </x:c>
      <x:c r="H91" s="18" t="n">
        <x:v>1.57</x:v>
      </x:c>
      <x:c r="I91" s="18" t="n">
        <x:v>5.18</x:v>
      </x:c>
      <x:c r="J91" t="n">
        <x:f>IF(A91=A90,IFERROR(IF(B91=EDATE(B90,1),C90,0),0),0)</x:f>
        <x:v>1</x:v>
      </x:c>
      <x:c r="K91" t="n">
        <x:f>IF(AND(J91=1,C91=0),1,0)</x:f>
        <x:v>0</x:v>
      </x:c>
      <x:c r="L91" t="str">
        <x:f>IFERROR(INDEX(Customers!$C$2:$C$451,MATCH(A91,Customers!$A$2:$A$451,0)),"Unknown")</x:f>
        <x:v>Standard</x:v>
      </x:c>
    </x:row>
    <x:row r="92">
      <x:c r="A92" t="n">
        <x:v>16</x:v>
      </x:c>
      <x:c r="B92" s="16" t="n">
        <x:v>46174</x:v>
      </x:c>
      <x:c r="C92" t="n">
        <x:v>1</x:v>
      </x:c>
      <x:c r="D92" t="n">
        <x:v>19</x:v>
      </x:c>
      <x:c r="E92" s="18" t="n">
        <x:v>919.04</x:v>
      </x:c>
      <x:c r="F92" s="18" t="n">
        <x:v>0</x:v>
      </x:c>
      <x:c r="G92" s="18" t="n">
        <x:v>4.14</x:v>
      </x:c>
      <x:c r="H92" s="18" t="n">
        <x:v>1.11</x:v>
      </x:c>
      <x:c r="I92" s="18" t="n">
        <x:v>5.25</x:v>
      </x:c>
      <x:c r="J92" t="n">
        <x:f>IF(A92=A91,IFERROR(IF(B92=EDATE(B91,1),C91,0),0),0)</x:f>
        <x:v>1</x:v>
      </x:c>
      <x:c r="K92" t="n">
        <x:f>IF(AND(J92=1,C92=0),1,0)</x:f>
        <x:v>0</x:v>
      </x:c>
      <x:c r="L92" t="str">
        <x:f>IFERROR(INDEX(Customers!$C$2:$C$451,MATCH(A92,Customers!$A$2:$A$451,0)),"Unknown")</x:f>
        <x:v>Standard</x:v>
      </x:c>
    </x:row>
    <x:row r="93">
      <x:c r="A93" t="n">
        <x:v>16</x:v>
      </x:c>
      <x:c r="B93" s="16" t="n">
        <x:v>46204</x:v>
      </x:c>
      <x:c r="C93" t="n">
        <x:v>1</x:v>
      </x:c>
      <x:c r="D93" t="n">
        <x:v>27</x:v>
      </x:c>
      <x:c r="E93" s="18" t="n">
        <x:v>3594.91</x:v>
      </x:c>
      <x:c r="F93" s="18" t="n">
        <x:v>0</x:v>
      </x:c>
      <x:c r="G93" s="18" t="n">
        <x:v>16.18</x:v>
      </x:c>
      <x:c r="H93" s="18" t="n">
        <x:v>13.39</x:v>
      </x:c>
      <x:c r="I93" s="18" t="n">
        <x:v>29.57</x:v>
      </x:c>
      <x:c r="J93" t="n">
        <x:f>IF(A93=A92,IFERROR(IF(B93=EDATE(B92,1),C92,0),0),0)</x:f>
        <x:v>1</x:v>
      </x:c>
      <x:c r="K93" t="n">
        <x:f>IF(AND(J93=1,C93=0),1,0)</x:f>
        <x:v>0</x:v>
      </x:c>
      <x:c r="L93" t="str">
        <x:f>IFERROR(INDEX(Customers!$C$2:$C$451,MATCH(A93,Customers!$A$2:$A$451,0)),"Unknown")</x:f>
        <x:v>Standard</x:v>
      </x:c>
    </x:row>
    <x:row r="94">
      <x:c r="A94" t="n">
        <x:v>16</x:v>
      </x:c>
      <x:c r="B94" s="16" t="n">
        <x:v>46235</x:v>
      </x:c>
      <x:c r="C94" t="n">
        <x:v>1</x:v>
      </x:c>
      <x:c r="D94" t="n">
        <x:v>23</x:v>
      </x:c>
      <x:c r="E94" s="18" t="n">
        <x:v>1268.34</x:v>
      </x:c>
      <x:c r="F94" s="18" t="n">
        <x:v>0</x:v>
      </x:c>
      <x:c r="G94" s="18" t="n">
        <x:v>5.71</x:v>
      </x:c>
      <x:c r="H94" s="18" t="n">
        <x:v>1.19</x:v>
      </x:c>
      <x:c r="I94" s="18" t="n">
        <x:v>6.9</x:v>
      </x:c>
      <x:c r="J94" t="n">
        <x:f>IF(A94=A93,IFERROR(IF(B94=EDATE(B93,1),C93,0),0),0)</x:f>
        <x:v>1</x:v>
      </x:c>
      <x:c r="K94" t="n">
        <x:f>IF(AND(J94=1,C94=0),1,0)</x:f>
        <x:v>0</x:v>
      </x:c>
      <x:c r="L94" t="str">
        <x:f>IFERROR(INDEX(Customers!$C$2:$C$451,MATCH(A94,Customers!$A$2:$A$451,0)),"Unknown")</x:f>
        <x:v>Standard</x:v>
      </x:c>
    </x:row>
    <x:row r="95">
      <x:c r="A95" t="n">
        <x:v>16</x:v>
      </x:c>
      <x:c r="B95" s="16" t="n">
        <x:v>46266</x:v>
      </x:c>
      <x:c r="C95" t="n">
        <x:v>1</x:v>
      </x:c>
      <x:c r="D95" t="n">
        <x:v>21</x:v>
      </x:c>
      <x:c r="E95" s="18" t="n">
        <x:v>1247.29</x:v>
      </x:c>
      <x:c r="F95" s="18" t="n">
        <x:v>0</x:v>
      </x:c>
      <x:c r="G95" s="18" t="n">
        <x:v>5.61</x:v>
      </x:c>
      <x:c r="H95" s="18" t="n">
        <x:v>1.9</x:v>
      </x:c>
      <x:c r="I95" s="18" t="n">
        <x:v>7.51</x:v>
      </x:c>
      <x:c r="J95" t="n">
        <x:f>IF(A95=A94,IFERROR(IF(B95=EDATE(B94,1),C94,0),0),0)</x:f>
        <x:v>1</x:v>
      </x:c>
      <x:c r="K95" t="n">
        <x:f>IF(AND(J95=1,C95=0),1,0)</x:f>
        <x:v>0</x:v>
      </x:c>
      <x:c r="L95" t="str">
        <x:f>IFERROR(INDEX(Customers!$C$2:$C$451,MATCH(A95,Customers!$A$2:$A$451,0)),"Unknown")</x:f>
        <x:v>Standard</x:v>
      </x:c>
    </x:row>
    <x:row r="96">
      <x:c r="A96" t="n">
        <x:v>17</x:v>
      </x:c>
      <x:c r="B96" s="16" t="n">
        <x:v>46113</x:v>
      </x:c>
      <x:c r="C96" t="n">
        <x:v>1</x:v>
      </x:c>
      <x:c r="D96" t="n">
        <x:v>21</x:v>
      </x:c>
      <x:c r="E96" s="18" t="n">
        <x:v>849.75</x:v>
      </x:c>
      <x:c r="F96" s="18" t="n">
        <x:v>8</x:v>
      </x:c>
      <x:c r="G96" s="18" t="n">
        <x:v>3.82</x:v>
      </x:c>
      <x:c r="H96" s="18" t="n">
        <x:v>0.99</x:v>
      </x:c>
      <x:c r="I96" s="18" t="n">
        <x:v>12.81</x:v>
      </x:c>
      <x:c r="J96" t="n">
        <x:f>IF(A96=A95,IFERROR(IF(B96=EDATE(B95,1),C95,0),0),0)</x:f>
        <x:v>0</x:v>
      </x:c>
      <x:c r="K96" t="n">
        <x:f>IF(AND(J96=1,C96=0),1,0)</x:f>
        <x:v>0</x:v>
      </x:c>
      <x:c r="L96" t="str">
        <x:f>IFERROR(INDEX(Customers!$C$2:$C$451,MATCH(A96,Customers!$A$2:$A$451,0)),"Unknown")</x:f>
        <x:v>Plus</x:v>
      </x:c>
    </x:row>
    <x:row r="97">
      <x:c r="A97" t="n">
        <x:v>17</x:v>
      </x:c>
      <x:c r="B97" s="16" t="n">
        <x:v>46143</x:v>
      </x:c>
      <x:c r="C97" t="n">
        <x:v>1</x:v>
      </x:c>
      <x:c r="D97" t="n">
        <x:v>13</x:v>
      </x:c>
      <x:c r="E97" s="18" t="n">
        <x:v>637.96</x:v>
      </x:c>
      <x:c r="F97" s="18" t="n">
        <x:v>8</x:v>
      </x:c>
      <x:c r="G97" s="18" t="n">
        <x:v>2.87</x:v>
      </x:c>
      <x:c r="H97" s="18" t="n">
        <x:v>1.95</x:v>
      </x:c>
      <x:c r="I97" s="18" t="n">
        <x:v>12.82</x:v>
      </x:c>
      <x:c r="J97" t="n">
        <x:f>IF(A97=A96,IFERROR(IF(B97=EDATE(B96,1),C96,0),0),0)</x:f>
        <x:v>1</x:v>
      </x:c>
      <x:c r="K97" t="n">
        <x:f>IF(AND(J97=1,C97=0),1,0)</x:f>
        <x:v>0</x:v>
      </x:c>
      <x:c r="L97" t="str">
        <x:f>IFERROR(INDEX(Customers!$C$2:$C$451,MATCH(A97,Customers!$A$2:$A$451,0)),"Unknown")</x:f>
        <x:v>Plus</x:v>
      </x:c>
    </x:row>
    <x:row r="98">
      <x:c r="A98" t="n">
        <x:v>17</x:v>
      </x:c>
      <x:c r="B98" s="16" t="n">
        <x:v>46174</x:v>
      </x:c>
      <x:c r="C98" t="n">
        <x:v>1</x:v>
      </x:c>
      <x:c r="D98" t="n">
        <x:v>26</x:v>
      </x:c>
      <x:c r="E98" s="18" t="n">
        <x:v>3214.87</x:v>
      </x:c>
      <x:c r="F98" s="18" t="n">
        <x:v>8</x:v>
      </x:c>
      <x:c r="G98" s="18" t="n">
        <x:v>14.47</x:v>
      </x:c>
      <x:c r="H98" s="18" t="n">
        <x:v>10.31</x:v>
      </x:c>
      <x:c r="I98" s="18" t="n">
        <x:v>32.78</x:v>
      </x:c>
      <x:c r="J98" t="n">
        <x:f>IF(A98=A97,IFERROR(IF(B98=EDATE(B97,1),C97,0),0),0)</x:f>
        <x:v>1</x:v>
      </x:c>
      <x:c r="K98" t="n">
        <x:f>IF(AND(J98=1,C98=0),1,0)</x:f>
        <x:v>0</x:v>
      </x:c>
      <x:c r="L98" t="str">
        <x:f>IFERROR(INDEX(Customers!$C$2:$C$451,MATCH(A98,Customers!$A$2:$A$451,0)),"Unknown")</x:f>
        <x:v>Plus</x:v>
      </x:c>
    </x:row>
    <x:row r="99">
      <x:c r="A99" t="n">
        <x:v>17</x:v>
      </x:c>
      <x:c r="B99" s="16" t="n">
        <x:v>46204</x:v>
      </x:c>
      <x:c r="C99" t="n">
        <x:v>1</x:v>
      </x:c>
      <x:c r="D99" t="n">
        <x:v>23</x:v>
      </x:c>
      <x:c r="E99" s="18" t="n">
        <x:v>813.89</x:v>
      </x:c>
      <x:c r="F99" s="18" t="n">
        <x:v>8</x:v>
      </x:c>
      <x:c r="G99" s="18" t="n">
        <x:v>3.66</x:v>
      </x:c>
      <x:c r="H99" s="18" t="n">
        <x:v>2.3</x:v>
      </x:c>
      <x:c r="I99" s="18" t="n">
        <x:v>13.96</x:v>
      </x:c>
      <x:c r="J99" t="n">
        <x:f>IF(A99=A98,IFERROR(IF(B99=EDATE(B98,1),C98,0),0),0)</x:f>
        <x:v>1</x:v>
      </x:c>
      <x:c r="K99" t="n">
        <x:f>IF(AND(J99=1,C99=0),1,0)</x:f>
        <x:v>0</x:v>
      </x:c>
      <x:c r="L99" t="str">
        <x:f>IFERROR(INDEX(Customers!$C$2:$C$451,MATCH(A99,Customers!$A$2:$A$451,0)),"Unknown")</x:f>
        <x:v>Plus</x:v>
      </x:c>
    </x:row>
    <x:row r="100">
      <x:c r="A100" t="n">
        <x:v>17</x:v>
      </x:c>
      <x:c r="B100" s="16" t="n">
        <x:v>46235</x:v>
      </x:c>
      <x:c r="C100" t="n">
        <x:v>1</x:v>
      </x:c>
      <x:c r="D100" t="n">
        <x:v>6</x:v>
      </x:c>
      <x:c r="E100" s="18" t="n">
        <x:v>834.46</x:v>
      </x:c>
      <x:c r="F100" s="18" t="n">
        <x:v>8</x:v>
      </x:c>
      <x:c r="G100" s="18" t="n">
        <x:v>3.76</x:v>
      </x:c>
      <x:c r="H100" s="18" t="n">
        <x:v>2.35</x:v>
      </x:c>
      <x:c r="I100" s="18" t="n">
        <x:v>14.11</x:v>
      </x:c>
      <x:c r="J100" t="n">
        <x:f>IF(A100=A99,IFERROR(IF(B100=EDATE(B99,1),C99,0),0),0)</x:f>
        <x:v>1</x:v>
      </x:c>
      <x:c r="K100" t="n">
        <x:f>IF(AND(J100=1,C100=0),1,0)</x:f>
        <x:v>0</x:v>
      </x:c>
      <x:c r="L100" t="str">
        <x:f>IFERROR(INDEX(Customers!$C$2:$C$451,MATCH(A100,Customers!$A$2:$A$451,0)),"Unknown")</x:f>
        <x:v>Plus</x:v>
      </x:c>
    </x:row>
    <x:row r="101">
      <x:c r="A101" t="n">
        <x:v>17</x:v>
      </x:c>
      <x:c r="B101" s="16" t="n">
        <x:v>46266</x:v>
      </x:c>
      <x:c r="C101" t="n">
        <x:v>1</x:v>
      </x:c>
      <x:c r="D101" t="n">
        <x:v>8</x:v>
      </x:c>
      <x:c r="E101" s="18" t="n">
        <x:v>363.92</x:v>
      </x:c>
      <x:c r="F101" s="18" t="n">
        <x:v>8</x:v>
      </x:c>
      <x:c r="G101" s="18" t="n">
        <x:v>1.64</x:v>
      </x:c>
      <x:c r="H101" s="18" t="n">
        <x:v>0.51</x:v>
      </x:c>
      <x:c r="I101" s="18" t="n">
        <x:v>10.15</x:v>
      </x:c>
      <x:c r="J101" t="n">
        <x:f>IF(A101=A100,IFERROR(IF(B101=EDATE(B100,1),C100,0),0),0)</x:f>
        <x:v>1</x:v>
      </x:c>
      <x:c r="K101" t="n">
        <x:f>IF(AND(J101=1,C101=0),1,0)</x:f>
        <x:v>0</x:v>
      </x:c>
      <x:c r="L101" t="str">
        <x:f>IFERROR(INDEX(Customers!$C$2:$C$451,MATCH(A101,Customers!$A$2:$A$451,0)),"Unknown")</x:f>
        <x:v>Plus</x:v>
      </x:c>
    </x:row>
    <x:row r="102">
      <x:c r="A102" t="n">
        <x:v>18</x:v>
      </x:c>
      <x:c r="B102" s="16" t="n">
        <x:v>46113</x:v>
      </x:c>
      <x:c r="C102" t="n">
        <x:v>1</x:v>
      </x:c>
      <x:c r="D102" t="n">
        <x:v>17</x:v>
      </x:c>
      <x:c r="E102" s="18" t="n">
        <x:v>1263.25</x:v>
      </x:c>
      <x:c r="F102" s="18" t="n">
        <x:v>8</x:v>
      </x:c>
      <x:c r="G102" s="18" t="n">
        <x:v>5.68</x:v>
      </x:c>
      <x:c r="H102" s="18" t="n">
        <x:v>2.79</x:v>
      </x:c>
      <x:c r="I102" s="18" t="n">
        <x:v>16.47</x:v>
      </x:c>
      <x:c r="J102" t="n">
        <x:f>IF(A102=A101,IFERROR(IF(B102=EDATE(B101,1),C101,0),0),0)</x:f>
        <x:v>0</x:v>
      </x:c>
      <x:c r="K102" t="n">
        <x:f>IF(AND(J102=1,C102=0),1,0)</x:f>
        <x:v>0</x:v>
      </x:c>
      <x:c r="L102" t="str">
        <x:f>IFERROR(INDEX(Customers!$C$2:$C$451,MATCH(A102,Customers!$A$2:$A$451,0)),"Unknown")</x:f>
        <x:v>Plus</x:v>
      </x:c>
    </x:row>
    <x:row r="103">
      <x:c r="A103" t="n">
        <x:v>18</x:v>
      </x:c>
      <x:c r="B103" s="16" t="n">
        <x:v>46143</x:v>
      </x:c>
      <x:c r="C103" t="n">
        <x:v>0</x:v>
      </x:c>
      <x:c r="D103" t="n">
        <x:v>0</x:v>
      </x:c>
      <x:c r="E103" s="18" t="n">
        <x:v>0</x:v>
      </x:c>
      <x:c r="F103" s="18" t="n">
        <x:v>0</x:v>
      </x:c>
      <x:c r="G103" s="18" t="n">
        <x:v>0</x:v>
      </x:c>
      <x:c r="H103" s="18" t="n">
        <x:v>0</x:v>
      </x:c>
      <x:c r="I103" s="18" t="n">
        <x:v>0</x:v>
      </x:c>
      <x:c r="J103" t="n">
        <x:f>IF(A103=A102,IFERROR(IF(B103=EDATE(B102,1),C102,0),0),0)</x:f>
        <x:v>1</x:v>
      </x:c>
      <x:c r="K103" t="n">
        <x:f>IF(AND(J103=1,C103=0),1,0)</x:f>
        <x:v>1</x:v>
      </x:c>
      <x:c r="L103" t="str">
        <x:f>IFERROR(INDEX(Customers!$C$2:$C$451,MATCH(A103,Customers!$A$2:$A$451,0)),"Unknown")</x:f>
        <x:v>Plus</x:v>
      </x:c>
    </x:row>
    <x:row r="104">
      <x:c r="A104" t="n">
        <x:v>18</x:v>
      </x:c>
      <x:c r="B104" s="16" t="n">
        <x:v>46174</x:v>
      </x:c>
      <x:c r="C104" t="n">
        <x:v>1</x:v>
      </x:c>
      <x:c r="D104" t="n">
        <x:v>36</x:v>
      </x:c>
      <x:c r="E104" s="18" t="n">
        <x:v>1842.01</x:v>
      </x:c>
      <x:c r="F104" s="18" t="n">
        <x:v>8</x:v>
      </x:c>
      <x:c r="G104" s="18" t="n">
        <x:v>8.29</x:v>
      </x:c>
      <x:c r="H104" s="18" t="n">
        <x:v>3.15</x:v>
      </x:c>
      <x:c r="I104" s="18" t="n">
        <x:v>19.44</x:v>
      </x:c>
      <x:c r="J104" t="n">
        <x:f>IF(A104=A103,IFERROR(IF(B104=EDATE(B103,1),C103,0),0),0)</x:f>
        <x:v>0</x:v>
      </x:c>
      <x:c r="K104" t="n">
        <x:f>IF(AND(J104=1,C104=0),1,0)</x:f>
        <x:v>0</x:v>
      </x:c>
      <x:c r="L104" t="str">
        <x:f>IFERROR(INDEX(Customers!$C$2:$C$451,MATCH(A104,Customers!$A$2:$A$451,0)),"Unknown")</x:f>
        <x:v>Plus</x:v>
      </x:c>
    </x:row>
    <x:row r="105">
      <x:c r="A105" t="n">
        <x:v>18</x:v>
      </x:c>
      <x:c r="B105" s="16" t="n">
        <x:v>46204</x:v>
      </x:c>
      <x:c r="C105" t="n">
        <x:v>1</x:v>
      </x:c>
      <x:c r="D105" t="n">
        <x:v>10</x:v>
      </x:c>
      <x:c r="E105" s="18" t="n">
        <x:v>482.76</x:v>
      </x:c>
      <x:c r="F105" s="18" t="n">
        <x:v>8</x:v>
      </x:c>
      <x:c r="G105" s="18" t="n">
        <x:v>2.17</x:v>
      </x:c>
      <x:c r="H105" s="18" t="n">
        <x:v>1.22</x:v>
      </x:c>
      <x:c r="I105" s="18" t="n">
        <x:v>11.39</x:v>
      </x:c>
      <x:c r="J105" t="n">
        <x:f>IF(A105=A104,IFERROR(IF(B105=EDATE(B104,1),C104,0),0),0)</x:f>
        <x:v>1</x:v>
      </x:c>
      <x:c r="K105" t="n">
        <x:f>IF(AND(J105=1,C105=0),1,0)</x:f>
        <x:v>0</x:v>
      </x:c>
      <x:c r="L105" t="str">
        <x:f>IFERROR(INDEX(Customers!$C$2:$C$451,MATCH(A105,Customers!$A$2:$A$451,0)),"Unknown")</x:f>
        <x:v>Plus</x:v>
      </x:c>
    </x:row>
    <x:row r="106">
      <x:c r="A106" t="n">
        <x:v>18</x:v>
      </x:c>
      <x:c r="B106" s="16" t="n">
        <x:v>46235</x:v>
      </x:c>
      <x:c r="C106" t="n">
        <x:v>1</x:v>
      </x:c>
      <x:c r="D106" t="n">
        <x:v>34</x:v>
      </x:c>
      <x:c r="E106" s="18" t="n">
        <x:v>2587.75</x:v>
      </x:c>
      <x:c r="F106" s="18" t="n">
        <x:v>8</x:v>
      </x:c>
      <x:c r="G106" s="18" t="n">
        <x:v>11.64</x:v>
      </x:c>
      <x:c r="H106" s="18" t="n">
        <x:v>7.72</x:v>
      </x:c>
      <x:c r="I106" s="18" t="n">
        <x:v>27.36</x:v>
      </x:c>
      <x:c r="J106" t="n">
        <x:f>IF(A106=A105,IFERROR(IF(B106=EDATE(B105,1),C105,0),0),0)</x:f>
        <x:v>1</x:v>
      </x:c>
      <x:c r="K106" t="n">
        <x:f>IF(AND(J106=1,C106=0),1,0)</x:f>
        <x:v>0</x:v>
      </x:c>
      <x:c r="L106" t="str">
        <x:f>IFERROR(INDEX(Customers!$C$2:$C$451,MATCH(A106,Customers!$A$2:$A$451,0)),"Unknown")</x:f>
        <x:v>Plus</x:v>
      </x:c>
    </x:row>
    <x:row r="107">
      <x:c r="A107" t="n">
        <x:v>18</x:v>
      </x:c>
      <x:c r="B107" s="16" t="n">
        <x:v>46266</x:v>
      </x:c>
      <x:c r="C107" t="n">
        <x:v>0</x:v>
      </x:c>
      <x:c r="D107" t="n">
        <x:v>0</x:v>
      </x:c>
      <x:c r="E107" s="18" t="n">
        <x:v>0</x:v>
      </x:c>
      <x:c r="F107" s="18" t="n">
        <x:v>0</x:v>
      </x:c>
      <x:c r="G107" s="18" t="n">
        <x:v>0</x:v>
      </x:c>
      <x:c r="H107" s="18" t="n">
        <x:v>0</x:v>
      </x:c>
      <x:c r="I107" s="18" t="n">
        <x:v>0</x:v>
      </x:c>
      <x:c r="J107" t="n">
        <x:f>IF(A107=A106,IFERROR(IF(B107=EDATE(B106,1),C106,0),0),0)</x:f>
        <x:v>1</x:v>
      </x:c>
      <x:c r="K107" t="n">
        <x:f>IF(AND(J107=1,C107=0),1,0)</x:f>
        <x:v>1</x:v>
      </x:c>
      <x:c r="L107" t="str">
        <x:f>IFERROR(INDEX(Customers!$C$2:$C$451,MATCH(A107,Customers!$A$2:$A$451,0)),"Unknown")</x:f>
        <x:v>Plus</x:v>
      </x:c>
    </x:row>
    <x:row r="108">
      <x:c r="A108" t="n">
        <x:v>19</x:v>
      </x:c>
      <x:c r="B108" s="16" t="n">
        <x:v>46113</x:v>
      </x:c>
      <x:c r="C108" t="n">
        <x:v>1</x:v>
      </x:c>
      <x:c r="D108" t="n">
        <x:v>30</x:v>
      </x:c>
      <x:c r="E108" s="18" t="n">
        <x:v>4189.45</x:v>
      </x:c>
      <x:c r="F108" s="18" t="n">
        <x:v>0</x:v>
      </x:c>
      <x:c r="G108" s="18" t="n">
        <x:v>18.85</x:v>
      </x:c>
      <x:c r="H108" s="18" t="n">
        <x:v>3.53</x:v>
      </x:c>
      <x:c r="I108" s="18" t="n">
        <x:v>22.38</x:v>
      </x:c>
      <x:c r="J108" t="n">
        <x:f>IF(A108=A107,IFERROR(IF(B108=EDATE(B107,1),C107,0),0),0)</x:f>
        <x:v>0</x:v>
      </x:c>
      <x:c r="K108" t="n">
        <x:f>IF(AND(J108=1,C108=0),1,0)</x:f>
        <x:v>0</x:v>
      </x:c>
      <x:c r="L108" t="str">
        <x:f>IFERROR(INDEX(Customers!$C$2:$C$451,MATCH(A108,Customers!$A$2:$A$451,0)),"Unknown")</x:f>
        <x:v>Standard</x:v>
      </x:c>
    </x:row>
    <x:row r="109">
      <x:c r="A109" t="n">
        <x:v>19</x:v>
      </x:c>
      <x:c r="B109" s="16" t="n">
        <x:v>46143</x:v>
      </x:c>
      <x:c r="C109" t="n">
        <x:v>1</x:v>
      </x:c>
      <x:c r="D109" t="n">
        <x:v>25</x:v>
      </x:c>
      <x:c r="E109" s="18" t="n">
        <x:v>1157.16</x:v>
      </x:c>
      <x:c r="F109" s="18" t="n">
        <x:v>0</x:v>
      </x:c>
      <x:c r="G109" s="18" t="n">
        <x:v>5.21</x:v>
      </x:c>
      <x:c r="H109" s="18" t="n">
        <x:v>2.64</x:v>
      </x:c>
      <x:c r="I109" s="18" t="n">
        <x:v>7.85</x:v>
      </x:c>
      <x:c r="J109" t="n">
        <x:f>IF(A109=A108,IFERROR(IF(B109=EDATE(B108,1),C108,0),0),0)</x:f>
        <x:v>1</x:v>
      </x:c>
      <x:c r="K109" t="n">
        <x:f>IF(AND(J109=1,C109=0),1,0)</x:f>
        <x:v>0</x:v>
      </x:c>
      <x:c r="L109" t="str">
        <x:f>IFERROR(INDEX(Customers!$C$2:$C$451,MATCH(A109,Customers!$A$2:$A$451,0)),"Unknown")</x:f>
        <x:v>Standard</x:v>
      </x:c>
    </x:row>
    <x:row r="110">
      <x:c r="A110" t="n">
        <x:v>19</x:v>
      </x:c>
      <x:c r="B110" s="16" t="n">
        <x:v>46174</x:v>
      </x:c>
      <x:c r="C110" t="n">
        <x:v>1</x:v>
      </x:c>
      <x:c r="D110" t="n">
        <x:v>6</x:v>
      </x:c>
      <x:c r="E110" s="18" t="n">
        <x:v>783.39</x:v>
      </x:c>
      <x:c r="F110" s="18" t="n">
        <x:v>0</x:v>
      </x:c>
      <x:c r="G110" s="18" t="n">
        <x:v>3.53</x:v>
      </x:c>
      <x:c r="H110" s="18" t="n">
        <x:v>2.8</x:v>
      </x:c>
      <x:c r="I110" s="18" t="n">
        <x:v>6.33</x:v>
      </x:c>
      <x:c r="J110" t="n">
        <x:f>IF(A110=A109,IFERROR(IF(B110=EDATE(B109,1),C109,0),0),0)</x:f>
        <x:v>1</x:v>
      </x:c>
      <x:c r="K110" t="n">
        <x:f>IF(AND(J110=1,C110=0),1,0)</x:f>
        <x:v>0</x:v>
      </x:c>
      <x:c r="L110" t="str">
        <x:f>IFERROR(INDEX(Customers!$C$2:$C$451,MATCH(A110,Customers!$A$2:$A$451,0)),"Unknown")</x:f>
        <x:v>Standard</x:v>
      </x:c>
    </x:row>
    <x:row r="111">
      <x:c r="A111" t="n">
        <x:v>19</x:v>
      </x:c>
      <x:c r="B111" s="16" t="n">
        <x:v>46204</x:v>
      </x:c>
      <x:c r="C111" t="n">
        <x:v>1</x:v>
      </x:c>
      <x:c r="D111" t="n">
        <x:v>5</x:v>
      </x:c>
      <x:c r="E111" s="18" t="n">
        <x:v>341.61</x:v>
      </x:c>
      <x:c r="F111" s="18" t="n">
        <x:v>0</x:v>
      </x:c>
      <x:c r="G111" s="18" t="n">
        <x:v>1.54</x:v>
      </x:c>
      <x:c r="H111" s="18" t="n">
        <x:v>1.23</x:v>
      </x:c>
      <x:c r="I111" s="18" t="n">
        <x:v>2.77</x:v>
      </x:c>
      <x:c r="J111" t="n">
        <x:f>IF(A111=A110,IFERROR(IF(B111=EDATE(B110,1),C110,0),0),0)</x:f>
        <x:v>1</x:v>
      </x:c>
      <x:c r="K111" t="n">
        <x:f>IF(AND(J111=1,C111=0),1,0)</x:f>
        <x:v>0</x:v>
      </x:c>
      <x:c r="L111" t="str">
        <x:f>IFERROR(INDEX(Customers!$C$2:$C$451,MATCH(A111,Customers!$A$2:$A$451,0)),"Unknown")</x:f>
        <x:v>Standard</x:v>
      </x:c>
    </x:row>
    <x:row r="112">
      <x:c r="A112" t="n">
        <x:v>19</x:v>
      </x:c>
      <x:c r="B112" s="16" t="n">
        <x:v>46235</x:v>
      </x:c>
      <x:c r="C112" t="n">
        <x:v>1</x:v>
      </x:c>
      <x:c r="D112" t="n">
        <x:v>6</x:v>
      </x:c>
      <x:c r="E112" s="18" t="n">
        <x:v>620.22</x:v>
      </x:c>
      <x:c r="F112" s="18" t="n">
        <x:v>0</x:v>
      </x:c>
      <x:c r="G112" s="18" t="n">
        <x:v>2.79</x:v>
      </x:c>
      <x:c r="H112" s="18" t="n">
        <x:v>1.39</x:v>
      </x:c>
      <x:c r="I112" s="18" t="n">
        <x:v>4.18</x:v>
      </x:c>
      <x:c r="J112" t="n">
        <x:f>IF(A112=A111,IFERROR(IF(B112=EDATE(B111,1),C111,0),0),0)</x:f>
        <x:v>1</x:v>
      </x:c>
      <x:c r="K112" t="n">
        <x:f>IF(AND(J112=1,C112=0),1,0)</x:f>
        <x:v>0</x:v>
      </x:c>
      <x:c r="L112" t="str">
        <x:f>IFERROR(INDEX(Customers!$C$2:$C$451,MATCH(A112,Customers!$A$2:$A$451,0)),"Unknown")</x:f>
        <x:v>Standard</x:v>
      </x:c>
    </x:row>
    <x:row r="113">
      <x:c r="A113" t="n">
        <x:v>19</x:v>
      </x:c>
      <x:c r="B113" s="16" t="n">
        <x:v>46266</x:v>
      </x:c>
      <x:c r="C113" t="n">
        <x:v>1</x:v>
      </x:c>
      <x:c r="D113" t="n">
        <x:v>16</x:v>
      </x:c>
      <x:c r="E113" s="18" t="n">
        <x:v>1055.65</x:v>
      </x:c>
      <x:c r="F113" s="18" t="n">
        <x:v>0</x:v>
      </x:c>
      <x:c r="G113" s="18" t="n">
        <x:v>4.75</x:v>
      </x:c>
      <x:c r="H113" s="18" t="n">
        <x:v>3.32</x:v>
      </x:c>
      <x:c r="I113" s="18" t="n">
        <x:v>8.07</x:v>
      </x:c>
      <x:c r="J113" t="n">
        <x:f>IF(A113=A112,IFERROR(IF(B113=EDATE(B112,1),C112,0),0),0)</x:f>
        <x:v>1</x:v>
      </x:c>
      <x:c r="K113" t="n">
        <x:f>IF(AND(J113=1,C113=0),1,0)</x:f>
        <x:v>0</x:v>
      </x:c>
      <x:c r="L113" t="str">
        <x:f>IFERROR(INDEX(Customers!$C$2:$C$451,MATCH(A113,Customers!$A$2:$A$451,0)),"Unknown")</x:f>
        <x:v>Standard</x:v>
      </x:c>
    </x:row>
    <x:row r="114">
      <x:c r="A114" t="n">
        <x:v>20</x:v>
      </x:c>
      <x:c r="B114" s="16" t="n">
        <x:v>46113</x:v>
      </x:c>
      <x:c r="C114" t="n">
        <x:v>1</x:v>
      </x:c>
      <x:c r="D114" t="n">
        <x:v>25</x:v>
      </x:c>
      <x:c r="E114" s="18" t="n">
        <x:v>3205.01</x:v>
      </x:c>
      <x:c r="F114" s="18" t="n">
        <x:v>17</x:v>
      </x:c>
      <x:c r="G114" s="18" t="n">
        <x:v>14.42</x:v>
      </x:c>
      <x:c r="H114" s="18" t="n">
        <x:v>9.96</x:v>
      </x:c>
      <x:c r="I114" s="18" t="n">
        <x:v>41.38</x:v>
      </x:c>
      <x:c r="J114" t="n">
        <x:f>IF(A114=A113,IFERROR(IF(B114=EDATE(B113,1),C113,0),0),0)</x:f>
        <x:v>0</x:v>
      </x:c>
      <x:c r="K114" t="n">
        <x:f>IF(AND(J114=1,C114=0),1,0)</x:f>
        <x:v>0</x:v>
      </x:c>
      <x:c r="L114" t="str">
        <x:f>IFERROR(INDEX(Customers!$C$2:$C$451,MATCH(A114,Customers!$A$2:$A$451,0)),"Unknown")</x:f>
        <x:v>Premium</x:v>
      </x:c>
    </x:row>
    <x:row r="115">
      <x:c r="A115" t="n">
        <x:v>20</x:v>
      </x:c>
      <x:c r="B115" s="16" t="n">
        <x:v>46143</x:v>
      </x:c>
      <x:c r="C115" t="n">
        <x:v>1</x:v>
      </x:c>
      <x:c r="D115" t="n">
        <x:v>26</x:v>
      </x:c>
      <x:c r="E115" s="18" t="n">
        <x:v>2769.16</x:v>
      </x:c>
      <x:c r="F115" s="18" t="n">
        <x:v>17</x:v>
      </x:c>
      <x:c r="G115" s="18" t="n">
        <x:v>12.46</x:v>
      </x:c>
      <x:c r="H115" s="18" t="n">
        <x:v>6.54</x:v>
      </x:c>
      <x:c r="I115" s="18" t="n">
        <x:v>36</x:v>
      </x:c>
      <x:c r="J115" t="n">
        <x:f>IF(A115=A114,IFERROR(IF(B115=EDATE(B114,1),C114,0),0),0)</x:f>
        <x:v>1</x:v>
      </x:c>
      <x:c r="K115" t="n">
        <x:f>IF(AND(J115=1,C115=0),1,0)</x:f>
        <x:v>0</x:v>
      </x:c>
      <x:c r="L115" t="str">
        <x:f>IFERROR(INDEX(Customers!$C$2:$C$451,MATCH(A115,Customers!$A$2:$A$451,0)),"Unknown")</x:f>
        <x:v>Premium</x:v>
      </x:c>
    </x:row>
    <x:row r="116">
      <x:c r="A116" t="n">
        <x:v>20</x:v>
      </x:c>
      <x:c r="B116" s="16" t="n">
        <x:v>46174</x:v>
      </x:c>
      <x:c r="C116" t="n">
        <x:v>1</x:v>
      </x:c>
      <x:c r="D116" t="n">
        <x:v>30</x:v>
      </x:c>
      <x:c r="E116" s="18" t="n">
        <x:v>2086.9</x:v>
      </x:c>
      <x:c r="F116" s="18" t="n">
        <x:v>17</x:v>
      </x:c>
      <x:c r="G116" s="18" t="n">
        <x:v>9.39</x:v>
      </x:c>
      <x:c r="H116" s="18" t="n">
        <x:v>4.03</x:v>
      </x:c>
      <x:c r="I116" s="18" t="n">
        <x:v>30.42</x:v>
      </x:c>
      <x:c r="J116" t="n">
        <x:f>IF(A116=A115,IFERROR(IF(B116=EDATE(B115,1),C115,0),0),0)</x:f>
        <x:v>1</x:v>
      </x:c>
      <x:c r="K116" t="n">
        <x:f>IF(AND(J116=1,C116=0),1,0)</x:f>
        <x:v>0</x:v>
      </x:c>
      <x:c r="L116" t="str">
        <x:f>IFERROR(INDEX(Customers!$C$2:$C$451,MATCH(A116,Customers!$A$2:$A$451,0)),"Unknown")</x:f>
        <x:v>Premium</x:v>
      </x:c>
    </x:row>
    <x:row r="117">
      <x:c r="A117" t="n">
        <x:v>20</x:v>
      </x:c>
      <x:c r="B117" s="16" t="n">
        <x:v>46204</x:v>
      </x:c>
      <x:c r="C117" t="n">
        <x:v>0</x:v>
      </x:c>
      <x:c r="D117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t="n">
        <x:f>IF(A117=A116,IFERROR(IF(B117=EDATE(B116,1),C116,0),0),0)</x:f>
        <x:v>1</x:v>
      </x:c>
      <x:c r="K117" t="n">
        <x:f>IF(AND(J117=1,C117=0),1,0)</x:f>
        <x:v>1</x:v>
      </x:c>
      <x:c r="L117" t="str">
        <x:f>IFERROR(INDEX(Customers!$C$2:$C$451,MATCH(A117,Customers!$A$2:$A$451,0)),"Unknown")</x:f>
        <x:v>Premium</x:v>
      </x:c>
    </x:row>
    <x:row r="118">
      <x:c r="A118" t="n">
        <x:v>20</x:v>
      </x:c>
      <x:c r="B118" s="16" t="n">
        <x:v>46235</x:v>
      </x:c>
      <x:c r="C118" t="n">
        <x:v>1</x:v>
      </x:c>
      <x:c r="D118" t="n">
        <x:v>19</x:v>
      </x:c>
      <x:c r="E118" s="18" t="n">
        <x:v>2353.45</x:v>
      </x:c>
      <x:c r="F118" s="18" t="n">
        <x:v>17</x:v>
      </x:c>
      <x:c r="G118" s="18" t="n">
        <x:v>10.59</x:v>
      </x:c>
      <x:c r="H118" s="18" t="n">
        <x:v>5.24</x:v>
      </x:c>
      <x:c r="I118" s="18" t="n">
        <x:v>32.83</x:v>
      </x:c>
      <x:c r="J118" t="n">
        <x:f>IF(A118=A117,IFERROR(IF(B118=EDATE(B117,1),C117,0),0),0)</x:f>
        <x:v>0</x:v>
      </x:c>
      <x:c r="K118" t="n">
        <x:f>IF(AND(J118=1,C118=0),1,0)</x:f>
        <x:v>0</x:v>
      </x:c>
      <x:c r="L118" t="str">
        <x:f>IFERROR(INDEX(Customers!$C$2:$C$451,MATCH(A118,Customers!$A$2:$A$451,0)),"Unknown")</x:f>
        <x:v>Premium</x:v>
      </x:c>
    </x:row>
    <x:row r="119">
      <x:c r="A119" t="n">
        <x:v>20</x:v>
      </x:c>
      <x:c r="B119" s="16" t="n">
        <x:v>46266</x:v>
      </x:c>
      <x:c r="C119" t="n">
        <x:v>0</x:v>
      </x:c>
      <x:c r="D119" t="n">
        <x:v>0</x:v>
      </x:c>
      <x:c r="E119" s="18" t="n">
        <x:v>0</x:v>
      </x:c>
      <x:c r="F119" s="18" t="n">
        <x:v>0</x:v>
      </x:c>
      <x:c r="G119" s="18" t="n">
        <x:v>0</x:v>
      </x:c>
      <x:c r="H119" s="18" t="n">
        <x:v>0</x:v>
      </x:c>
      <x:c r="I119" s="18" t="n">
        <x:v>0</x:v>
      </x:c>
      <x:c r="J119" t="n">
        <x:f>IF(A119=A118,IFERROR(IF(B119=EDATE(B118,1),C118,0),0),0)</x:f>
        <x:v>1</x:v>
      </x:c>
      <x:c r="K119" t="n">
        <x:f>IF(AND(J119=1,C119=0),1,0)</x:f>
        <x:v>1</x:v>
      </x:c>
      <x:c r="L119" t="str">
        <x:f>IFERROR(INDEX(Customers!$C$2:$C$451,MATCH(A119,Customers!$A$2:$A$451,0)),"Unknown")</x:f>
        <x:v>Premium</x:v>
      </x:c>
    </x:row>
    <x:row r="120">
      <x:c r="A120" t="n">
        <x:v>21</x:v>
      </x:c>
      <x:c r="B120" s="16" t="n">
        <x:v>46143</x:v>
      </x:c>
      <x:c r="C120" t="n">
        <x:v>1</x:v>
      </x:c>
      <x:c r="D120" t="n">
        <x:v>13</x:v>
      </x:c>
      <x:c r="E120" s="18" t="n">
        <x:v>644.88</x:v>
      </x:c>
      <x:c r="F120" s="18" t="n">
        <x:v>17</x:v>
      </x:c>
      <x:c r="G120" s="18" t="n">
        <x:v>2.9</x:v>
      </x:c>
      <x:c r="H120" s="18" t="n">
        <x:v>0.58</x:v>
      </x:c>
      <x:c r="I120" s="18" t="n">
        <x:v>20.48</x:v>
      </x:c>
      <x:c r="J120" t="n">
        <x:f>IF(A120=A119,IFERROR(IF(B120=EDATE(B119,1),C119,0),0),0)</x:f>
        <x:v>0</x:v>
      </x:c>
      <x:c r="K120" t="n">
        <x:f>IF(AND(J120=1,C120=0),1,0)</x:f>
        <x:v>0</x:v>
      </x:c>
      <x:c r="L120" t="str">
        <x:f>IFERROR(INDEX(Customers!$C$2:$C$451,MATCH(A120,Customers!$A$2:$A$451,0)),"Unknown")</x:f>
        <x:v>Premium</x:v>
      </x:c>
    </x:row>
    <x:row r="121">
      <x:c r="A121" t="n">
        <x:v>21</x:v>
      </x:c>
      <x:c r="B121" s="16" t="n">
        <x:v>46174</x:v>
      </x:c>
      <x:c r="C121" t="n">
        <x:v>1</x:v>
      </x:c>
      <x:c r="D121" t="n">
        <x:v>16</x:v>
      </x:c>
      <x:c r="E121" s="18" t="n">
        <x:v>1165.15</x:v>
      </x:c>
      <x:c r="F121" s="18" t="n">
        <x:v>17</x:v>
      </x:c>
      <x:c r="G121" s="18" t="n">
        <x:v>5.24</x:v>
      </x:c>
      <x:c r="H121" s="18" t="n">
        <x:v>1.46</x:v>
      </x:c>
      <x:c r="I121" s="18" t="n">
        <x:v>23.7</x:v>
      </x:c>
      <x:c r="J121" t="n">
        <x:f>IF(A121=A120,IFERROR(IF(B121=EDATE(B120,1),C120,0),0),0)</x:f>
        <x:v>1</x:v>
      </x:c>
      <x:c r="K121" t="n">
        <x:f>IF(AND(J121=1,C121=0),1,0)</x:f>
        <x:v>0</x:v>
      </x:c>
      <x:c r="L121" t="str">
        <x:f>IFERROR(INDEX(Customers!$C$2:$C$451,MATCH(A121,Customers!$A$2:$A$451,0)),"Unknown")</x:f>
        <x:v>Premium</x:v>
      </x:c>
    </x:row>
    <x:row r="122">
      <x:c r="A122" t="n">
        <x:v>21</x:v>
      </x:c>
      <x:c r="B122" s="16" t="n">
        <x:v>46204</x:v>
      </x:c>
      <x:c r="C122" t="n">
        <x:v>1</x:v>
      </x:c>
      <x:c r="D122" t="n">
        <x:v>9</x:v>
      </x:c>
      <x:c r="E122" s="18" t="n">
        <x:v>689.02</x:v>
      </x:c>
      <x:c r="F122" s="18" t="n">
        <x:v>17</x:v>
      </x:c>
      <x:c r="G122" s="18" t="n">
        <x:v>3.1</x:v>
      </x:c>
      <x:c r="H122" s="18" t="n">
        <x:v>0.98</x:v>
      </x:c>
      <x:c r="I122" s="18" t="n">
        <x:v>21.08</x:v>
      </x:c>
      <x:c r="J122" t="n">
        <x:f>IF(A122=A121,IFERROR(IF(B122=EDATE(B121,1),C121,0),0),0)</x:f>
        <x:v>1</x:v>
      </x:c>
      <x:c r="K122" t="n">
        <x:f>IF(AND(J122=1,C122=0),1,0)</x:f>
        <x:v>0</x:v>
      </x:c>
      <x:c r="L122" t="str">
        <x:f>IFERROR(INDEX(Customers!$C$2:$C$451,MATCH(A122,Customers!$A$2:$A$451,0)),"Unknown")</x:f>
        <x:v>Premium</x:v>
      </x:c>
    </x:row>
    <x:row r="123">
      <x:c r="A123" t="n">
        <x:v>21</x:v>
      </x:c>
      <x:c r="B123" s="16" t="n">
        <x:v>46235</x:v>
      </x:c>
      <x:c r="C123" t="n">
        <x:v>1</x:v>
      </x:c>
      <x:c r="D123" t="n">
        <x:v>16</x:v>
      </x:c>
      <x:c r="E123" s="18" t="n">
        <x:v>1152.7</x:v>
      </x:c>
      <x:c r="F123" s="18" t="n">
        <x:v>17</x:v>
      </x:c>
      <x:c r="G123" s="18" t="n">
        <x:v>5.19</x:v>
      </x:c>
      <x:c r="H123" s="18" t="n">
        <x:v>2.08</x:v>
      </x:c>
      <x:c r="I123" s="18" t="n">
        <x:v>24.27</x:v>
      </x:c>
      <x:c r="J123" t="n">
        <x:f>IF(A123=A122,IFERROR(IF(B123=EDATE(B122,1),C122,0),0),0)</x:f>
        <x:v>1</x:v>
      </x:c>
      <x:c r="K123" t="n">
        <x:f>IF(AND(J123=1,C123=0),1,0)</x:f>
        <x:v>0</x:v>
      </x:c>
      <x:c r="L123" t="str">
        <x:f>IFERROR(INDEX(Customers!$C$2:$C$451,MATCH(A123,Customers!$A$2:$A$451,0)),"Unknown")</x:f>
        <x:v>Premium</x:v>
      </x:c>
    </x:row>
    <x:row r="124">
      <x:c r="A124" t="n">
        <x:v>21</x:v>
      </x:c>
      <x:c r="B124" s="16" t="n">
        <x:v>46266</x:v>
      </x:c>
      <x:c r="C124" t="n">
        <x:v>0</x:v>
      </x:c>
      <x:c r="D124" t="n">
        <x:v>0</x:v>
      </x:c>
      <x:c r="E124" s="18" t="n">
        <x:v>0</x:v>
      </x:c>
      <x:c r="F124" s="18" t="n">
        <x:v>0</x:v>
      </x:c>
      <x:c r="G124" s="18" t="n">
        <x:v>0</x:v>
      </x:c>
      <x:c r="H124" s="18" t="n">
        <x:v>0</x:v>
      </x:c>
      <x:c r="I124" s="18" t="n">
        <x:v>0</x:v>
      </x:c>
      <x:c r="J124" t="n">
        <x:f>IF(A124=A123,IFERROR(IF(B124=EDATE(B123,1),C123,0),0),0)</x:f>
        <x:v>1</x:v>
      </x:c>
      <x:c r="K124" t="n">
        <x:f>IF(AND(J124=1,C124=0),1,0)</x:f>
        <x:v>1</x:v>
      </x:c>
      <x:c r="L124" t="str">
        <x:f>IFERROR(INDEX(Customers!$C$2:$C$451,MATCH(A124,Customers!$A$2:$A$451,0)),"Unknown")</x:f>
        <x:v>Premium</x:v>
      </x:c>
    </x:row>
    <x:row r="125">
      <x:c r="A125" t="n">
        <x:v>22</x:v>
      </x:c>
      <x:c r="B125" s="16" t="n">
        <x:v>46113</x:v>
      </x:c>
      <x:c r="C125" t="n">
        <x:v>1</x:v>
      </x:c>
      <x:c r="D125" t="n">
        <x:v>5</x:v>
      </x:c>
      <x:c r="E125" s="18" t="n">
        <x:v>304.59</x:v>
      </x:c>
      <x:c r="F125" s="18" t="n">
        <x:v>17</x:v>
      </x:c>
      <x:c r="G125" s="18" t="n">
        <x:v>1.37</x:v>
      </x:c>
      <x:c r="H125" s="18" t="n">
        <x:v>1.13</x:v>
      </x:c>
      <x:c r="I125" s="18" t="n">
        <x:v>19.5</x:v>
      </x:c>
      <x:c r="J125" t="n">
        <x:f>IF(A125=A124,IFERROR(IF(B125=EDATE(B124,1),C124,0),0),0)</x:f>
        <x:v>0</x:v>
      </x:c>
      <x:c r="K125" t="n">
        <x:f>IF(AND(J125=1,C125=0),1,0)</x:f>
        <x:v>0</x:v>
      </x:c>
      <x:c r="L125" t="str">
        <x:f>IFERROR(INDEX(Customers!$C$2:$C$451,MATCH(A125,Customers!$A$2:$A$451,0)),"Unknown")</x:f>
        <x:v>Premium</x:v>
      </x:c>
    </x:row>
    <x:row r="126">
      <x:c r="A126" t="n">
        <x:v>22</x:v>
      </x:c>
      <x:c r="B126" s="16" t="n">
        <x:v>46143</x:v>
      </x:c>
      <x:c r="C126" t="n">
        <x:v>0</x:v>
      </x:c>
      <x:c r="D126" t="n">
        <x:v>0</x:v>
      </x:c>
      <x:c r="E126" s="18" t="n">
        <x:v>0</x:v>
      </x:c>
      <x:c r="F126" s="18" t="n">
        <x:v>0</x:v>
      </x:c>
      <x:c r="G126" s="18" t="n">
        <x:v>0</x:v>
      </x:c>
      <x:c r="H126" s="18" t="n">
        <x:v>0</x:v>
      </x:c>
      <x:c r="I126" s="18" t="n">
        <x:v>0</x:v>
      </x:c>
      <x:c r="J126" t="n">
        <x:f>IF(A126=A125,IFERROR(IF(B126=EDATE(B125,1),C125,0),0),0)</x:f>
        <x:v>1</x:v>
      </x:c>
      <x:c r="K126" t="n">
        <x:f>IF(AND(J126=1,C126=0),1,0)</x:f>
        <x:v>1</x:v>
      </x:c>
      <x:c r="L126" t="str">
        <x:f>IFERROR(INDEX(Customers!$C$2:$C$451,MATCH(A126,Customers!$A$2:$A$451,0)),"Unknown")</x:f>
        <x:v>Premium</x:v>
      </x:c>
    </x:row>
    <x:row r="127">
      <x:c r="A127" t="n">
        <x:v>22</x:v>
      </x:c>
      <x:c r="B127" s="16" t="n">
        <x:v>46174</x:v>
      </x:c>
      <x:c r="C127" t="n">
        <x:v>1</x:v>
      </x:c>
      <x:c r="D127" t="n">
        <x:v>25</x:v>
      </x:c>
      <x:c r="E127" s="18" t="n">
        <x:v>2520.85</x:v>
      </x:c>
      <x:c r="F127" s="18" t="n">
        <x:v>17</x:v>
      </x:c>
      <x:c r="G127" s="18" t="n">
        <x:v>11.34</x:v>
      </x:c>
      <x:c r="H127" s="18" t="n">
        <x:v>8.87</x:v>
      </x:c>
      <x:c r="I127" s="18" t="n">
        <x:v>37.21</x:v>
      </x:c>
      <x:c r="J127" t="n">
        <x:f>IF(A127=A126,IFERROR(IF(B127=EDATE(B126,1),C126,0),0),0)</x:f>
        <x:v>0</x:v>
      </x:c>
      <x:c r="K127" t="n">
        <x:f>IF(AND(J127=1,C127=0),1,0)</x:f>
        <x:v>0</x:v>
      </x:c>
      <x:c r="L127" t="str">
        <x:f>IFERROR(INDEX(Customers!$C$2:$C$451,MATCH(A127,Customers!$A$2:$A$451,0)),"Unknown")</x:f>
        <x:v>Premium</x:v>
      </x:c>
    </x:row>
    <x:row r="128">
      <x:c r="A128" t="n">
        <x:v>22</x:v>
      </x:c>
      <x:c r="B128" s="16" t="n">
        <x:v>46204</x:v>
      </x:c>
      <x:c r="C128" t="n">
        <x:v>1</x:v>
      </x:c>
      <x:c r="D128" t="n">
        <x:v>7</x:v>
      </x:c>
      <x:c r="E128" s="18" t="n">
        <x:v>760.88</x:v>
      </x:c>
      <x:c r="F128" s="18" t="n">
        <x:v>17</x:v>
      </x:c>
      <x:c r="G128" s="18" t="n">
        <x:v>3.42</x:v>
      </x:c>
      <x:c r="H128" s="18" t="n">
        <x:v>1.96</x:v>
      </x:c>
      <x:c r="I128" s="18" t="n">
        <x:v>22.38</x:v>
      </x:c>
      <x:c r="J128" t="n">
        <x:f>IF(A128=A127,IFERROR(IF(B128=EDATE(B127,1),C127,0),0),0)</x:f>
        <x:v>1</x:v>
      </x:c>
      <x:c r="K128" t="n">
        <x:f>IF(AND(J128=1,C128=0),1,0)</x:f>
        <x:v>0</x:v>
      </x:c>
      <x:c r="L128" t="str">
        <x:f>IFERROR(INDEX(Customers!$C$2:$C$451,MATCH(A128,Customers!$A$2:$A$451,0)),"Unknown")</x:f>
        <x:v>Premium</x:v>
      </x:c>
    </x:row>
    <x:row r="129">
      <x:c r="A129" t="n">
        <x:v>22</x:v>
      </x:c>
      <x:c r="B129" s="16" t="n">
        <x:v>46235</x:v>
      </x:c>
      <x:c r="C129" t="n">
        <x:v>0</x:v>
      </x:c>
      <x:c r="D129" t="n">
        <x:v>0</x:v>
      </x:c>
      <x:c r="E129" s="18" t="n">
        <x:v>0</x:v>
      </x:c>
      <x:c r="F129" s="18" t="n">
        <x:v>0</x:v>
      </x:c>
      <x:c r="G129" s="18" t="n">
        <x:v>0</x:v>
      </x:c>
      <x:c r="H129" s="18" t="n">
        <x:v>0</x:v>
      </x:c>
      <x:c r="I129" s="18" t="n">
        <x:v>0</x:v>
      </x:c>
      <x:c r="J129" t="n">
        <x:f>IF(A129=A128,IFERROR(IF(B129=EDATE(B128,1),C128,0),0),0)</x:f>
        <x:v>1</x:v>
      </x:c>
      <x:c r="K129" t="n">
        <x:f>IF(AND(J129=1,C129=0),1,0)</x:f>
        <x:v>1</x:v>
      </x:c>
      <x:c r="L129" t="str">
        <x:f>IFERROR(INDEX(Customers!$C$2:$C$451,MATCH(A129,Customers!$A$2:$A$451,0)),"Unknown")</x:f>
        <x:v>Premium</x:v>
      </x:c>
    </x:row>
    <x:row r="130">
      <x:c r="A130" t="n">
        <x:v>22</x:v>
      </x:c>
      <x:c r="B130" s="16" t="n">
        <x:v>46266</x:v>
      </x:c>
      <x:c r="C130" t="n">
        <x:v>1</x:v>
      </x:c>
      <x:c r="D130" t="n">
        <x:v>14</x:v>
      </x:c>
      <x:c r="E130" s="18" t="n">
        <x:v>1638.32</x:v>
      </x:c>
      <x:c r="F130" s="18" t="n">
        <x:v>17</x:v>
      </x:c>
      <x:c r="G130" s="18" t="n">
        <x:v>7.37</x:v>
      </x:c>
      <x:c r="H130" s="18" t="n">
        <x:v>5.57</x:v>
      </x:c>
      <x:c r="I130" s="18" t="n">
        <x:v>29.94</x:v>
      </x:c>
      <x:c r="J130" t="n">
        <x:f>IF(A130=A129,IFERROR(IF(B130=EDATE(B129,1),C129,0),0),0)</x:f>
        <x:v>0</x:v>
      </x:c>
      <x:c r="K130" t="n">
        <x:f>IF(AND(J130=1,C130=0),1,0)</x:f>
        <x:v>0</x:v>
      </x:c>
      <x:c r="L130" t="str">
        <x:f>IFERROR(INDEX(Customers!$C$2:$C$451,MATCH(A130,Customers!$A$2:$A$451,0)),"Unknown")</x:f>
        <x:v>Premium</x:v>
      </x:c>
    </x:row>
    <x:row r="131">
      <x:c r="A131" t="n">
        <x:v>23</x:v>
      </x:c>
      <x:c r="B131" s="16" t="n">
        <x:v>46113</x:v>
      </x:c>
      <x:c r="C131" t="n">
        <x:v>1</x:v>
      </x:c>
      <x:c r="D131" t="n">
        <x:v>17</x:v>
      </x:c>
      <x:c r="E131" s="18" t="n">
        <x:v>1417.91</x:v>
      </x:c>
      <x:c r="F131" s="18" t="n">
        <x:v>8</x:v>
      </x:c>
      <x:c r="G131" s="18" t="n">
        <x:v>6.38</x:v>
      </x:c>
      <x:c r="H131" s="18" t="n">
        <x:v>1.46</x:v>
      </x:c>
      <x:c r="I131" s="18" t="n">
        <x:v>15.84</x:v>
      </x:c>
      <x:c r="J131" t="n">
        <x:f>IF(A131=A130,IFERROR(IF(B131=EDATE(B130,1),C130,0),0),0)</x:f>
        <x:v>0</x:v>
      </x:c>
      <x:c r="K131" t="n">
        <x:f>IF(AND(J131=1,C131=0),1,0)</x:f>
        <x:v>0</x:v>
      </x:c>
      <x:c r="L131" t="str">
        <x:f>IFERROR(INDEX(Customers!$C$2:$C$451,MATCH(A131,Customers!$A$2:$A$451,0)),"Unknown")</x:f>
        <x:v>Plus</x:v>
      </x:c>
    </x:row>
    <x:row r="132">
      <x:c r="A132" t="n">
        <x:v>23</x:v>
      </x:c>
      <x:c r="B132" s="16" t="n">
        <x:v>46143</x:v>
      </x:c>
      <x:c r="C132" t="n">
        <x:v>1</x:v>
      </x:c>
      <x:c r="D132" t="n">
        <x:v>22</x:v>
      </x:c>
      <x:c r="E132" s="18" t="n">
        <x:v>2290.78</x:v>
      </x:c>
      <x:c r="F132" s="18" t="n">
        <x:v>8</x:v>
      </x:c>
      <x:c r="G132" s="18" t="n">
        <x:v>10.31</x:v>
      </x:c>
      <x:c r="H132" s="18" t="n">
        <x:v>5.76</x:v>
      </x:c>
      <x:c r="I132" s="18" t="n">
        <x:v>24.07</x:v>
      </x:c>
      <x:c r="J132" t="n">
        <x:f>IF(A132=A131,IFERROR(IF(B132=EDATE(B131,1),C131,0),0),0)</x:f>
        <x:v>1</x:v>
      </x:c>
      <x:c r="K132" t="n">
        <x:f>IF(AND(J132=1,C132=0),1,0)</x:f>
        <x:v>0</x:v>
      </x:c>
      <x:c r="L132" t="str">
        <x:f>IFERROR(INDEX(Customers!$C$2:$C$451,MATCH(A132,Customers!$A$2:$A$451,0)),"Unknown")</x:f>
        <x:v>Plus</x:v>
      </x:c>
    </x:row>
    <x:row r="133">
      <x:c r="A133" t="n">
        <x:v>23</x:v>
      </x:c>
      <x:c r="B133" s="16" t="n">
        <x:v>46174</x:v>
      </x:c>
      <x:c r="C133" t="n">
        <x:v>1</x:v>
      </x:c>
      <x:c r="D133" t="n">
        <x:v>9</x:v>
      </x:c>
      <x:c r="E133" s="18" t="n">
        <x:v>692.58</x:v>
      </x:c>
      <x:c r="F133" s="18" t="n">
        <x:v>8</x:v>
      </x:c>
      <x:c r="G133" s="18" t="n">
        <x:v>3.12</x:v>
      </x:c>
      <x:c r="H133" s="18" t="n">
        <x:v>0.58</x:v>
      </x:c>
      <x:c r="I133" s="18" t="n">
        <x:v>11.7</x:v>
      </x:c>
      <x:c r="J133" t="n">
        <x:f>IF(A133=A132,IFERROR(IF(B133=EDATE(B132,1),C132,0),0),0)</x:f>
        <x:v>1</x:v>
      </x:c>
      <x:c r="K133" t="n">
        <x:f>IF(AND(J133=1,C133=0),1,0)</x:f>
        <x:v>0</x:v>
      </x:c>
      <x:c r="L133" t="str">
        <x:f>IFERROR(INDEX(Customers!$C$2:$C$451,MATCH(A133,Customers!$A$2:$A$451,0)),"Unknown")</x:f>
        <x:v>Plus</x:v>
      </x:c>
    </x:row>
    <x:row r="134">
      <x:c r="A134" t="n">
        <x:v>23</x:v>
      </x:c>
      <x:c r="B134" s="16" t="n">
        <x:v>46204</x:v>
      </x:c>
      <x:c r="C134" t="n">
        <x:v>1</x:v>
      </x:c>
      <x:c r="D134" t="n">
        <x:v>33</x:v>
      </x:c>
      <x:c r="E134" s="18" t="n">
        <x:v>2580.47</x:v>
      </x:c>
      <x:c r="F134" s="18" t="n">
        <x:v>8</x:v>
      </x:c>
      <x:c r="G134" s="18" t="n">
        <x:v>11.61</x:v>
      </x:c>
      <x:c r="H134" s="18" t="n">
        <x:v>3.57</x:v>
      </x:c>
      <x:c r="I134" s="18" t="n">
        <x:v>23.18</x:v>
      </x:c>
      <x:c r="J134" t="n">
        <x:f>IF(A134=A133,IFERROR(IF(B134=EDATE(B133,1),C133,0),0),0)</x:f>
        <x:v>1</x:v>
      </x:c>
      <x:c r="K134" t="n">
        <x:f>IF(AND(J134=1,C134=0),1,0)</x:f>
        <x:v>0</x:v>
      </x:c>
      <x:c r="L134" t="str">
        <x:f>IFERROR(INDEX(Customers!$C$2:$C$451,MATCH(A134,Customers!$A$2:$A$451,0)),"Unknown")</x:f>
        <x:v>Plus</x:v>
      </x:c>
    </x:row>
    <x:row r="135">
      <x:c r="A135" t="n">
        <x:v>23</x:v>
      </x:c>
      <x:c r="B135" s="16" t="n">
        <x:v>46235</x:v>
      </x:c>
      <x:c r="C135" t="n">
        <x:v>0</x:v>
      </x:c>
      <x:c r="D135" t="n">
        <x:v>0</x:v>
      </x:c>
      <x:c r="E135" s="18" t="n">
        <x:v>0</x:v>
      </x:c>
      <x:c r="F135" s="18" t="n">
        <x:v>0</x:v>
      </x:c>
      <x:c r="G135" s="18" t="n">
        <x:v>0</x:v>
      </x:c>
      <x:c r="H135" s="18" t="n">
        <x:v>0</x:v>
      </x:c>
      <x:c r="I135" s="18" t="n">
        <x:v>0</x:v>
      </x:c>
      <x:c r="J135" t="n">
        <x:f>IF(A135=A134,IFERROR(IF(B135=EDATE(B134,1),C134,0),0),0)</x:f>
        <x:v>1</x:v>
      </x:c>
      <x:c r="K135" t="n">
        <x:f>IF(AND(J135=1,C135=0),1,0)</x:f>
        <x:v>1</x:v>
      </x:c>
      <x:c r="L135" t="str">
        <x:f>IFERROR(INDEX(Customers!$C$2:$C$451,MATCH(A135,Customers!$A$2:$A$451,0)),"Unknown")</x:f>
        <x:v>Plus</x:v>
      </x:c>
    </x:row>
    <x:row r="136">
      <x:c r="A136" t="n">
        <x:v>23</x:v>
      </x:c>
      <x:c r="B136" s="16" t="n">
        <x:v>46266</x:v>
      </x:c>
      <x:c r="C136" t="n">
        <x:v>1</x:v>
      </x:c>
      <x:c r="D136" t="n">
        <x:v>5</x:v>
      </x:c>
      <x:c r="E136" s="18" t="n">
        <x:v>507.26</x:v>
      </x:c>
      <x:c r="F136" s="18" t="n">
        <x:v>8</x:v>
      </x:c>
      <x:c r="G136" s="18" t="n">
        <x:v>2.28</x:v>
      </x:c>
      <x:c r="H136" s="18" t="n">
        <x:v>0.71</x:v>
      </x:c>
      <x:c r="I136" s="18" t="n">
        <x:v>10.99</x:v>
      </x:c>
      <x:c r="J136" t="n">
        <x:f>IF(A136=A135,IFERROR(IF(B136=EDATE(B135,1),C135,0),0),0)</x:f>
        <x:v>0</x:v>
      </x:c>
      <x:c r="K136" t="n">
        <x:f>IF(AND(J136=1,C136=0),1,0)</x:f>
        <x:v>0</x:v>
      </x:c>
      <x:c r="L136" t="str">
        <x:f>IFERROR(INDEX(Customers!$C$2:$C$451,MATCH(A136,Customers!$A$2:$A$451,0)),"Unknown")</x:f>
        <x:v>Plus</x:v>
      </x:c>
    </x:row>
    <x:row r="137">
      <x:c r="A137" t="n">
        <x:v>24</x:v>
      </x:c>
      <x:c r="B137" s="16" t="n">
        <x:v>46113</x:v>
      </x:c>
      <x:c r="C137" t="n">
        <x:v>1</x:v>
      </x:c>
      <x:c r="D137" t="n">
        <x:v>7</x:v>
      </x:c>
      <x:c r="E137" s="18" t="n">
        <x:v>499.31</x:v>
      </x:c>
      <x:c r="F137" s="18" t="n">
        <x:v>8</x:v>
      </x:c>
      <x:c r="G137" s="18" t="n">
        <x:v>2.25</x:v>
      </x:c>
      <x:c r="H137" s="18" t="n">
        <x:v>1.67</x:v>
      </x:c>
      <x:c r="I137" s="18" t="n">
        <x:v>11.92</x:v>
      </x:c>
      <x:c r="J137" t="n">
        <x:f>IF(A137=A136,IFERROR(IF(B137=EDATE(B136,1),C136,0),0),0)</x:f>
        <x:v>0</x:v>
      </x:c>
      <x:c r="K137" t="n">
        <x:f>IF(AND(J137=1,C137=0),1,0)</x:f>
        <x:v>0</x:v>
      </x:c>
      <x:c r="L137" t="str">
        <x:f>IFERROR(INDEX(Customers!$C$2:$C$451,MATCH(A137,Customers!$A$2:$A$451,0)),"Unknown")</x:f>
        <x:v>Plus</x:v>
      </x:c>
    </x:row>
    <x:row r="138">
      <x:c r="A138" t="n">
        <x:v>24</x:v>
      </x:c>
      <x:c r="B138" s="16" t="n">
        <x:v>46143</x:v>
      </x:c>
      <x:c r="C138" t="n">
        <x:v>1</x:v>
      </x:c>
      <x:c r="D138" t="n">
        <x:v>30</x:v>
      </x:c>
      <x:c r="E138" s="18" t="n">
        <x:v>2854.06</x:v>
      </x:c>
      <x:c r="F138" s="18" t="n">
        <x:v>8</x:v>
      </x:c>
      <x:c r="G138" s="18" t="n">
        <x:v>12.84</x:v>
      </x:c>
      <x:c r="H138" s="18" t="n">
        <x:v>5.82</x:v>
      </x:c>
      <x:c r="I138" s="18" t="n">
        <x:v>26.66</x:v>
      </x:c>
      <x:c r="J138" t="n">
        <x:f>IF(A138=A137,IFERROR(IF(B138=EDATE(B137,1),C137,0),0),0)</x:f>
        <x:v>1</x:v>
      </x:c>
      <x:c r="K138" t="n">
        <x:f>IF(AND(J138=1,C138=0),1,0)</x:f>
        <x:v>0</x:v>
      </x:c>
      <x:c r="L138" t="str">
        <x:f>IFERROR(INDEX(Customers!$C$2:$C$451,MATCH(A138,Customers!$A$2:$A$451,0)),"Unknown")</x:f>
        <x:v>Plus</x:v>
      </x:c>
    </x:row>
    <x:row r="139">
      <x:c r="A139" t="n">
        <x:v>24</x:v>
      </x:c>
      <x:c r="B139" s="16" t="n">
        <x:v>46174</x:v>
      </x:c>
      <x:c r="C139" t="n">
        <x:v>0</x:v>
      </x:c>
      <x:c r="D139" t="n">
        <x:v>0</x:v>
      </x:c>
      <x:c r="E139" s="18" t="n">
        <x:v>0</x:v>
      </x:c>
      <x:c r="F139" s="18" t="n">
        <x:v>0</x:v>
      </x:c>
      <x:c r="G139" s="18" t="n">
        <x:v>0</x:v>
      </x:c>
      <x:c r="H139" s="18" t="n">
        <x:v>0</x:v>
      </x:c>
      <x:c r="I139" s="18" t="n">
        <x:v>0</x:v>
      </x:c>
      <x:c r="J139" t="n">
        <x:f>IF(A139=A138,IFERROR(IF(B139=EDATE(B138,1),C138,0),0),0)</x:f>
        <x:v>1</x:v>
      </x:c>
      <x:c r="K139" t="n">
        <x:f>IF(AND(J139=1,C139=0),1,0)</x:f>
        <x:v>1</x:v>
      </x:c>
      <x:c r="L139" t="str">
        <x:f>IFERROR(INDEX(Customers!$C$2:$C$451,MATCH(A139,Customers!$A$2:$A$451,0)),"Unknown")</x:f>
        <x:v>Plus</x:v>
      </x:c>
    </x:row>
    <x:row r="140">
      <x:c r="A140" t="n">
        <x:v>24</x:v>
      </x:c>
      <x:c r="B140" s="16" t="n">
        <x:v>46204</x:v>
      </x:c>
      <x:c r="C140" t="n">
        <x:v>0</x:v>
      </x:c>
      <x:c r="D140" t="n">
        <x:v>0</x:v>
      </x:c>
      <x:c r="E140" s="18" t="n">
        <x:v>0</x:v>
      </x:c>
      <x:c r="F140" s="18" t="n">
        <x:v>0</x:v>
      </x:c>
      <x:c r="G140" s="18" t="n">
        <x:v>0</x:v>
      </x:c>
      <x:c r="H140" s="18" t="n">
        <x:v>0</x:v>
      </x:c>
      <x:c r="I140" s="18" t="n">
        <x:v>0</x:v>
      </x:c>
      <x:c r="J140" t="n">
        <x:f>IF(A140=A139,IFERROR(IF(B140=EDATE(B139,1),C139,0),0),0)</x:f>
        <x:v>0</x:v>
      </x:c>
      <x:c r="K140" t="n">
        <x:f>IF(AND(J140=1,C140=0),1,0)</x:f>
        <x:v>0</x:v>
      </x:c>
      <x:c r="L140" t="str">
        <x:f>IFERROR(INDEX(Customers!$C$2:$C$451,MATCH(A140,Customers!$A$2:$A$451,0)),"Unknown")</x:f>
        <x:v>Plus</x:v>
      </x:c>
    </x:row>
    <x:row r="141">
      <x:c r="A141" t="n">
        <x:v>24</x:v>
      </x:c>
      <x:c r="B141" s="16" t="n">
        <x:v>46235</x:v>
      </x:c>
      <x:c r="C141" t="n">
        <x:v>1</x:v>
      </x:c>
      <x:c r="D141" t="n">
        <x:v>32</x:v>
      </x:c>
      <x:c r="E141" s="18" t="n">
        <x:v>3693.01</x:v>
      </x:c>
      <x:c r="F141" s="18" t="n">
        <x:v>8</x:v>
      </x:c>
      <x:c r="G141" s="18" t="n">
        <x:v>16.62</x:v>
      </x:c>
      <x:c r="H141" s="18" t="n">
        <x:v>7.34</x:v>
      </x:c>
      <x:c r="I141" s="18" t="n">
        <x:v>31.96</x:v>
      </x:c>
      <x:c r="J141" t="n">
        <x:f>IF(A141=A140,IFERROR(IF(B141=EDATE(B140,1),C140,0),0),0)</x:f>
        <x:v>0</x:v>
      </x:c>
      <x:c r="K141" t="n">
        <x:f>IF(AND(J141=1,C141=0),1,0)</x:f>
        <x:v>0</x:v>
      </x:c>
      <x:c r="L141" t="str">
        <x:f>IFERROR(INDEX(Customers!$C$2:$C$451,MATCH(A141,Customers!$A$2:$A$451,0)),"Unknown")</x:f>
        <x:v>Plus</x:v>
      </x:c>
    </x:row>
    <x:row r="142">
      <x:c r="A142" t="n">
        <x:v>24</x:v>
      </x:c>
      <x:c r="B142" s="16" t="n">
        <x:v>46266</x:v>
      </x:c>
      <x:c r="C142" t="n">
        <x:v>0</x:v>
      </x:c>
      <x:c r="D142" t="n">
        <x:v>0</x:v>
      </x:c>
      <x:c r="E142" s="18" t="n">
        <x:v>0</x:v>
      </x:c>
      <x:c r="F142" s="18" t="n">
        <x:v>0</x:v>
      </x:c>
      <x:c r="G142" s="18" t="n">
        <x:v>0</x:v>
      </x:c>
      <x:c r="H142" s="18" t="n">
        <x:v>0</x:v>
      </x:c>
      <x:c r="I142" s="18" t="n">
        <x:v>0</x:v>
      </x:c>
      <x:c r="J142" t="n">
        <x:f>IF(A142=A141,IFERROR(IF(B142=EDATE(B141,1),C141,0),0),0)</x:f>
        <x:v>1</x:v>
      </x:c>
      <x:c r="K142" t="n">
        <x:f>IF(AND(J142=1,C142=0),1,0)</x:f>
        <x:v>1</x:v>
      </x:c>
      <x:c r="L142" t="str">
        <x:f>IFERROR(INDEX(Customers!$C$2:$C$451,MATCH(A142,Customers!$A$2:$A$451,0)),"Unknown")</x:f>
        <x:v>Plus</x:v>
      </x:c>
    </x:row>
    <x:row r="143">
      <x:c r="A143" t="n">
        <x:v>25</x:v>
      </x:c>
      <x:c r="B143" s="16" t="n">
        <x:v>46113</x:v>
      </x:c>
      <x:c r="C143" t="n">
        <x:v>1</x:v>
      </x:c>
      <x:c r="D143" t="n">
        <x:v>4</x:v>
      </x:c>
      <x:c r="E143" s="18" t="n">
        <x:v>391.87</x:v>
      </x:c>
      <x:c r="F143" s="18" t="n">
        <x:v>0</x:v>
      </x:c>
      <x:c r="G143" s="18" t="n">
        <x:v>1.76</x:v>
      </x:c>
      <x:c r="H143" s="18" t="n">
        <x:v>0.34</x:v>
      </x:c>
      <x:c r="I143" s="18" t="n">
        <x:v>2.1</x:v>
      </x:c>
      <x:c r="J143" t="n">
        <x:f>IF(A143=A142,IFERROR(IF(B143=EDATE(B142,1),C142,0),0),0)</x:f>
        <x:v>0</x:v>
      </x:c>
      <x:c r="K143" t="n">
        <x:f>IF(AND(J143=1,C143=0),1,0)</x:f>
        <x:v>0</x:v>
      </x:c>
      <x:c r="L143" t="str">
        <x:f>IFERROR(INDEX(Customers!$C$2:$C$451,MATCH(A143,Customers!$A$2:$A$451,0)),"Unknown")</x:f>
        <x:v>Standard</x:v>
      </x:c>
    </x:row>
    <x:row r="144">
      <x:c r="A144" t="n">
        <x:v>25</x:v>
      </x:c>
      <x:c r="B144" s="16" t="n">
        <x:v>46143</x:v>
      </x:c>
      <x:c r="C144" t="n">
        <x:v>1</x:v>
      </x:c>
      <x:c r="D144" t="n">
        <x:v>28</x:v>
      </x:c>
      <x:c r="E144" s="18" t="n">
        <x:v>1907.73</x:v>
      </x:c>
      <x:c r="F144" s="18" t="n">
        <x:v>0</x:v>
      </x:c>
      <x:c r="G144" s="18" t="n">
        <x:v>8.58</x:v>
      </x:c>
      <x:c r="H144" s="18" t="n">
        <x:v>2.21</x:v>
      </x:c>
      <x:c r="I144" s="18" t="n">
        <x:v>10.79</x:v>
      </x:c>
      <x:c r="J144" t="n">
        <x:f>IF(A144=A143,IFERROR(IF(B144=EDATE(B143,1),C143,0),0),0)</x:f>
        <x:v>1</x:v>
      </x:c>
      <x:c r="K144" t="n">
        <x:f>IF(AND(J144=1,C144=0),1,0)</x:f>
        <x:v>0</x:v>
      </x:c>
      <x:c r="L144" t="str">
        <x:f>IFERROR(INDEX(Customers!$C$2:$C$451,MATCH(A144,Customers!$A$2:$A$451,0)),"Unknown")</x:f>
        <x:v>Standard</x:v>
      </x:c>
    </x:row>
    <x:row r="145">
      <x:c r="A145" t="n">
        <x:v>25</x:v>
      </x:c>
      <x:c r="B145" s="16" t="n">
        <x:v>46174</x:v>
      </x:c>
      <x:c r="C145" t="n">
        <x:v>1</x:v>
      </x:c>
      <x:c r="D145" t="n">
        <x:v>30</x:v>
      </x:c>
      <x:c r="E145" s="18" t="n">
        <x:v>2894.48</x:v>
      </x:c>
      <x:c r="F145" s="18" t="n">
        <x:v>0</x:v>
      </x:c>
      <x:c r="G145" s="18" t="n">
        <x:v>13.03</x:v>
      </x:c>
      <x:c r="H145" s="18" t="n">
        <x:v>8.56</x:v>
      </x:c>
      <x:c r="I145" s="18" t="n">
        <x:v>21.59</x:v>
      </x:c>
      <x:c r="J145" t="n">
        <x:f>IF(A145=A144,IFERROR(IF(B145=EDATE(B144,1),C144,0),0),0)</x:f>
        <x:v>1</x:v>
      </x:c>
      <x:c r="K145" t="n">
        <x:f>IF(AND(J145=1,C145=0),1,0)</x:f>
        <x:v>0</x:v>
      </x:c>
      <x:c r="L145" t="str">
        <x:f>IFERROR(INDEX(Customers!$C$2:$C$451,MATCH(A145,Customers!$A$2:$A$451,0)),"Unknown")</x:f>
        <x:v>Standard</x:v>
      </x:c>
    </x:row>
    <x:row r="146">
      <x:c r="A146" t="n">
        <x:v>25</x:v>
      </x:c>
      <x:c r="B146" s="16" t="n">
        <x:v>46204</x:v>
      </x:c>
      <x:c r="C146" t="n">
        <x:v>1</x:v>
      </x:c>
      <x:c r="D146" t="n">
        <x:v>7</x:v>
      </x:c>
      <x:c r="E146" s="18" t="n">
        <x:v>679.94</x:v>
      </x:c>
      <x:c r="F146" s="18" t="n">
        <x:v>0</x:v>
      </x:c>
      <x:c r="G146" s="18" t="n">
        <x:v>3.06</x:v>
      </x:c>
      <x:c r="H146" s="18" t="n">
        <x:v>0.84</x:v>
      </x:c>
      <x:c r="I146" s="18" t="n">
        <x:v>3.9</x:v>
      </x:c>
      <x:c r="J146" t="n">
        <x:f>IF(A146=A145,IFERROR(IF(B146=EDATE(B145,1),C145,0),0),0)</x:f>
        <x:v>1</x:v>
      </x:c>
      <x:c r="K146" t="n">
        <x:f>IF(AND(J146=1,C146=0),1,0)</x:f>
        <x:v>0</x:v>
      </x:c>
      <x:c r="L146" t="str">
        <x:f>IFERROR(INDEX(Customers!$C$2:$C$451,MATCH(A146,Customers!$A$2:$A$451,0)),"Unknown")</x:f>
        <x:v>Standard</x:v>
      </x:c>
    </x:row>
    <x:row r="147">
      <x:c r="A147" t="n">
        <x:v>25</x:v>
      </x:c>
      <x:c r="B147" s="16" t="n">
        <x:v>46235</x:v>
      </x:c>
      <x:c r="C147" t="n">
        <x:v>0</x:v>
      </x:c>
      <x:c r="D147" t="n">
        <x:v>0</x:v>
      </x:c>
      <x:c r="E147" s="18" t="n">
        <x:v>0</x:v>
      </x:c>
      <x:c r="F147" s="18" t="n">
        <x:v>0</x:v>
      </x:c>
      <x:c r="G147" s="18" t="n">
        <x:v>0</x:v>
      </x:c>
      <x:c r="H147" s="18" t="n">
        <x:v>0</x:v>
      </x:c>
      <x:c r="I147" s="18" t="n">
        <x:v>0</x:v>
      </x:c>
      <x:c r="J147" t="n">
        <x:f>IF(A147=A146,IFERROR(IF(B147=EDATE(B146,1),C146,0),0),0)</x:f>
        <x:v>1</x:v>
      </x:c>
      <x:c r="K147" t="n">
        <x:f>IF(AND(J147=1,C147=0),1,0)</x:f>
        <x:v>1</x:v>
      </x:c>
      <x:c r="L147" t="str">
        <x:f>IFERROR(INDEX(Customers!$C$2:$C$451,MATCH(A147,Customers!$A$2:$A$451,0)),"Unknown")</x:f>
        <x:v>Standard</x:v>
      </x:c>
    </x:row>
    <x:row r="148">
      <x:c r="A148" t="n">
        <x:v>25</x:v>
      </x:c>
      <x:c r="B148" s="16" t="n">
        <x:v>46266</x:v>
      </x:c>
      <x:c r="C148" t="n">
        <x:v>0</x:v>
      </x:c>
      <x:c r="D148" t="n">
        <x:v>0</x:v>
      </x:c>
      <x:c r="E148" s="18" t="n">
        <x:v>0</x:v>
      </x:c>
      <x:c r="F148" s="18" t="n">
        <x:v>0</x:v>
      </x:c>
      <x:c r="G148" s="18" t="n">
        <x:v>0</x:v>
      </x:c>
      <x:c r="H148" s="18" t="n">
        <x:v>0</x:v>
      </x:c>
      <x:c r="I148" s="18" t="n">
        <x:v>0</x:v>
      </x:c>
      <x:c r="J148" t="n">
        <x:f>IF(A148=A147,IFERROR(IF(B148=EDATE(B147,1),C147,0),0),0)</x:f>
        <x:v>0</x:v>
      </x:c>
      <x:c r="K148" t="n">
        <x:f>IF(AND(J148=1,C148=0),1,0)</x:f>
        <x:v>0</x:v>
      </x:c>
      <x:c r="L148" t="str">
        <x:f>IFERROR(INDEX(Customers!$C$2:$C$451,MATCH(A148,Customers!$A$2:$A$451,0)),"Unknown")</x:f>
        <x:v>Standard</x:v>
      </x:c>
    </x:row>
    <x:row r="149">
      <x:c r="A149" t="n">
        <x:v>26</x:v>
      </x:c>
      <x:c r="B149" s="16" t="n">
        <x:v>46174</x:v>
      </x:c>
      <x:c r="C149" t="n">
        <x:v>1</x:v>
      </x:c>
      <x:c r="D149" t="n">
        <x:v>22</x:v>
      </x:c>
      <x:c r="E149" s="18" t="n">
        <x:v>2718.45</x:v>
      </x:c>
      <x:c r="F149" s="18" t="n">
        <x:v>8</x:v>
      </x:c>
      <x:c r="G149" s="18" t="n">
        <x:v>12.23</x:v>
      </x:c>
      <x:c r="H149" s="18" t="n">
        <x:v>9.41</x:v>
      </x:c>
      <x:c r="I149" s="18" t="n">
        <x:v>29.64</x:v>
      </x:c>
      <x:c r="J149" t="n">
        <x:f>IF(A149=A148,IFERROR(IF(B149=EDATE(B148,1),C148,0),0),0)</x:f>
        <x:v>0</x:v>
      </x:c>
      <x:c r="K149" t="n">
        <x:f>IF(AND(J149=1,C149=0),1,0)</x:f>
        <x:v>0</x:v>
      </x:c>
      <x:c r="L149" t="str">
        <x:f>IFERROR(INDEX(Customers!$C$2:$C$451,MATCH(A149,Customers!$A$2:$A$451,0)),"Unknown")</x:f>
        <x:v>Plus</x:v>
      </x:c>
    </x:row>
    <x:row r="150">
      <x:c r="A150" t="n">
        <x:v>26</x:v>
      </x:c>
      <x:c r="B150" s="16" t="n">
        <x:v>46204</x:v>
      </x:c>
      <x:c r="C150" t="n">
        <x:v>1</x:v>
      </x:c>
      <x:c r="D150" t="n">
        <x:v>33</x:v>
      </x:c>
      <x:c r="E150" s="18" t="n">
        <x:v>3088.3</x:v>
      </x:c>
      <x:c r="F150" s="18" t="n">
        <x:v>8</x:v>
      </x:c>
      <x:c r="G150" s="18" t="n">
        <x:v>13.9</x:v>
      </x:c>
      <x:c r="H150" s="18" t="n">
        <x:v>9.65</x:v>
      </x:c>
      <x:c r="I150" s="18" t="n">
        <x:v>31.55</x:v>
      </x:c>
      <x:c r="J150" t="n">
        <x:f>IF(A150=A149,IFERROR(IF(B150=EDATE(B149,1),C149,0),0),0)</x:f>
        <x:v>1</x:v>
      </x:c>
      <x:c r="K150" t="n">
        <x:f>IF(AND(J150=1,C150=0),1,0)</x:f>
        <x:v>0</x:v>
      </x:c>
      <x:c r="L150" t="str">
        <x:f>IFERROR(INDEX(Customers!$C$2:$C$451,MATCH(A150,Customers!$A$2:$A$451,0)),"Unknown")</x:f>
        <x:v>Plus</x:v>
      </x:c>
    </x:row>
    <x:row r="151">
      <x:c r="A151" t="n">
        <x:v>26</x:v>
      </x:c>
      <x:c r="B151" s="16" t="n">
        <x:v>46235</x:v>
      </x:c>
      <x:c r="C151" t="n">
        <x:v>1</x:v>
      </x:c>
      <x:c r="D151" t="n">
        <x:v>9</x:v>
      </x:c>
      <x:c r="E151" s="18" t="n">
        <x:v>1152.33</x:v>
      </x:c>
      <x:c r="F151" s="18" t="n">
        <x:v>8</x:v>
      </x:c>
      <x:c r="G151" s="18" t="n">
        <x:v>5.19</x:v>
      </x:c>
      <x:c r="H151" s="18" t="n">
        <x:v>4.13</x:v>
      </x:c>
      <x:c r="I151" s="18" t="n">
        <x:v>17.32</x:v>
      </x:c>
      <x:c r="J151" t="n">
        <x:f>IF(A151=A150,IFERROR(IF(B151=EDATE(B150,1),C150,0),0),0)</x:f>
        <x:v>1</x:v>
      </x:c>
      <x:c r="K151" t="n">
        <x:f>IF(AND(J151=1,C151=0),1,0)</x:f>
        <x:v>0</x:v>
      </x:c>
      <x:c r="L151" t="str">
        <x:f>IFERROR(INDEX(Customers!$C$2:$C$451,MATCH(A151,Customers!$A$2:$A$451,0)),"Unknown")</x:f>
        <x:v>Plus</x:v>
      </x:c>
    </x:row>
    <x:row r="152">
      <x:c r="A152" t="n">
        <x:v>26</x:v>
      </x:c>
      <x:c r="B152" s="16" t="n">
        <x:v>46266</x:v>
      </x:c>
      <x:c r="C152" t="n">
        <x:v>1</x:v>
      </x:c>
      <x:c r="D152" t="n">
        <x:v>15</x:v>
      </x:c>
      <x:c r="E152" s="18" t="n">
        <x:v>884.21</x:v>
      </x:c>
      <x:c r="F152" s="18" t="n">
        <x:v>8</x:v>
      </x:c>
      <x:c r="G152" s="18" t="n">
        <x:v>3.98</x:v>
      </x:c>
      <x:c r="H152" s="18" t="n">
        <x:v>1.87</x:v>
      </x:c>
      <x:c r="I152" s="18" t="n">
        <x:v>13.85</x:v>
      </x:c>
      <x:c r="J152" t="n">
        <x:f>IF(A152=A151,IFERROR(IF(B152=EDATE(B151,1),C151,0),0),0)</x:f>
        <x:v>1</x:v>
      </x:c>
      <x:c r="K152" t="n">
        <x:f>IF(AND(J152=1,C152=0),1,0)</x:f>
        <x:v>0</x:v>
      </x:c>
      <x:c r="L152" t="str">
        <x:f>IFERROR(INDEX(Customers!$C$2:$C$451,MATCH(A152,Customers!$A$2:$A$451,0)),"Unknown")</x:f>
        <x:v>Plus</x:v>
      </x:c>
    </x:row>
    <x:row r="153">
      <x:c r="A153" t="n">
        <x:v>27</x:v>
      </x:c>
      <x:c r="B153" s="16" t="n">
        <x:v>46113</x:v>
      </x:c>
      <x:c r="C153" t="n">
        <x:v>0</x:v>
      </x:c>
      <x:c r="D153" t="n">
        <x:v>0</x:v>
      </x:c>
      <x:c r="E153" s="18" t="n">
        <x:v>0</x:v>
      </x:c>
      <x:c r="F153" s="18" t="n">
        <x:v>0</x:v>
      </x:c>
      <x:c r="G153" s="18" t="n">
        <x:v>0</x:v>
      </x:c>
      <x:c r="H153" s="18" t="n">
        <x:v>0</x:v>
      </x:c>
      <x:c r="I153" s="18" t="n">
        <x:v>0</x:v>
      </x:c>
      <x:c r="J153" t="n">
        <x:f>IF(A153=A152,IFERROR(IF(B153=EDATE(B152,1),C152,0),0),0)</x:f>
        <x:v>0</x:v>
      </x:c>
      <x:c r="K153" t="n">
        <x:f>IF(AND(J153=1,C153=0),1,0)</x:f>
        <x:v>0</x:v>
      </x:c>
      <x:c r="L153" t="str">
        <x:f>IFERROR(INDEX(Customers!$C$2:$C$451,MATCH(A153,Customers!$A$2:$A$451,0)),"Unknown")</x:f>
        <x:v>Standard</x:v>
      </x:c>
    </x:row>
    <x:row r="154">
      <x:c r="A154" t="n">
        <x:v>27</x:v>
      </x:c>
      <x:c r="B154" s="16" t="n">
        <x:v>46143</x:v>
      </x:c>
      <x:c r="C154" t="n">
        <x:v>1</x:v>
      </x:c>
      <x:c r="D154" t="n">
        <x:v>17</x:v>
      </x:c>
      <x:c r="E154" s="18" t="n">
        <x:v>1244.35</x:v>
      </x:c>
      <x:c r="F154" s="18" t="n">
        <x:v>0</x:v>
      </x:c>
      <x:c r="G154" s="18" t="n">
        <x:v>5.6</x:v>
      </x:c>
      <x:c r="H154" s="18" t="n">
        <x:v>1.33</x:v>
      </x:c>
      <x:c r="I154" s="18" t="n">
        <x:v>6.93</x:v>
      </x:c>
      <x:c r="J154" t="n">
        <x:f>IF(A154=A153,IFERROR(IF(B154=EDATE(B153,1),C153,0),0),0)</x:f>
        <x:v>0</x:v>
      </x:c>
      <x:c r="K154" t="n">
        <x:f>IF(AND(J154=1,C154=0),1,0)</x:f>
        <x:v>0</x:v>
      </x:c>
      <x:c r="L154" t="str">
        <x:f>IFERROR(INDEX(Customers!$C$2:$C$451,MATCH(A154,Customers!$A$2:$A$451,0)),"Unknown")</x:f>
        <x:v>Standard</x:v>
      </x:c>
    </x:row>
    <x:row r="155">
      <x:c r="A155" t="n">
        <x:v>27</x:v>
      </x:c>
      <x:c r="B155" s="16" t="n">
        <x:v>46174</x:v>
      </x:c>
      <x:c r="C155" t="n">
        <x:v>1</x:v>
      </x:c>
      <x:c r="D155" t="n">
        <x:v>34</x:v>
      </x:c>
      <x:c r="E155" s="18" t="n">
        <x:v>4020.45</x:v>
      </x:c>
      <x:c r="F155" s="18" t="n">
        <x:v>0</x:v>
      </x:c>
      <x:c r="G155" s="18" t="n">
        <x:v>18.09</x:v>
      </x:c>
      <x:c r="H155" s="18" t="n">
        <x:v>13.53</x:v>
      </x:c>
      <x:c r="I155" s="18" t="n">
        <x:v>31.62</x:v>
      </x:c>
      <x:c r="J155" t="n">
        <x:f>IF(A155=A154,IFERROR(IF(B155=EDATE(B154,1),C154,0),0),0)</x:f>
        <x:v>1</x:v>
      </x:c>
      <x:c r="K155" t="n">
        <x:f>IF(AND(J155=1,C155=0),1,0)</x:f>
        <x:v>0</x:v>
      </x:c>
      <x:c r="L155" t="str">
        <x:f>IFERROR(INDEX(Customers!$C$2:$C$451,MATCH(A155,Customers!$A$2:$A$451,0)),"Unknown")</x:f>
        <x:v>Standard</x:v>
      </x:c>
    </x:row>
    <x:row r="156">
      <x:c r="A156" t="n">
        <x:v>27</x:v>
      </x:c>
      <x:c r="B156" s="16" t="n">
        <x:v>46204</x:v>
      </x:c>
      <x:c r="C156" t="n">
        <x:v>1</x:v>
      </x:c>
      <x:c r="D156" t="n">
        <x:v>17</x:v>
      </x:c>
      <x:c r="E156" s="18" t="n">
        <x:v>1717.64</x:v>
      </x:c>
      <x:c r="F156" s="18" t="n">
        <x:v>0</x:v>
      </x:c>
      <x:c r="G156" s="18" t="n">
        <x:v>7.73</x:v>
      </x:c>
      <x:c r="H156" s="18" t="n">
        <x:v>4.73</x:v>
      </x:c>
      <x:c r="I156" s="18" t="n">
        <x:v>12.46</x:v>
      </x:c>
      <x:c r="J156" t="n">
        <x:f>IF(A156=A155,IFERROR(IF(B156=EDATE(B155,1),C155,0),0),0)</x:f>
        <x:v>1</x:v>
      </x:c>
      <x:c r="K156" t="n">
        <x:f>IF(AND(J156=1,C156=0),1,0)</x:f>
        <x:v>0</x:v>
      </x:c>
      <x:c r="L156" t="str">
        <x:f>IFERROR(INDEX(Customers!$C$2:$C$451,MATCH(A156,Customers!$A$2:$A$451,0)),"Unknown")</x:f>
        <x:v>Standard</x:v>
      </x:c>
    </x:row>
    <x:row r="157">
      <x:c r="A157" t="n">
        <x:v>27</x:v>
      </x:c>
      <x:c r="B157" s="16" t="n">
        <x:v>46235</x:v>
      </x:c>
      <x:c r="C157" t="n">
        <x:v>1</x:v>
      </x:c>
      <x:c r="D157" t="n">
        <x:v>20</x:v>
      </x:c>
      <x:c r="E157" s="18" t="n">
        <x:v>1479.04</x:v>
      </x:c>
      <x:c r="F157" s="18" t="n">
        <x:v>0</x:v>
      </x:c>
      <x:c r="G157" s="18" t="n">
        <x:v>6.66</x:v>
      </x:c>
      <x:c r="H157" s="18" t="n">
        <x:v>2.74</x:v>
      </x:c>
      <x:c r="I157" s="18" t="n">
        <x:v>9.4</x:v>
      </x:c>
      <x:c r="J157" t="n">
        <x:f>IF(A157=A156,IFERROR(IF(B157=EDATE(B156,1),C156,0),0),0)</x:f>
        <x:v>1</x:v>
      </x:c>
      <x:c r="K157" t="n">
        <x:f>IF(AND(J157=1,C157=0),1,0)</x:f>
        <x:v>0</x:v>
      </x:c>
      <x:c r="L157" t="str">
        <x:f>IFERROR(INDEX(Customers!$C$2:$C$451,MATCH(A157,Customers!$A$2:$A$451,0)),"Unknown")</x:f>
        <x:v>Standard</x:v>
      </x:c>
    </x:row>
    <x:row r="158">
      <x:c r="A158" t="n">
        <x:v>27</x:v>
      </x:c>
      <x:c r="B158" s="16" t="n">
        <x:v>46266</x:v>
      </x:c>
      <x:c r="C158" t="n">
        <x:v>0</x:v>
      </x:c>
      <x:c r="D158" t="n">
        <x:v>0</x:v>
      </x:c>
      <x:c r="E158" s="18" t="n">
        <x:v>0</x:v>
      </x:c>
      <x:c r="F158" s="18" t="n">
        <x:v>0</x:v>
      </x:c>
      <x:c r="G158" s="18" t="n">
        <x:v>0</x:v>
      </x:c>
      <x:c r="H158" s="18" t="n">
        <x:v>0</x:v>
      </x:c>
      <x:c r="I158" s="18" t="n">
        <x:v>0</x:v>
      </x:c>
      <x:c r="J158" t="n">
        <x:f>IF(A158=A157,IFERROR(IF(B158=EDATE(B157,1),C157,0),0),0)</x:f>
        <x:v>1</x:v>
      </x:c>
      <x:c r="K158" t="n">
        <x:f>IF(AND(J158=1,C158=0),1,0)</x:f>
        <x:v>1</x:v>
      </x:c>
      <x:c r="L158" t="str">
        <x:f>IFERROR(INDEX(Customers!$C$2:$C$451,MATCH(A158,Customers!$A$2:$A$451,0)),"Unknown")</x:f>
        <x:v>Standard</x:v>
      </x:c>
    </x:row>
    <x:row r="159">
      <x:c r="A159" t="n">
        <x:v>28</x:v>
      </x:c>
      <x:c r="B159" s="16" t="n">
        <x:v>46113</x:v>
      </x:c>
      <x:c r="C159" t="n">
        <x:v>1</x:v>
      </x:c>
      <x:c r="D159" t="n">
        <x:v>21</x:v>
      </x:c>
      <x:c r="E159" s="18" t="n">
        <x:v>775.21</x:v>
      </x:c>
      <x:c r="F159" s="18" t="n">
        <x:v>0</x:v>
      </x:c>
      <x:c r="G159" s="18" t="n">
        <x:v>3.49</x:v>
      </x:c>
      <x:c r="H159" s="18" t="n">
        <x:v>1.35</x:v>
      </x:c>
      <x:c r="I159" s="18" t="n">
        <x:v>4.84</x:v>
      </x:c>
      <x:c r="J159" t="n">
        <x:f>IF(A159=A158,IFERROR(IF(B159=EDATE(B158,1),C158,0),0),0)</x:f>
        <x:v>0</x:v>
      </x:c>
      <x:c r="K159" t="n">
        <x:f>IF(AND(J159=1,C159=0),1,0)</x:f>
        <x:v>0</x:v>
      </x:c>
      <x:c r="L159" t="str">
        <x:f>IFERROR(INDEX(Customers!$C$2:$C$451,MATCH(A159,Customers!$A$2:$A$451,0)),"Unknown")</x:f>
        <x:v>Standard</x:v>
      </x:c>
    </x:row>
    <x:row r="160">
      <x:c r="A160" t="n">
        <x:v>28</x:v>
      </x:c>
      <x:c r="B160" s="16" t="n">
        <x:v>46143</x:v>
      </x:c>
      <x:c r="C160" t="n">
        <x:v>1</x:v>
      </x:c>
      <x:c r="D160" t="n">
        <x:v>19</x:v>
      </x:c>
      <x:c r="E160" s="18" t="n">
        <x:v>1608.3</x:v>
      </x:c>
      <x:c r="F160" s="18" t="n">
        <x:v>0</x:v>
      </x:c>
      <x:c r="G160" s="18" t="n">
        <x:v>7.24</x:v>
      </x:c>
      <x:c r="H160" s="18" t="n">
        <x:v>3.33</x:v>
      </x:c>
      <x:c r="I160" s="18" t="n">
        <x:v>10.57</x:v>
      </x:c>
      <x:c r="J160" t="n">
        <x:f>IF(A160=A159,IFERROR(IF(B160=EDATE(B159,1),C159,0),0),0)</x:f>
        <x:v>1</x:v>
      </x:c>
      <x:c r="K160" t="n">
        <x:f>IF(AND(J160=1,C160=0),1,0)</x:f>
        <x:v>0</x:v>
      </x:c>
      <x:c r="L160" t="str">
        <x:f>IFERROR(INDEX(Customers!$C$2:$C$451,MATCH(A160,Customers!$A$2:$A$451,0)),"Unknown")</x:f>
        <x:v>Standard</x:v>
      </x:c>
    </x:row>
    <x:row r="161">
      <x:c r="A161" t="n">
        <x:v>28</x:v>
      </x:c>
      <x:c r="B161" s="16" t="n">
        <x:v>46174</x:v>
      </x:c>
      <x:c r="C161" t="n">
        <x:v>1</x:v>
      </x:c>
      <x:c r="D161" t="n">
        <x:v>28</x:v>
      </x:c>
      <x:c r="E161" s="18" t="n">
        <x:v>2018.82</x:v>
      </x:c>
      <x:c r="F161" s="18" t="n">
        <x:v>0</x:v>
      </x:c>
      <x:c r="G161" s="18" t="n">
        <x:v>9.08</x:v>
      </x:c>
      <x:c r="H161" s="18" t="n">
        <x:v>4.07</x:v>
      </x:c>
      <x:c r="I161" s="18" t="n">
        <x:v>13.15</x:v>
      </x:c>
      <x:c r="J161" t="n">
        <x:f>IF(A161=A160,IFERROR(IF(B161=EDATE(B160,1),C160,0),0),0)</x:f>
        <x:v>1</x:v>
      </x:c>
      <x:c r="K161" t="n">
        <x:f>IF(AND(J161=1,C161=0),1,0)</x:f>
        <x:v>0</x:v>
      </x:c>
      <x:c r="L161" t="str">
        <x:f>IFERROR(INDEX(Customers!$C$2:$C$451,MATCH(A161,Customers!$A$2:$A$451,0)),"Unknown")</x:f>
        <x:v>Standard</x:v>
      </x:c>
    </x:row>
    <x:row r="162">
      <x:c r="A162" t="n">
        <x:v>28</x:v>
      </x:c>
      <x:c r="B162" s="16" t="n">
        <x:v>46204</x:v>
      </x:c>
      <x:c r="C162" t="n">
        <x:v>0</x:v>
      </x:c>
      <x:c r="D162" t="n">
        <x:v>0</x:v>
      </x:c>
      <x:c r="E162" s="18" t="n">
        <x:v>0</x:v>
      </x:c>
      <x:c r="F162" s="18" t="n">
        <x:v>0</x:v>
      </x:c>
      <x:c r="G162" s="18" t="n">
        <x:v>0</x:v>
      </x:c>
      <x:c r="H162" s="18" t="n">
        <x:v>0</x:v>
      </x:c>
      <x:c r="I162" s="18" t="n">
        <x:v>0</x:v>
      </x:c>
      <x:c r="J162" t="n">
        <x:f>IF(A162=A161,IFERROR(IF(B162=EDATE(B161,1),C161,0),0),0)</x:f>
        <x:v>1</x:v>
      </x:c>
      <x:c r="K162" t="n">
        <x:f>IF(AND(J162=1,C162=0),1,0)</x:f>
        <x:v>1</x:v>
      </x:c>
      <x:c r="L162" t="str">
        <x:f>IFERROR(INDEX(Customers!$C$2:$C$451,MATCH(A162,Customers!$A$2:$A$451,0)),"Unknown")</x:f>
        <x:v>Standard</x:v>
      </x:c>
    </x:row>
    <x:row r="163">
      <x:c r="A163" t="n">
        <x:v>28</x:v>
      </x:c>
      <x:c r="B163" s="16" t="n">
        <x:v>46235</x:v>
      </x:c>
      <x:c r="C163" t="n">
        <x:v>1</x:v>
      </x:c>
      <x:c r="D163" t="n">
        <x:v>31</x:v>
      </x:c>
      <x:c r="E163" s="18" t="n">
        <x:v>3755.26</x:v>
      </x:c>
      <x:c r="F163" s="18" t="n">
        <x:v>0</x:v>
      </x:c>
      <x:c r="G163" s="18" t="n">
        <x:v>16.9</x:v>
      </x:c>
      <x:c r="H163" s="18" t="n">
        <x:v>10.63</x:v>
      </x:c>
      <x:c r="I163" s="18" t="n">
        <x:v>27.53</x:v>
      </x:c>
      <x:c r="J163" t="n">
        <x:f>IF(A163=A162,IFERROR(IF(B163=EDATE(B162,1),C162,0),0),0)</x:f>
        <x:v>0</x:v>
      </x:c>
      <x:c r="K163" t="n">
        <x:f>IF(AND(J163=1,C163=0),1,0)</x:f>
        <x:v>0</x:v>
      </x:c>
      <x:c r="L163" t="str">
        <x:f>IFERROR(INDEX(Customers!$C$2:$C$451,MATCH(A163,Customers!$A$2:$A$451,0)),"Unknown")</x:f>
        <x:v>Standard</x:v>
      </x:c>
    </x:row>
    <x:row r="164">
      <x:c r="A164" t="n">
        <x:v>28</x:v>
      </x:c>
      <x:c r="B164" s="16" t="n">
        <x:v>46266</x:v>
      </x:c>
      <x:c r="C164" t="n">
        <x:v>1</x:v>
      </x:c>
      <x:c r="D164" t="n">
        <x:v>34</x:v>
      </x:c>
      <x:c r="E164" s="18" t="n">
        <x:v>2867.42</x:v>
      </x:c>
      <x:c r="F164" s="18" t="n">
        <x:v>0</x:v>
      </x:c>
      <x:c r="G164" s="18" t="n">
        <x:v>12.9</x:v>
      </x:c>
      <x:c r="H164" s="18" t="n">
        <x:v>4.1</x:v>
      </x:c>
      <x:c r="I164" s="18" t="n">
        <x:v>17</x:v>
      </x:c>
      <x:c r="J164" t="n">
        <x:f>IF(A164=A163,IFERROR(IF(B164=EDATE(B163,1),C163,0),0),0)</x:f>
        <x:v>1</x:v>
      </x:c>
      <x:c r="K164" t="n">
        <x:f>IF(AND(J164=1,C164=0),1,0)</x:f>
        <x:v>0</x:v>
      </x:c>
      <x:c r="L164" t="str">
        <x:f>IFERROR(INDEX(Customers!$C$2:$C$451,MATCH(A164,Customers!$A$2:$A$451,0)),"Unknown")</x:f>
        <x:v>Standard</x:v>
      </x:c>
    </x:row>
    <x:row r="165">
      <x:c r="A165" t="n">
        <x:v>29</x:v>
      </x:c>
      <x:c r="B165" s="16" t="n">
        <x:v>46113</x:v>
      </x:c>
      <x:c r="C165" t="n">
        <x:v>1</x:v>
      </x:c>
      <x:c r="D165" t="n">
        <x:v>13</x:v>
      </x:c>
      <x:c r="E165" s="18" t="n">
        <x:v>1164.1</x:v>
      </x:c>
      <x:c r="F165" s="18" t="n">
        <x:v>0</x:v>
      </x:c>
      <x:c r="G165" s="18" t="n">
        <x:v>5.24</x:v>
      </x:c>
      <x:c r="H165" s="18" t="n">
        <x:v>3.57</x:v>
      </x:c>
      <x:c r="I165" s="18" t="n">
        <x:v>8.81</x:v>
      </x:c>
      <x:c r="J165" t="n">
        <x:f>IF(A165=A164,IFERROR(IF(B165=EDATE(B164,1),C164,0),0),0)</x:f>
        <x:v>0</x:v>
      </x:c>
      <x:c r="K165" t="n">
        <x:f>IF(AND(J165=1,C165=0),1,0)</x:f>
        <x:v>0</x:v>
      </x:c>
      <x:c r="L165" t="str">
        <x:f>IFERROR(INDEX(Customers!$C$2:$C$451,MATCH(A165,Customers!$A$2:$A$451,0)),"Unknown")</x:f>
        <x:v>Standard</x:v>
      </x:c>
    </x:row>
    <x:row r="166">
      <x:c r="A166" t="n">
        <x:v>29</x:v>
      </x:c>
      <x:c r="B166" s="16" t="n">
        <x:v>46143</x:v>
      </x:c>
      <x:c r="C166" t="n">
        <x:v>1</x:v>
      </x:c>
      <x:c r="D166" t="n">
        <x:v>11</x:v>
      </x:c>
      <x:c r="E166" s="18" t="n">
        <x:v>587.67</x:v>
      </x:c>
      <x:c r="F166" s="18" t="n">
        <x:v>0</x:v>
      </x:c>
      <x:c r="G166" s="18" t="n">
        <x:v>2.64</x:v>
      </x:c>
      <x:c r="H166" s="18" t="n">
        <x:v>1.96</x:v>
      </x:c>
      <x:c r="I166" s="18" t="n">
        <x:v>4.6</x:v>
      </x:c>
      <x:c r="J166" t="n">
        <x:f>IF(A166=A165,IFERROR(IF(B166=EDATE(B165,1),C165,0),0),0)</x:f>
        <x:v>1</x:v>
      </x:c>
      <x:c r="K166" t="n">
        <x:f>IF(AND(J166=1,C166=0),1,0)</x:f>
        <x:v>0</x:v>
      </x:c>
      <x:c r="L166" t="str">
        <x:f>IFERROR(INDEX(Customers!$C$2:$C$451,MATCH(A166,Customers!$A$2:$A$451,0)),"Unknown")</x:f>
        <x:v>Standard</x:v>
      </x:c>
    </x:row>
    <x:row r="167">
      <x:c r="A167" t="n">
        <x:v>29</x:v>
      </x:c>
      <x:c r="B167" s="16" t="n">
        <x:v>46174</x:v>
      </x:c>
      <x:c r="C167" t="n">
        <x:v>1</x:v>
      </x:c>
      <x:c r="D167" t="n">
        <x:v>30</x:v>
      </x:c>
      <x:c r="E167" s="18" t="n">
        <x:v>2678.78</x:v>
      </x:c>
      <x:c r="F167" s="18" t="n">
        <x:v>0</x:v>
      </x:c>
      <x:c r="G167" s="18" t="n">
        <x:v>12.05</x:v>
      </x:c>
      <x:c r="H167" s="18" t="n">
        <x:v>4.42</x:v>
      </x:c>
      <x:c r="I167" s="18" t="n">
        <x:v>16.47</x:v>
      </x:c>
      <x:c r="J167" t="n">
        <x:f>IF(A167=A166,IFERROR(IF(B167=EDATE(B166,1),C166,0),0),0)</x:f>
        <x:v>1</x:v>
      </x:c>
      <x:c r="K167" t="n">
        <x:f>IF(AND(J167=1,C167=0),1,0)</x:f>
        <x:v>0</x:v>
      </x:c>
      <x:c r="L167" t="str">
        <x:f>IFERROR(INDEX(Customers!$C$2:$C$451,MATCH(A167,Customers!$A$2:$A$451,0)),"Unknown")</x:f>
        <x:v>Standard</x:v>
      </x:c>
    </x:row>
    <x:row r="168">
      <x:c r="A168" t="n">
        <x:v>29</x:v>
      </x:c>
      <x:c r="B168" s="16" t="n">
        <x:v>46204</x:v>
      </x:c>
      <x:c r="C168" t="n">
        <x:v>1</x:v>
      </x:c>
      <x:c r="D168" t="n">
        <x:v>23</x:v>
      </x:c>
      <x:c r="E168" s="18" t="n">
        <x:v>2293.58</x:v>
      </x:c>
      <x:c r="F168" s="18" t="n">
        <x:v>0</x:v>
      </x:c>
      <x:c r="G168" s="18" t="n">
        <x:v>10.32</x:v>
      </x:c>
      <x:c r="H168" s="18" t="n">
        <x:v>2.19</x:v>
      </x:c>
      <x:c r="I168" s="18" t="n">
        <x:v>12.51</x:v>
      </x:c>
      <x:c r="J168" t="n">
        <x:f>IF(A168=A167,IFERROR(IF(B168=EDATE(B167,1),C167,0),0),0)</x:f>
        <x:v>1</x:v>
      </x:c>
      <x:c r="K168" t="n">
        <x:f>IF(AND(J168=1,C168=0),1,0)</x:f>
        <x:v>0</x:v>
      </x:c>
      <x:c r="L168" t="str">
        <x:f>IFERROR(INDEX(Customers!$C$2:$C$451,MATCH(A168,Customers!$A$2:$A$451,0)),"Unknown")</x:f>
        <x:v>Standard</x:v>
      </x:c>
    </x:row>
    <x:row r="169">
      <x:c r="A169" t="n">
        <x:v>29</x:v>
      </x:c>
      <x:c r="B169" s="16" t="n">
        <x:v>46235</x:v>
      </x:c>
      <x:c r="C169" t="n">
        <x:v>1</x:v>
      </x:c>
      <x:c r="D169" t="n">
        <x:v>7</x:v>
      </x:c>
      <x:c r="E169" s="18" t="n">
        <x:v>820.31</x:v>
      </x:c>
      <x:c r="F169" s="18" t="n">
        <x:v>0</x:v>
      </x:c>
      <x:c r="G169" s="18" t="n">
        <x:v>3.69</x:v>
      </x:c>
      <x:c r="H169" s="18" t="n">
        <x:v>2.52</x:v>
      </x:c>
      <x:c r="I169" s="18" t="n">
        <x:v>6.21</x:v>
      </x:c>
      <x:c r="J169" t="n">
        <x:f>IF(A169=A168,IFERROR(IF(B169=EDATE(B168,1),C168,0),0),0)</x:f>
        <x:v>1</x:v>
      </x:c>
      <x:c r="K169" t="n">
        <x:f>IF(AND(J169=1,C169=0),1,0)</x:f>
        <x:v>0</x:v>
      </x:c>
      <x:c r="L169" t="str">
        <x:f>IFERROR(INDEX(Customers!$C$2:$C$451,MATCH(A169,Customers!$A$2:$A$451,0)),"Unknown")</x:f>
        <x:v>Standard</x:v>
      </x:c>
    </x:row>
    <x:row r="170">
      <x:c r="A170" t="n">
        <x:v>29</x:v>
      </x:c>
      <x:c r="B170" s="16" t="n">
        <x:v>46266</x:v>
      </x:c>
      <x:c r="C170" t="n">
        <x:v>1</x:v>
      </x:c>
      <x:c r="D170" t="n">
        <x:v>25</x:v>
      </x:c>
      <x:c r="E170" s="18" t="n">
        <x:v>3465.53</x:v>
      </x:c>
      <x:c r="F170" s="18" t="n">
        <x:v>0</x:v>
      </x:c>
      <x:c r="G170" s="18" t="n">
        <x:v>15.59</x:v>
      </x:c>
      <x:c r="H170" s="18" t="n">
        <x:v>9.1</x:v>
      </x:c>
      <x:c r="I170" s="18" t="n">
        <x:v>24.69</x:v>
      </x:c>
      <x:c r="J170" t="n">
        <x:f>IF(A170=A169,IFERROR(IF(B170=EDATE(B169,1),C169,0),0),0)</x:f>
        <x:v>1</x:v>
      </x:c>
      <x:c r="K170" t="n">
        <x:f>IF(AND(J170=1,C170=0),1,0)</x:f>
        <x:v>0</x:v>
      </x:c>
      <x:c r="L170" t="str">
        <x:f>IFERROR(INDEX(Customers!$C$2:$C$451,MATCH(A170,Customers!$A$2:$A$451,0)),"Unknown")</x:f>
        <x:v>Standard</x:v>
      </x:c>
    </x:row>
    <x:row r="171">
      <x:c r="A171" t="n">
        <x:v>30</x:v>
      </x:c>
      <x:c r="B171" s="16" t="n">
        <x:v>46143</x:v>
      </x:c>
      <x:c r="C171" t="n">
        <x:v>0</x:v>
      </x:c>
      <x:c r="D171" t="n">
        <x:v>0</x:v>
      </x:c>
      <x:c r="E171" s="18" t="n">
        <x:v>0</x:v>
      </x:c>
      <x:c r="F171" s="18" t="n">
        <x:v>0</x:v>
      </x:c>
      <x:c r="G171" s="18" t="n">
        <x:v>0</x:v>
      </x:c>
      <x:c r="H171" s="18" t="n">
        <x:v>0</x:v>
      </x:c>
      <x:c r="I171" s="18" t="n">
        <x:v>0</x:v>
      </x:c>
      <x:c r="J171" t="n">
        <x:f>IF(A171=A170,IFERROR(IF(B171=EDATE(B170,1),C170,0),0),0)</x:f>
        <x:v>0</x:v>
      </x:c>
      <x:c r="K171" t="n">
        <x:f>IF(AND(J171=1,C171=0),1,0)</x:f>
        <x:v>0</x:v>
      </x:c>
      <x:c r="L171" t="str">
        <x:f>IFERROR(INDEX(Customers!$C$2:$C$451,MATCH(A171,Customers!$A$2:$A$451,0)),"Unknown")</x:f>
        <x:v>Premium</x:v>
      </x:c>
    </x:row>
    <x:row r="172">
      <x:c r="A172" t="n">
        <x:v>30</x:v>
      </x:c>
      <x:c r="B172" s="16" t="n">
        <x:v>46174</x:v>
      </x:c>
      <x:c r="C172" t="n">
        <x:v>0</x:v>
      </x:c>
      <x:c r="D172" t="n">
        <x:v>0</x:v>
      </x:c>
      <x:c r="E172" s="18" t="n">
        <x:v>0</x:v>
      </x:c>
      <x:c r="F172" s="18" t="n">
        <x:v>0</x:v>
      </x:c>
      <x:c r="G172" s="18" t="n">
        <x:v>0</x:v>
      </x:c>
      <x:c r="H172" s="18" t="n">
        <x:v>0</x:v>
      </x:c>
      <x:c r="I172" s="18" t="n">
        <x:v>0</x:v>
      </x:c>
      <x:c r="J172" t="n">
        <x:f>IF(A172=A171,IFERROR(IF(B172=EDATE(B171,1),C171,0),0),0)</x:f>
        <x:v>0</x:v>
      </x:c>
      <x:c r="K172" t="n">
        <x:f>IF(AND(J172=1,C172=0),1,0)</x:f>
        <x:v>0</x:v>
      </x:c>
      <x:c r="L172" t="str">
        <x:f>IFERROR(INDEX(Customers!$C$2:$C$451,MATCH(A172,Customers!$A$2:$A$451,0)),"Unknown")</x:f>
        <x:v>Premium</x:v>
      </x:c>
    </x:row>
    <x:row r="173">
      <x:c r="A173" t="n">
        <x:v>30</x:v>
      </x:c>
      <x:c r="B173" s="16" t="n">
        <x:v>46204</x:v>
      </x:c>
      <x:c r="C173" t="n">
        <x:v>1</x:v>
      </x:c>
      <x:c r="D173" t="n">
        <x:v>33</x:v>
      </x:c>
      <x:c r="E173" s="18" t="n">
        <x:v>3184.25</x:v>
      </x:c>
      <x:c r="F173" s="18" t="n">
        <x:v>17</x:v>
      </x:c>
      <x:c r="G173" s="18" t="n">
        <x:v>14.33</x:v>
      </x:c>
      <x:c r="H173" s="18" t="n">
        <x:v>4.96</x:v>
      </x:c>
      <x:c r="I173" s="18" t="n">
        <x:v>36.29</x:v>
      </x:c>
      <x:c r="J173" t="n">
        <x:f>IF(A173=A172,IFERROR(IF(B173=EDATE(B172,1),C172,0),0),0)</x:f>
        <x:v>0</x:v>
      </x:c>
      <x:c r="K173" t="n">
        <x:f>IF(AND(J173=1,C173=0),1,0)</x:f>
        <x:v>0</x:v>
      </x:c>
      <x:c r="L173" t="str">
        <x:f>IFERROR(INDEX(Customers!$C$2:$C$451,MATCH(A173,Customers!$A$2:$A$451,0)),"Unknown")</x:f>
        <x:v>Premium</x:v>
      </x:c>
    </x:row>
    <x:row r="174">
      <x:c r="A174" t="n">
        <x:v>30</x:v>
      </x:c>
      <x:c r="B174" s="16" t="n">
        <x:v>46235</x:v>
      </x:c>
      <x:c r="C174" t="n">
        <x:v>1</x:v>
      </x:c>
      <x:c r="D174" t="n">
        <x:v>32</x:v>
      </x:c>
      <x:c r="E174" s="18" t="n">
        <x:v>1475.68</x:v>
      </x:c>
      <x:c r="F174" s="18" t="n">
        <x:v>17</x:v>
      </x:c>
      <x:c r="G174" s="18" t="n">
        <x:v>6.64</x:v>
      </x:c>
      <x:c r="H174" s="18" t="n">
        <x:v>2.29</x:v>
      </x:c>
      <x:c r="I174" s="18" t="n">
        <x:v>25.93</x:v>
      </x:c>
      <x:c r="J174" t="n">
        <x:f>IF(A174=A173,IFERROR(IF(B174=EDATE(B173,1),C173,0),0),0)</x:f>
        <x:v>1</x:v>
      </x:c>
      <x:c r="K174" t="n">
        <x:f>IF(AND(J174=1,C174=0),1,0)</x:f>
        <x:v>0</x:v>
      </x:c>
      <x:c r="L174" t="str">
        <x:f>IFERROR(INDEX(Customers!$C$2:$C$451,MATCH(A174,Customers!$A$2:$A$451,0)),"Unknown")</x:f>
        <x:v>Premium</x:v>
      </x:c>
    </x:row>
    <x:row r="175">
      <x:c r="A175" t="n">
        <x:v>30</x:v>
      </x:c>
      <x:c r="B175" s="16" t="n">
        <x:v>46266</x:v>
      </x:c>
      <x:c r="C175" t="n">
        <x:v>1</x:v>
      </x:c>
      <x:c r="D175" t="n">
        <x:v>21</x:v>
      </x:c>
      <x:c r="E175" s="18" t="n">
        <x:v>1334.69</x:v>
      </x:c>
      <x:c r="F175" s="18" t="n">
        <x:v>17</x:v>
      </x:c>
      <x:c r="G175" s="18" t="n">
        <x:v>6.01</x:v>
      </x:c>
      <x:c r="H175" s="18" t="n">
        <x:v>2.7</x:v>
      </x:c>
      <x:c r="I175" s="18" t="n">
        <x:v>25.71</x:v>
      </x:c>
      <x:c r="J175" t="n">
        <x:f>IF(A175=A174,IFERROR(IF(B175=EDATE(B174,1),C174,0),0),0)</x:f>
        <x:v>1</x:v>
      </x:c>
      <x:c r="K175" t="n">
        <x:f>IF(AND(J175=1,C175=0),1,0)</x:f>
        <x:v>0</x:v>
      </x:c>
      <x:c r="L175" t="str">
        <x:f>IFERROR(INDEX(Customers!$C$2:$C$451,MATCH(A175,Customers!$A$2:$A$451,0)),"Unknown")</x:f>
        <x:v>Premium</x:v>
      </x:c>
    </x:row>
    <x:row r="176">
      <x:c r="A176" t="n">
        <x:v>31</x:v>
      </x:c>
      <x:c r="B176" s="16" t="n">
        <x:v>46113</x:v>
      </x:c>
      <x:c r="C176" t="n">
        <x:v>1</x:v>
      </x:c>
      <x:c r="D176" t="n">
        <x:v>17</x:v>
      </x:c>
      <x:c r="E176" s="18" t="n">
        <x:v>1745.76</x:v>
      </x:c>
      <x:c r="F176" s="18" t="n">
        <x:v>0</x:v>
      </x:c>
      <x:c r="G176" s="18" t="n">
        <x:v>7.86</x:v>
      </x:c>
      <x:c r="H176" s="18" t="n">
        <x:v>6.55</x:v>
      </x:c>
      <x:c r="I176" s="18" t="n">
        <x:v>14.41</x:v>
      </x:c>
      <x:c r="J176" t="n">
        <x:f>IF(A176=A175,IFERROR(IF(B176=EDATE(B175,1),C175,0),0),0)</x:f>
        <x:v>0</x:v>
      </x:c>
      <x:c r="K176" t="n">
        <x:f>IF(AND(J176=1,C176=0),1,0)</x:f>
        <x:v>0</x:v>
      </x:c>
      <x:c r="L176" t="str">
        <x:f>IFERROR(INDEX(Customers!$C$2:$C$451,MATCH(A176,Customers!$A$2:$A$451,0)),"Unknown")</x:f>
        <x:v>Standard</x:v>
      </x:c>
    </x:row>
    <x:row r="177">
      <x:c r="A177" t="n">
        <x:v>31</x:v>
      </x:c>
      <x:c r="B177" s="16" t="n">
        <x:v>46143</x:v>
      </x:c>
      <x:c r="C177" t="n">
        <x:v>1</x:v>
      </x:c>
      <x:c r="D177" t="n">
        <x:v>17</x:v>
      </x:c>
      <x:c r="E177" s="18" t="n">
        <x:v>1442.08</x:v>
      </x:c>
      <x:c r="F177" s="18" t="n">
        <x:v>0</x:v>
      </x:c>
      <x:c r="G177" s="18" t="n">
        <x:v>6.49</x:v>
      </x:c>
      <x:c r="H177" s="18" t="n">
        <x:v>2.39</x:v>
      </x:c>
      <x:c r="I177" s="18" t="n">
        <x:v>8.88</x:v>
      </x:c>
      <x:c r="J177" t="n">
        <x:f>IF(A177=A176,IFERROR(IF(B177=EDATE(B176,1),C176,0),0),0)</x:f>
        <x:v>1</x:v>
      </x:c>
      <x:c r="K177" t="n">
        <x:f>IF(AND(J177=1,C177=0),1,0)</x:f>
        <x:v>0</x:v>
      </x:c>
      <x:c r="L177" t="str">
        <x:f>IFERROR(INDEX(Customers!$C$2:$C$451,MATCH(A177,Customers!$A$2:$A$451,0)),"Unknown")</x:f>
        <x:v>Standard</x:v>
      </x:c>
    </x:row>
    <x:row r="178">
      <x:c r="A178" t="n">
        <x:v>31</x:v>
      </x:c>
      <x:c r="B178" s="16" t="n">
        <x:v>46174</x:v>
      </x:c>
      <x:c r="C178" t="n">
        <x:v>1</x:v>
      </x:c>
      <x:c r="D178" t="n">
        <x:v>30</x:v>
      </x:c>
      <x:c r="E178" s="18" t="n">
        <x:v>2619.44</x:v>
      </x:c>
      <x:c r="F178" s="18" t="n">
        <x:v>0</x:v>
      </x:c>
      <x:c r="G178" s="18" t="n">
        <x:v>11.79</x:v>
      </x:c>
      <x:c r="H178" s="18" t="n">
        <x:v>2.31</x:v>
      </x:c>
      <x:c r="I178" s="18" t="n">
        <x:v>14.1</x:v>
      </x:c>
      <x:c r="J178" t="n">
        <x:f>IF(A178=A177,IFERROR(IF(B178=EDATE(B177,1),C177,0),0),0)</x:f>
        <x:v>1</x:v>
      </x:c>
      <x:c r="K178" t="n">
        <x:f>IF(AND(J178=1,C178=0),1,0)</x:f>
        <x:v>0</x:v>
      </x:c>
      <x:c r="L178" t="str">
        <x:f>IFERROR(INDEX(Customers!$C$2:$C$451,MATCH(A178,Customers!$A$2:$A$451,0)),"Unknown")</x:f>
        <x:v>Standard</x:v>
      </x:c>
    </x:row>
    <x:row r="179">
      <x:c r="A179" t="n">
        <x:v>31</x:v>
      </x:c>
      <x:c r="B179" s="16" t="n">
        <x:v>46204</x:v>
      </x:c>
      <x:c r="C179" t="n">
        <x:v>1</x:v>
      </x:c>
      <x:c r="D179" t="n">
        <x:v>13</x:v>
      </x:c>
      <x:c r="E179" s="18" t="n">
        <x:v>1021.45</x:v>
      </x:c>
      <x:c r="F179" s="18" t="n">
        <x:v>0</x:v>
      </x:c>
      <x:c r="G179" s="18" t="n">
        <x:v>4.6</x:v>
      </x:c>
      <x:c r="H179" s="18" t="n">
        <x:v>1.88</x:v>
      </x:c>
      <x:c r="I179" s="18" t="n">
        <x:v>6.48</x:v>
      </x:c>
      <x:c r="J179" t="n">
        <x:f>IF(A179=A178,IFERROR(IF(B179=EDATE(B178,1),C178,0),0),0)</x:f>
        <x:v>1</x:v>
      </x:c>
      <x:c r="K179" t="n">
        <x:f>IF(AND(J179=1,C179=0),1,0)</x:f>
        <x:v>0</x:v>
      </x:c>
      <x:c r="L179" t="str">
        <x:f>IFERROR(INDEX(Customers!$C$2:$C$451,MATCH(A179,Customers!$A$2:$A$451,0)),"Unknown")</x:f>
        <x:v>Standard</x:v>
      </x:c>
    </x:row>
    <x:row r="180">
      <x:c r="A180" t="n">
        <x:v>31</x:v>
      </x:c>
      <x:c r="B180" s="16" t="n">
        <x:v>46235</x:v>
      </x:c>
      <x:c r="C180" t="n">
        <x:v>0</x:v>
      </x:c>
      <x:c r="D180" t="n">
        <x:v>0</x:v>
      </x:c>
      <x:c r="E180" s="18" t="n">
        <x:v>0</x:v>
      </x:c>
      <x:c r="F180" s="18" t="n">
        <x:v>0</x:v>
      </x:c>
      <x:c r="G180" s="18" t="n">
        <x:v>0</x:v>
      </x:c>
      <x:c r="H180" s="18" t="n">
        <x:v>0</x:v>
      </x:c>
      <x:c r="I180" s="18" t="n">
        <x:v>0</x:v>
      </x:c>
      <x:c r="J180" t="n">
        <x:f>IF(A180=A179,IFERROR(IF(B180=EDATE(B179,1),C179,0),0),0)</x:f>
        <x:v>1</x:v>
      </x:c>
      <x:c r="K180" t="n">
        <x:f>IF(AND(J180=1,C180=0),1,0)</x:f>
        <x:v>1</x:v>
      </x:c>
      <x:c r="L180" t="str">
        <x:f>IFERROR(INDEX(Customers!$C$2:$C$451,MATCH(A180,Customers!$A$2:$A$451,0)),"Unknown")</x:f>
        <x:v>Standard</x:v>
      </x:c>
    </x:row>
    <x:row r="181">
      <x:c r="A181" t="n">
        <x:v>31</x:v>
      </x:c>
      <x:c r="B181" s="16" t="n">
        <x:v>46266</x:v>
      </x:c>
      <x:c r="C181" t="n">
        <x:v>1</x:v>
      </x:c>
      <x:c r="D181" t="n">
        <x:v>24</x:v>
      </x:c>
      <x:c r="E181" s="18" t="n">
        <x:v>2164.68</x:v>
      </x:c>
      <x:c r="F181" s="18" t="n">
        <x:v>0</x:v>
      </x:c>
      <x:c r="G181" s="18" t="n">
        <x:v>9.74</x:v>
      </x:c>
      <x:c r="H181" s="18" t="n">
        <x:v>7.71</x:v>
      </x:c>
      <x:c r="I181" s="18" t="n">
        <x:v>17.45</x:v>
      </x:c>
      <x:c r="J181" t="n">
        <x:f>IF(A181=A180,IFERROR(IF(B181=EDATE(B180,1),C180,0),0),0)</x:f>
        <x:v>0</x:v>
      </x:c>
      <x:c r="K181" t="n">
        <x:f>IF(AND(J181=1,C181=0),1,0)</x:f>
        <x:v>0</x:v>
      </x:c>
      <x:c r="L181" t="str">
        <x:f>IFERROR(INDEX(Customers!$C$2:$C$451,MATCH(A181,Customers!$A$2:$A$451,0)),"Unknown")</x:f>
        <x:v>Standard</x:v>
      </x:c>
    </x:row>
    <x:row r="182">
      <x:c r="A182" t="n">
        <x:v>32</x:v>
      </x:c>
      <x:c r="B182" s="16" t="n">
        <x:v>46143</x:v>
      </x:c>
      <x:c r="C182" t="n">
        <x:v>0</x:v>
      </x:c>
      <x:c r="D182" t="n">
        <x:v>0</x:v>
      </x:c>
      <x:c r="E182" s="18" t="n">
        <x:v>0</x:v>
      </x:c>
      <x:c r="F182" s="18" t="n">
        <x:v>0</x:v>
      </x:c>
      <x:c r="G182" s="18" t="n">
        <x:v>0</x:v>
      </x:c>
      <x:c r="H182" s="18" t="n">
        <x:v>0</x:v>
      </x:c>
      <x:c r="I182" s="18" t="n">
        <x:v>0</x:v>
      </x:c>
      <x:c r="J182" t="n">
        <x:f>IF(A182=A181,IFERROR(IF(B182=EDATE(B181,1),C181,0),0),0)</x:f>
        <x:v>0</x:v>
      </x:c>
      <x:c r="K182" t="n">
        <x:f>IF(AND(J182=1,C182=0),1,0)</x:f>
        <x:v>0</x:v>
      </x:c>
      <x:c r="L182" t="str">
        <x:f>IFERROR(INDEX(Customers!$C$2:$C$451,MATCH(A182,Customers!$A$2:$A$451,0)),"Unknown")</x:f>
        <x:v>Standard</x:v>
      </x:c>
    </x:row>
    <x:row r="183">
      <x:c r="A183" t="n">
        <x:v>32</x:v>
      </x:c>
      <x:c r="B183" s="16" t="n">
        <x:v>46174</x:v>
      </x:c>
      <x:c r="C183" t="n">
        <x:v>1</x:v>
      </x:c>
      <x:c r="D183" t="n">
        <x:v>11</x:v>
      </x:c>
      <x:c r="E183" s="18" t="n">
        <x:v>504.08</x:v>
      </x:c>
      <x:c r="F183" s="18" t="n">
        <x:v>0</x:v>
      </x:c>
      <x:c r="G183" s="18" t="n">
        <x:v>2.27</x:v>
      </x:c>
      <x:c r="H183" s="18" t="n">
        <x:v>1.55</x:v>
      </x:c>
      <x:c r="I183" s="18" t="n">
        <x:v>3.82</x:v>
      </x:c>
      <x:c r="J183" t="n">
        <x:f>IF(A183=A182,IFERROR(IF(B183=EDATE(B182,1),C182,0),0),0)</x:f>
        <x:v>0</x:v>
      </x:c>
      <x:c r="K183" t="n">
        <x:f>IF(AND(J183=1,C183=0),1,0)</x:f>
        <x:v>0</x:v>
      </x:c>
      <x:c r="L183" t="str">
        <x:f>IFERROR(INDEX(Customers!$C$2:$C$451,MATCH(A183,Customers!$A$2:$A$451,0)),"Unknown")</x:f>
        <x:v>Standard</x:v>
      </x:c>
    </x:row>
    <x:row r="184">
      <x:c r="A184" t="n">
        <x:v>32</x:v>
      </x:c>
      <x:c r="B184" s="16" t="n">
        <x:v>46204</x:v>
      </x:c>
      <x:c r="C184" t="n">
        <x:v>1</x:v>
      </x:c>
      <x:c r="D184" t="n">
        <x:v>13</x:v>
      </x:c>
      <x:c r="E184" s="18" t="n">
        <x:v>471.13</x:v>
      </x:c>
      <x:c r="F184" s="18" t="n">
        <x:v>0</x:v>
      </x:c>
      <x:c r="G184" s="18" t="n">
        <x:v>2.12</x:v>
      </x:c>
      <x:c r="H184" s="18" t="n">
        <x:v>1.64</x:v>
      </x:c>
      <x:c r="I184" s="18" t="n">
        <x:v>3.76</x:v>
      </x:c>
      <x:c r="J184" t="n">
        <x:f>IF(A184=A183,IFERROR(IF(B184=EDATE(B183,1),C183,0),0),0)</x:f>
        <x:v>1</x:v>
      </x:c>
      <x:c r="K184" t="n">
        <x:f>IF(AND(J184=1,C184=0),1,0)</x:f>
        <x:v>0</x:v>
      </x:c>
      <x:c r="L184" t="str">
        <x:f>IFERROR(INDEX(Customers!$C$2:$C$451,MATCH(A184,Customers!$A$2:$A$451,0)),"Unknown")</x:f>
        <x:v>Standard</x:v>
      </x:c>
    </x:row>
    <x:row r="185">
      <x:c r="A185" t="n">
        <x:v>32</x:v>
      </x:c>
      <x:c r="B185" s="16" t="n">
        <x:v>46235</x:v>
      </x:c>
      <x:c r="C185" t="n">
        <x:v>1</x:v>
      </x:c>
      <x:c r="D185" t="n">
        <x:v>16</x:v>
      </x:c>
      <x:c r="E185" s="18" t="n">
        <x:v>1555.6</x:v>
      </x:c>
      <x:c r="F185" s="18" t="n">
        <x:v>0</x:v>
      </x:c>
      <x:c r="G185" s="18" t="n">
        <x:v>7</x:v>
      </x:c>
      <x:c r="H185" s="18" t="n">
        <x:v>2.39</x:v>
      </x:c>
      <x:c r="I185" s="18" t="n">
        <x:v>9.39</x:v>
      </x:c>
      <x:c r="J185" t="n">
        <x:f>IF(A185=A184,IFERROR(IF(B185=EDATE(B184,1),C184,0),0),0)</x:f>
        <x:v>1</x:v>
      </x:c>
      <x:c r="K185" t="n">
        <x:f>IF(AND(J185=1,C185=0),1,0)</x:f>
        <x:v>0</x:v>
      </x:c>
      <x:c r="L185" t="str">
        <x:f>IFERROR(INDEX(Customers!$C$2:$C$451,MATCH(A185,Customers!$A$2:$A$451,0)),"Unknown")</x:f>
        <x:v>Standard</x:v>
      </x:c>
    </x:row>
    <x:row r="186">
      <x:c r="A186" t="n">
        <x:v>32</x:v>
      </x:c>
      <x:c r="B186" s="16" t="n">
        <x:v>46266</x:v>
      </x:c>
      <x:c r="C186" t="n">
        <x:v>1</x:v>
      </x:c>
      <x:c r="D186" t="n">
        <x:v>21</x:v>
      </x:c>
      <x:c r="E186" s="18" t="n">
        <x:v>1963.67</x:v>
      </x:c>
      <x:c r="F186" s="18" t="n">
        <x:v>0</x:v>
      </x:c>
      <x:c r="G186" s="18" t="n">
        <x:v>8.84</x:v>
      </x:c>
      <x:c r="H186" s="18" t="n">
        <x:v>5.38</x:v>
      </x:c>
      <x:c r="I186" s="18" t="n">
        <x:v>14.22</x:v>
      </x:c>
      <x:c r="J186" t="n">
        <x:f>IF(A186=A185,IFERROR(IF(B186=EDATE(B185,1),C185,0),0),0)</x:f>
        <x:v>1</x:v>
      </x:c>
      <x:c r="K186" t="n">
        <x:f>IF(AND(J186=1,C186=0),1,0)</x:f>
        <x:v>0</x:v>
      </x:c>
      <x:c r="L186" t="str">
        <x:f>IFERROR(INDEX(Customers!$C$2:$C$451,MATCH(A186,Customers!$A$2:$A$451,0)),"Unknown")</x:f>
        <x:v>Standard</x:v>
      </x:c>
    </x:row>
    <x:row r="187">
      <x:c r="A187" t="n">
        <x:v>33</x:v>
      </x:c>
      <x:c r="B187" s="16" t="n">
        <x:v>46113</x:v>
      </x:c>
      <x:c r="C187" t="n">
        <x:v>0</x:v>
      </x:c>
      <x:c r="D187" t="n">
        <x:v>0</x:v>
      </x:c>
      <x:c r="E187" s="18" t="n">
        <x:v>0</x:v>
      </x:c>
      <x:c r="F187" s="18" t="n">
        <x:v>0</x:v>
      </x:c>
      <x:c r="G187" s="18" t="n">
        <x:v>0</x:v>
      </x:c>
      <x:c r="H187" s="18" t="n">
        <x:v>0</x:v>
      </x:c>
      <x:c r="I187" s="18" t="n">
        <x:v>0</x:v>
      </x:c>
      <x:c r="J187" t="n">
        <x:f>IF(A187=A186,IFERROR(IF(B187=EDATE(B186,1),C186,0),0),0)</x:f>
        <x:v>0</x:v>
      </x:c>
      <x:c r="K187" t="n">
        <x:f>IF(AND(J187=1,C187=0),1,0)</x:f>
        <x:v>0</x:v>
      </x:c>
      <x:c r="L187" t="str">
        <x:f>IFERROR(INDEX(Customers!$C$2:$C$451,MATCH(A187,Customers!$A$2:$A$451,0)),"Unknown")</x:f>
        <x:v>Standard</x:v>
      </x:c>
    </x:row>
    <x:row r="188">
      <x:c r="A188" t="n">
        <x:v>33</x:v>
      </x:c>
      <x:c r="B188" s="16" t="n">
        <x:v>46143</x:v>
      </x:c>
      <x:c r="C188" t="n">
        <x:v>1</x:v>
      </x:c>
      <x:c r="D188" t="n">
        <x:v>9</x:v>
      </x:c>
      <x:c r="E188" s="18" t="n">
        <x:v>482.5</x:v>
      </x:c>
      <x:c r="F188" s="18" t="n">
        <x:v>0</x:v>
      </x:c>
      <x:c r="G188" s="18" t="n">
        <x:v>2.17</x:v>
      </x:c>
      <x:c r="H188" s="18" t="n">
        <x:v>1.66</x:v>
      </x:c>
      <x:c r="I188" s="18" t="n">
        <x:v>3.83</x:v>
      </x:c>
      <x:c r="J188" t="n">
        <x:f>IF(A188=A187,IFERROR(IF(B188=EDATE(B187,1),C187,0),0),0)</x:f>
        <x:v>0</x:v>
      </x:c>
      <x:c r="K188" t="n">
        <x:f>IF(AND(J188=1,C188=0),1,0)</x:f>
        <x:v>0</x:v>
      </x:c>
      <x:c r="L188" t="str">
        <x:f>IFERROR(INDEX(Customers!$C$2:$C$451,MATCH(A188,Customers!$A$2:$A$451,0)),"Unknown")</x:f>
        <x:v>Standard</x:v>
      </x:c>
    </x:row>
    <x:row r="189">
      <x:c r="A189" t="n">
        <x:v>33</x:v>
      </x:c>
      <x:c r="B189" s="16" t="n">
        <x:v>46174</x:v>
      </x:c>
      <x:c r="C189" t="n">
        <x:v>1</x:v>
      </x:c>
      <x:c r="D189" t="n">
        <x:v>21</x:v>
      </x:c>
      <x:c r="E189" s="18" t="n">
        <x:v>1917.56</x:v>
      </x:c>
      <x:c r="F189" s="18" t="n">
        <x:v>0</x:v>
      </x:c>
      <x:c r="G189" s="18" t="n">
        <x:v>8.63</x:v>
      </x:c>
      <x:c r="H189" s="18" t="n">
        <x:v>6.62</x:v>
      </x:c>
      <x:c r="I189" s="18" t="n">
        <x:v>15.25</x:v>
      </x:c>
      <x:c r="J189" t="n">
        <x:f>IF(A189=A188,IFERROR(IF(B189=EDATE(B188,1),C188,0),0),0)</x:f>
        <x:v>1</x:v>
      </x:c>
      <x:c r="K189" t="n">
        <x:f>IF(AND(J189=1,C189=0),1,0)</x:f>
        <x:v>0</x:v>
      </x:c>
      <x:c r="L189" t="str">
        <x:f>IFERROR(INDEX(Customers!$C$2:$C$451,MATCH(A189,Customers!$A$2:$A$451,0)),"Unknown")</x:f>
        <x:v>Standard</x:v>
      </x:c>
    </x:row>
    <x:row r="190">
      <x:c r="A190" t="n">
        <x:v>33</x:v>
      </x:c>
      <x:c r="B190" s="16" t="n">
        <x:v>46204</x:v>
      </x:c>
      <x:c r="C190" t="n">
        <x:v>1</x:v>
      </x:c>
      <x:c r="D190" t="n">
        <x:v>8</x:v>
      </x:c>
      <x:c r="E190" s="18" t="n">
        <x:v>748.9</x:v>
      </x:c>
      <x:c r="F190" s="18" t="n">
        <x:v>0</x:v>
      </x:c>
      <x:c r="G190" s="18" t="n">
        <x:v>3.37</x:v>
      </x:c>
      <x:c r="H190" s="18" t="n">
        <x:v>0.8</x:v>
      </x:c>
      <x:c r="I190" s="18" t="n">
        <x:v>4.17</x:v>
      </x:c>
      <x:c r="J190" t="n">
        <x:f>IF(A190=A189,IFERROR(IF(B190=EDATE(B189,1),C189,0),0),0)</x:f>
        <x:v>1</x:v>
      </x:c>
      <x:c r="K190" t="n">
        <x:f>IF(AND(J190=1,C190=0),1,0)</x:f>
        <x:v>0</x:v>
      </x:c>
      <x:c r="L190" t="str">
        <x:f>IFERROR(INDEX(Customers!$C$2:$C$451,MATCH(A190,Customers!$A$2:$A$451,0)),"Unknown")</x:f>
        <x:v>Standard</x:v>
      </x:c>
    </x:row>
    <x:row r="191">
      <x:c r="A191" t="n">
        <x:v>33</x:v>
      </x:c>
      <x:c r="B191" s="16" t="n">
        <x:v>46235</x:v>
      </x:c>
      <x:c r="C191" t="n">
        <x:v>1</x:v>
      </x:c>
      <x:c r="D191" t="n">
        <x:v>23</x:v>
      </x:c>
      <x:c r="E191" s="18" t="n">
        <x:v>1000.46</x:v>
      </x:c>
      <x:c r="F191" s="18" t="n">
        <x:v>0</x:v>
      </x:c>
      <x:c r="G191" s="18" t="n">
        <x:v>4.5</x:v>
      </x:c>
      <x:c r="H191" s="18" t="n">
        <x:v>1.87</x:v>
      </x:c>
      <x:c r="I191" s="18" t="n">
        <x:v>6.37</x:v>
      </x:c>
      <x:c r="J191" t="n">
        <x:f>IF(A191=A190,IFERROR(IF(B191=EDATE(B190,1),C190,0),0),0)</x:f>
        <x:v>1</x:v>
      </x:c>
      <x:c r="K191" t="n">
        <x:f>IF(AND(J191=1,C191=0),1,0)</x:f>
        <x:v>0</x:v>
      </x:c>
      <x:c r="L191" t="str">
        <x:f>IFERROR(INDEX(Customers!$C$2:$C$451,MATCH(A191,Customers!$A$2:$A$451,0)),"Unknown")</x:f>
        <x:v>Standard</x:v>
      </x:c>
    </x:row>
    <x:row r="192">
      <x:c r="A192" t="n">
        <x:v>33</x:v>
      </x:c>
      <x:c r="B192" s="16" t="n">
        <x:v>46266</x:v>
      </x:c>
      <x:c r="C192" t="n">
        <x:v>1</x:v>
      </x:c>
      <x:c r="D192" t="n">
        <x:v>33</x:v>
      </x:c>
      <x:c r="E192" s="18" t="n">
        <x:v>2209.63</x:v>
      </x:c>
      <x:c r="F192" s="18" t="n">
        <x:v>0</x:v>
      </x:c>
      <x:c r="G192" s="18" t="n">
        <x:v>9.94</x:v>
      </x:c>
      <x:c r="H192" s="18" t="n">
        <x:v>7.05</x:v>
      </x:c>
      <x:c r="I192" s="18" t="n">
        <x:v>16.99</x:v>
      </x:c>
      <x:c r="J192" t="n">
        <x:f>IF(A192=A191,IFERROR(IF(B192=EDATE(B191,1),C191,0),0),0)</x:f>
        <x:v>1</x:v>
      </x:c>
      <x:c r="K192" t="n">
        <x:f>IF(AND(J192=1,C192=0),1,0)</x:f>
        <x:v>0</x:v>
      </x:c>
      <x:c r="L192" t="str">
        <x:f>IFERROR(INDEX(Customers!$C$2:$C$451,MATCH(A192,Customers!$A$2:$A$451,0)),"Unknown")</x:f>
        <x:v>Standard</x:v>
      </x:c>
    </x:row>
    <x:row r="193">
      <x:c r="A193" t="n">
        <x:v>34</x:v>
      </x:c>
      <x:c r="B193" s="16" t="n">
        <x:v>46143</x:v>
      </x:c>
      <x:c r="C193" t="n">
        <x:v>1</x:v>
      </x:c>
      <x:c r="D193" t="n">
        <x:v>36</x:v>
      </x:c>
      <x:c r="E193" s="18" t="n">
        <x:v>3021.02</x:v>
      </x:c>
      <x:c r="F193" s="18" t="n">
        <x:v>17</x:v>
      </x:c>
      <x:c r="G193" s="18" t="n">
        <x:v>13.59</x:v>
      </x:c>
      <x:c r="H193" s="18" t="n">
        <x:v>7.45</x:v>
      </x:c>
      <x:c r="I193" s="18" t="n">
        <x:v>38.04</x:v>
      </x:c>
      <x:c r="J193" t="n">
        <x:f>IF(A193=A192,IFERROR(IF(B193=EDATE(B192,1),C192,0),0),0)</x:f>
        <x:v>0</x:v>
      </x:c>
      <x:c r="K193" t="n">
        <x:f>IF(AND(J193=1,C193=0),1,0)</x:f>
        <x:v>0</x:v>
      </x:c>
      <x:c r="L193" t="str">
        <x:f>IFERROR(INDEX(Customers!$C$2:$C$451,MATCH(A193,Customers!$A$2:$A$451,0)),"Unknown")</x:f>
        <x:v>Premium</x:v>
      </x:c>
    </x:row>
    <x:row r="194">
      <x:c r="A194" t="n">
        <x:v>34</x:v>
      </x:c>
      <x:c r="B194" s="16" t="n">
        <x:v>46174</x:v>
      </x:c>
      <x:c r="C194" t="n">
        <x:v>1</x:v>
      </x:c>
      <x:c r="D194" t="n">
        <x:v>4</x:v>
      </x:c>
      <x:c r="E194" s="18" t="n">
        <x:v>515.25</x:v>
      </x:c>
      <x:c r="F194" s="18" t="n">
        <x:v>17</x:v>
      </x:c>
      <x:c r="G194" s="18" t="n">
        <x:v>2.32</x:v>
      </x:c>
      <x:c r="H194" s="18" t="n">
        <x:v>0.95</x:v>
      </x:c>
      <x:c r="I194" s="18" t="n">
        <x:v>20.27</x:v>
      </x:c>
      <x:c r="J194" t="n">
        <x:f>IF(A194=A193,IFERROR(IF(B194=EDATE(B193,1),C193,0),0),0)</x:f>
        <x:v>1</x:v>
      </x:c>
      <x:c r="K194" t="n">
        <x:f>IF(AND(J194=1,C194=0),1,0)</x:f>
        <x:v>0</x:v>
      </x:c>
      <x:c r="L194" t="str">
        <x:f>IFERROR(INDEX(Customers!$C$2:$C$451,MATCH(A194,Customers!$A$2:$A$451,0)),"Unknown")</x:f>
        <x:v>Premium</x:v>
      </x:c>
    </x:row>
    <x:row r="195">
      <x:c r="A195" t="n">
        <x:v>34</x:v>
      </x:c>
      <x:c r="B195" s="16" t="n">
        <x:v>46204</x:v>
      </x:c>
      <x:c r="C195" t="n">
        <x:v>1</x:v>
      </x:c>
      <x:c r="D195" t="n">
        <x:v>29</x:v>
      </x:c>
      <x:c r="E195" s="18" t="n">
        <x:v>3144.21</x:v>
      </x:c>
      <x:c r="F195" s="18" t="n">
        <x:v>17</x:v>
      </x:c>
      <x:c r="G195" s="18" t="n">
        <x:v>14.15</x:v>
      </x:c>
      <x:c r="H195" s="18" t="n">
        <x:v>5.8</x:v>
      </x:c>
      <x:c r="I195" s="18" t="n">
        <x:v>36.95</x:v>
      </x:c>
      <x:c r="J195" t="n">
        <x:f>IF(A195=A194,IFERROR(IF(B195=EDATE(B194,1),C194,0),0),0)</x:f>
        <x:v>1</x:v>
      </x:c>
      <x:c r="K195" t="n">
        <x:f>IF(AND(J195=1,C195=0),1,0)</x:f>
        <x:v>0</x:v>
      </x:c>
      <x:c r="L195" t="str">
        <x:f>IFERROR(INDEX(Customers!$C$2:$C$451,MATCH(A195,Customers!$A$2:$A$451,0)),"Unknown")</x:f>
        <x:v>Premium</x:v>
      </x:c>
    </x:row>
    <x:row r="196">
      <x:c r="A196" t="n">
        <x:v>34</x:v>
      </x:c>
      <x:c r="B196" s="16" t="n">
        <x:v>46235</x:v>
      </x:c>
      <x:c r="C196" t="n">
        <x:v>1</x:v>
      </x:c>
      <x:c r="D196" t="n">
        <x:v>25</x:v>
      </x:c>
      <x:c r="E196" s="18" t="n">
        <x:v>2555.31</x:v>
      </x:c>
      <x:c r="F196" s="18" t="n">
        <x:v>17</x:v>
      </x:c>
      <x:c r="G196" s="18" t="n">
        <x:v>11.5</x:v>
      </x:c>
      <x:c r="H196" s="18" t="n">
        <x:v>2.95</x:v>
      </x:c>
      <x:c r="I196" s="18" t="n">
        <x:v>31.45</x:v>
      </x:c>
      <x:c r="J196" t="n">
        <x:f>IF(A196=A195,IFERROR(IF(B196=EDATE(B195,1),C195,0),0),0)</x:f>
        <x:v>1</x:v>
      </x:c>
      <x:c r="K196" t="n">
        <x:f>IF(AND(J196=1,C196=0),1,0)</x:f>
        <x:v>0</x:v>
      </x:c>
      <x:c r="L196" t="str">
        <x:f>IFERROR(INDEX(Customers!$C$2:$C$451,MATCH(A196,Customers!$A$2:$A$451,0)),"Unknown")</x:f>
        <x:v>Premium</x:v>
      </x:c>
    </x:row>
    <x:row r="197">
      <x:c r="A197" t="n">
        <x:v>34</x:v>
      </x:c>
      <x:c r="B197" s="16" t="n">
        <x:v>46266</x:v>
      </x:c>
      <x:c r="C197" t="n">
        <x:v>1</x:v>
      </x:c>
      <x:c r="D197" t="n">
        <x:v>30</x:v>
      </x:c>
      <x:c r="E197" s="18" t="n">
        <x:v>4113.04</x:v>
      </x:c>
      <x:c r="F197" s="18" t="n">
        <x:v>17</x:v>
      </x:c>
      <x:c r="G197" s="18" t="n">
        <x:v>18.51</x:v>
      </x:c>
      <x:c r="H197" s="18" t="n">
        <x:v>3.44</x:v>
      </x:c>
      <x:c r="I197" s="18" t="n">
        <x:v>38.95</x:v>
      </x:c>
      <x:c r="J197" t="n">
        <x:f>IF(A197=A196,IFERROR(IF(B197=EDATE(B196,1),C196,0),0),0)</x:f>
        <x:v>1</x:v>
      </x:c>
      <x:c r="K197" t="n">
        <x:f>IF(AND(J197=1,C197=0),1,0)</x:f>
        <x:v>0</x:v>
      </x:c>
      <x:c r="L197" t="str">
        <x:f>IFERROR(INDEX(Customers!$C$2:$C$451,MATCH(A197,Customers!$A$2:$A$451,0)),"Unknown")</x:f>
        <x:v>Premium</x:v>
      </x:c>
    </x:row>
    <x:row r="198">
      <x:c r="A198" t="n">
        <x:v>35</x:v>
      </x:c>
      <x:c r="B198" s="16" t="n">
        <x:v>46143</x:v>
      </x:c>
      <x:c r="C198" t="n">
        <x:v>1</x:v>
      </x:c>
      <x:c r="D198" t="n">
        <x:v>14</x:v>
      </x:c>
      <x:c r="E198" s="18" t="n">
        <x:v>556.21</x:v>
      </x:c>
      <x:c r="F198" s="18" t="n">
        <x:v>0</x:v>
      </x:c>
      <x:c r="G198" s="18" t="n">
        <x:v>2.5</x:v>
      </x:c>
      <x:c r="H198" s="18" t="n">
        <x:v>1.16</x:v>
      </x:c>
      <x:c r="I198" s="18" t="n">
        <x:v>3.66</x:v>
      </x:c>
      <x:c r="J198" t="n">
        <x:f>IF(A198=A197,IFERROR(IF(B198=EDATE(B197,1),C197,0),0),0)</x:f>
        <x:v>0</x:v>
      </x:c>
      <x:c r="K198" t="n">
        <x:f>IF(AND(J198=1,C198=0),1,0)</x:f>
        <x:v>0</x:v>
      </x:c>
      <x:c r="L198" t="str">
        <x:f>IFERROR(INDEX(Customers!$C$2:$C$451,MATCH(A198,Customers!$A$2:$A$451,0)),"Unknown")</x:f>
        <x:v>Standard</x:v>
      </x:c>
    </x:row>
    <x:row r="199">
      <x:c r="A199" t="n">
        <x:v>35</x:v>
      </x:c>
      <x:c r="B199" s="16" t="n">
        <x:v>46174</x:v>
      </x:c>
      <x:c r="C199" t="n">
        <x:v>1</x:v>
      </x:c>
      <x:c r="D199" t="n">
        <x:v>19</x:v>
      </x:c>
      <x:c r="E199" s="18" t="n">
        <x:v>2389.46</x:v>
      </x:c>
      <x:c r="F199" s="18" t="n">
        <x:v>0</x:v>
      </x:c>
      <x:c r="G199" s="18" t="n">
        <x:v>10.75</x:v>
      </x:c>
      <x:c r="H199" s="18" t="n">
        <x:v>7.81</x:v>
      </x:c>
      <x:c r="I199" s="18" t="n">
        <x:v>18.56</x:v>
      </x:c>
      <x:c r="J199" t="n">
        <x:f>IF(A199=A198,IFERROR(IF(B199=EDATE(B198,1),C198,0),0),0)</x:f>
        <x:v>1</x:v>
      </x:c>
      <x:c r="K199" t="n">
        <x:f>IF(AND(J199=1,C199=0),1,0)</x:f>
        <x:v>0</x:v>
      </x:c>
      <x:c r="L199" t="str">
        <x:f>IFERROR(INDEX(Customers!$C$2:$C$451,MATCH(A199,Customers!$A$2:$A$451,0)),"Unknown")</x:f>
        <x:v>Standard</x:v>
      </x:c>
    </x:row>
    <x:row r="200">
      <x:c r="A200" t="n">
        <x:v>35</x:v>
      </x:c>
      <x:c r="B200" s="16" t="n">
        <x:v>46204</x:v>
      </x:c>
      <x:c r="C200" t="n">
        <x:v>1</x:v>
      </x:c>
      <x:c r="D200" t="n">
        <x:v>20</x:v>
      </x:c>
      <x:c r="E200" s="18" t="n">
        <x:v>1510.72</x:v>
      </x:c>
      <x:c r="F200" s="18" t="n">
        <x:v>0</x:v>
      </x:c>
      <x:c r="G200" s="18" t="n">
        <x:v>6.8</x:v>
      </x:c>
      <x:c r="H200" s="18" t="n">
        <x:v>3.84</x:v>
      </x:c>
      <x:c r="I200" s="18" t="n">
        <x:v>10.64</x:v>
      </x:c>
      <x:c r="J200" t="n">
        <x:f>IF(A200=A199,IFERROR(IF(B200=EDATE(B199,1),C199,0),0),0)</x:f>
        <x:v>1</x:v>
      </x:c>
      <x:c r="K200" t="n">
        <x:f>IF(AND(J200=1,C200=0),1,0)</x:f>
        <x:v>0</x:v>
      </x:c>
      <x:c r="L200" t="str">
        <x:f>IFERROR(INDEX(Customers!$C$2:$C$451,MATCH(A200,Customers!$A$2:$A$451,0)),"Unknown")</x:f>
        <x:v>Standard</x:v>
      </x:c>
    </x:row>
    <x:row r="201">
      <x:c r="A201" t="n">
        <x:v>35</x:v>
      </x:c>
      <x:c r="B201" s="16" t="n">
        <x:v>46235</x:v>
      </x:c>
      <x:c r="C201" t="n">
        <x:v>1</x:v>
      </x:c>
      <x:c r="D201" t="n">
        <x:v>29</x:v>
      </x:c>
      <x:c r="E201" s="18" t="n">
        <x:v>3915.83</x:v>
      </x:c>
      <x:c r="F201" s="18" t="n">
        <x:v>0</x:v>
      </x:c>
      <x:c r="G201" s="18" t="n">
        <x:v>17.62</x:v>
      </x:c>
      <x:c r="H201" s="18" t="n">
        <x:v>8.73</x:v>
      </x:c>
      <x:c r="I201" s="18" t="n">
        <x:v>26.35</x:v>
      </x:c>
      <x:c r="J201" t="n">
        <x:f>IF(A201=A200,IFERROR(IF(B201=EDATE(B200,1),C200,0),0),0)</x:f>
        <x:v>1</x:v>
      </x:c>
      <x:c r="K201" t="n">
        <x:f>IF(AND(J201=1,C201=0),1,0)</x:f>
        <x:v>0</x:v>
      </x:c>
      <x:c r="L201" t="str">
        <x:f>IFERROR(INDEX(Customers!$C$2:$C$451,MATCH(A201,Customers!$A$2:$A$451,0)),"Unknown")</x:f>
        <x:v>Standard</x:v>
      </x:c>
    </x:row>
    <x:row r="202">
      <x:c r="A202" t="n">
        <x:v>35</x:v>
      </x:c>
      <x:c r="B202" s="16" t="n">
        <x:v>46266</x:v>
      </x:c>
      <x:c r="C202" t="n">
        <x:v>1</x:v>
      </x:c>
      <x:c r="D202" t="n">
        <x:v>17</x:v>
      </x:c>
      <x:c r="E202" s="18" t="n">
        <x:v>1857.55</x:v>
      </x:c>
      <x:c r="F202" s="18" t="n">
        <x:v>0</x:v>
      </x:c>
      <x:c r="G202" s="18" t="n">
        <x:v>8.36</x:v>
      </x:c>
      <x:c r="H202" s="18" t="n">
        <x:v>2.62</x:v>
      </x:c>
      <x:c r="I202" s="18" t="n">
        <x:v>10.98</x:v>
      </x:c>
      <x:c r="J202" t="n">
        <x:f>IF(A202=A201,IFERROR(IF(B202=EDATE(B201,1),C201,0),0),0)</x:f>
        <x:v>1</x:v>
      </x:c>
      <x:c r="K202" t="n">
        <x:f>IF(AND(J202=1,C202=0),1,0)</x:f>
        <x:v>0</x:v>
      </x:c>
      <x:c r="L202" t="str">
        <x:f>IFERROR(INDEX(Customers!$C$2:$C$451,MATCH(A202,Customers!$A$2:$A$451,0)),"Unknown")</x:f>
        <x:v>Standard</x:v>
      </x:c>
    </x:row>
    <x:row r="203">
      <x:c r="A203" t="n">
        <x:v>36</x:v>
      </x:c>
      <x:c r="B203" s="16" t="n">
        <x:v>46143</x:v>
      </x:c>
      <x:c r="C203" t="n">
        <x:v>0</x:v>
      </x:c>
      <x:c r="D203" t="n">
        <x:v>0</x:v>
      </x:c>
      <x:c r="E203" s="18" t="n">
        <x:v>0</x:v>
      </x:c>
      <x:c r="F203" s="18" t="n">
        <x:v>0</x:v>
      </x:c>
      <x:c r="G203" s="18" t="n">
        <x:v>0</x:v>
      </x:c>
      <x:c r="H203" s="18" t="n">
        <x:v>0</x:v>
      </x:c>
      <x:c r="I203" s="18" t="n">
        <x:v>0</x:v>
      </x:c>
      <x:c r="J203" t="n">
        <x:f>IF(A203=A202,IFERROR(IF(B203=EDATE(B202,1),C202,0),0),0)</x:f>
        <x:v>0</x:v>
      </x:c>
      <x:c r="K203" t="n">
        <x:f>IF(AND(J203=1,C203=0),1,0)</x:f>
        <x:v>0</x:v>
      </x:c>
      <x:c r="L203" t="str">
        <x:f>IFERROR(INDEX(Customers!$C$2:$C$451,MATCH(A203,Customers!$A$2:$A$451,0)),"Unknown")</x:f>
        <x:v>Standard</x:v>
      </x:c>
    </x:row>
    <x:row r="204">
      <x:c r="A204" t="n">
        <x:v>36</x:v>
      </x:c>
      <x:c r="B204" s="16" t="n">
        <x:v>46174</x:v>
      </x:c>
      <x:c r="C204" t="n">
        <x:v>1</x:v>
      </x:c>
      <x:c r="D204" t="n">
        <x:v>18</x:v>
      </x:c>
      <x:c r="E204" s="18" t="n">
        <x:v>1954.26</x:v>
      </x:c>
      <x:c r="F204" s="18" t="n">
        <x:v>0</x:v>
      </x:c>
      <x:c r="G204" s="18" t="n">
        <x:v>8.79</x:v>
      </x:c>
      <x:c r="H204" s="18" t="n">
        <x:v>4.42</x:v>
      </x:c>
      <x:c r="I204" s="18" t="n">
        <x:v>13.21</x:v>
      </x:c>
      <x:c r="J204" t="n">
        <x:f>IF(A204=A203,IFERROR(IF(B204=EDATE(B203,1),C203,0),0),0)</x:f>
        <x:v>0</x:v>
      </x:c>
      <x:c r="K204" t="n">
        <x:f>IF(AND(J204=1,C204=0),1,0)</x:f>
        <x:v>0</x:v>
      </x:c>
      <x:c r="L204" t="str">
        <x:f>IFERROR(INDEX(Customers!$C$2:$C$451,MATCH(A204,Customers!$A$2:$A$451,0)),"Unknown")</x:f>
        <x:v>Standard</x:v>
      </x:c>
    </x:row>
    <x:row r="205">
      <x:c r="A205" t="n">
        <x:v>36</x:v>
      </x:c>
      <x:c r="B205" s="16" t="n">
        <x:v>46204</x:v>
      </x:c>
      <x:c r="C205" t="n">
        <x:v>1</x:v>
      </x:c>
      <x:c r="D205" t="n">
        <x:v>19</x:v>
      </x:c>
      <x:c r="E205" s="18" t="n">
        <x:v>1133.72</x:v>
      </x:c>
      <x:c r="F205" s="18" t="n">
        <x:v>0</x:v>
      </x:c>
      <x:c r="G205" s="18" t="n">
        <x:v>5.1</x:v>
      </x:c>
      <x:c r="H205" s="18" t="n">
        <x:v>1.7</x:v>
      </x:c>
      <x:c r="I205" s="18" t="n">
        <x:v>6.8</x:v>
      </x:c>
      <x:c r="J205" t="n">
        <x:f>IF(A205=A204,IFERROR(IF(B205=EDATE(B204,1),C204,0),0),0)</x:f>
        <x:v>1</x:v>
      </x:c>
      <x:c r="K205" t="n">
        <x:f>IF(AND(J205=1,C205=0),1,0)</x:f>
        <x:v>0</x:v>
      </x:c>
      <x:c r="L205" t="str">
        <x:f>IFERROR(INDEX(Customers!$C$2:$C$451,MATCH(A205,Customers!$A$2:$A$451,0)),"Unknown")</x:f>
        <x:v>Standard</x:v>
      </x:c>
    </x:row>
    <x:row r="206">
      <x:c r="A206" t="n">
        <x:v>36</x:v>
      </x:c>
      <x:c r="B206" s="16" t="n">
        <x:v>46235</x:v>
      </x:c>
      <x:c r="C206" t="n">
        <x:v>0</x:v>
      </x:c>
      <x:c r="D206" t="n">
        <x:v>0</x:v>
      </x:c>
      <x:c r="E206" s="18" t="n">
        <x:v>0</x:v>
      </x:c>
      <x:c r="F206" s="18" t="n">
        <x:v>0</x:v>
      </x:c>
      <x:c r="G206" s="18" t="n">
        <x:v>0</x:v>
      </x:c>
      <x:c r="H206" s="18" t="n">
        <x:v>0</x:v>
      </x:c>
      <x:c r="I206" s="18" t="n">
        <x:v>0</x:v>
      </x:c>
      <x:c r="J206" t="n">
        <x:f>IF(A206=A205,IFERROR(IF(B206=EDATE(B205,1),C205,0),0),0)</x:f>
        <x:v>1</x:v>
      </x:c>
      <x:c r="K206" t="n">
        <x:f>IF(AND(J206=1,C206=0),1,0)</x:f>
        <x:v>1</x:v>
      </x:c>
      <x:c r="L206" t="str">
        <x:f>IFERROR(INDEX(Customers!$C$2:$C$451,MATCH(A206,Customers!$A$2:$A$451,0)),"Unknown")</x:f>
        <x:v>Standard</x:v>
      </x:c>
    </x:row>
    <x:row r="207">
      <x:c r="A207" t="n">
        <x:v>36</x:v>
      </x:c>
      <x:c r="B207" s="16" t="n">
        <x:v>46266</x:v>
      </x:c>
      <x:c r="C207" t="n">
        <x:v>0</x:v>
      </x:c>
      <x:c r="D207" t="n">
        <x:v>0</x:v>
      </x:c>
      <x:c r="E207" s="18" t="n">
        <x:v>0</x:v>
      </x:c>
      <x:c r="F207" s="18" t="n">
        <x:v>0</x:v>
      </x:c>
      <x:c r="G207" s="18" t="n">
        <x:v>0</x:v>
      </x:c>
      <x:c r="H207" s="18" t="n">
        <x:v>0</x:v>
      </x:c>
      <x:c r="I207" s="18" t="n">
        <x:v>0</x:v>
      </x:c>
      <x:c r="J207" t="n">
        <x:f>IF(A207=A206,IFERROR(IF(B207=EDATE(B206,1),C206,0),0),0)</x:f>
        <x:v>0</x:v>
      </x:c>
      <x:c r="K207" t="n">
        <x:f>IF(AND(J207=1,C207=0),1,0)</x:f>
        <x:v>0</x:v>
      </x:c>
      <x:c r="L207" t="str">
        <x:f>IFERROR(INDEX(Customers!$C$2:$C$451,MATCH(A207,Customers!$A$2:$A$451,0)),"Unknown")</x:f>
        <x:v>Standard</x:v>
      </x:c>
    </x:row>
    <x:row r="208">
      <x:c r="A208" t="n">
        <x:v>37</x:v>
      </x:c>
      <x:c r="B208" s="16" t="n">
        <x:v>46143</x:v>
      </x:c>
      <x:c r="C208" t="n">
        <x:v>1</x:v>
      </x:c>
      <x:c r="D208" t="n">
        <x:v>27</x:v>
      </x:c>
      <x:c r="E208" s="18" t="n">
        <x:v>3099.5</x:v>
      </x:c>
      <x:c r="F208" s="18" t="n">
        <x:v>0</x:v>
      </x:c>
      <x:c r="G208" s="18" t="n">
        <x:v>13.95</x:v>
      </x:c>
      <x:c r="H208" s="18" t="n">
        <x:v>9.95</x:v>
      </x:c>
      <x:c r="I208" s="18" t="n">
        <x:v>23.9</x:v>
      </x:c>
      <x:c r="J208" t="n">
        <x:f>IF(A208=A207,IFERROR(IF(B208=EDATE(B207,1),C207,0),0),0)</x:f>
        <x:v>0</x:v>
      </x:c>
      <x:c r="K208" t="n">
        <x:f>IF(AND(J208=1,C208=0),1,0)</x:f>
        <x:v>0</x:v>
      </x:c>
      <x:c r="L208" t="str">
        <x:f>IFERROR(INDEX(Customers!$C$2:$C$451,MATCH(A208,Customers!$A$2:$A$451,0)),"Unknown")</x:f>
        <x:v>Standard</x:v>
      </x:c>
    </x:row>
    <x:row r="209">
      <x:c r="A209" t="n">
        <x:v>37</x:v>
      </x:c>
      <x:c r="B209" s="16" t="n">
        <x:v>46174</x:v>
      </x:c>
      <x:c r="C209" t="n">
        <x:v>0</x:v>
      </x:c>
      <x:c r="D209" t="n">
        <x:v>0</x:v>
      </x:c>
      <x:c r="E209" s="18" t="n">
        <x:v>0</x:v>
      </x:c>
      <x:c r="F209" s="18" t="n">
        <x:v>0</x:v>
      </x:c>
      <x:c r="G209" s="18" t="n">
        <x:v>0</x:v>
      </x:c>
      <x:c r="H209" s="18" t="n">
        <x:v>0</x:v>
      </x:c>
      <x:c r="I209" s="18" t="n">
        <x:v>0</x:v>
      </x:c>
      <x:c r="J209" t="n">
        <x:f>IF(A209=A208,IFERROR(IF(B209=EDATE(B208,1),C208,0),0),0)</x:f>
        <x:v>1</x:v>
      </x:c>
      <x:c r="K209" t="n">
        <x:f>IF(AND(J209=1,C209=0),1,0)</x:f>
        <x:v>1</x:v>
      </x:c>
      <x:c r="L209" t="str">
        <x:f>IFERROR(INDEX(Customers!$C$2:$C$451,MATCH(A209,Customers!$A$2:$A$451,0)),"Unknown")</x:f>
        <x:v>Standard</x:v>
      </x:c>
    </x:row>
    <x:row r="210">
      <x:c r="A210" t="n">
        <x:v>37</x:v>
      </x:c>
      <x:c r="B210" s="16" t="n">
        <x:v>46204</x:v>
      </x:c>
      <x:c r="C210" t="n">
        <x:v>0</x:v>
      </x:c>
      <x:c r="D210" t="n">
        <x:v>0</x:v>
      </x:c>
      <x:c r="E210" s="18" t="n">
        <x:v>0</x:v>
      </x:c>
      <x:c r="F210" s="18" t="n">
        <x:v>0</x:v>
      </x:c>
      <x:c r="G210" s="18" t="n">
        <x:v>0</x:v>
      </x:c>
      <x:c r="H210" s="18" t="n">
        <x:v>0</x:v>
      </x:c>
      <x:c r="I210" s="18" t="n">
        <x:v>0</x:v>
      </x:c>
      <x:c r="J210" t="n">
        <x:f>IF(A210=A209,IFERROR(IF(B210=EDATE(B209,1),C209,0),0),0)</x:f>
        <x:v>0</x:v>
      </x:c>
      <x:c r="K210" t="n">
        <x:f>IF(AND(J210=1,C210=0),1,0)</x:f>
        <x:v>0</x:v>
      </x:c>
      <x:c r="L210" t="str">
        <x:f>IFERROR(INDEX(Customers!$C$2:$C$451,MATCH(A210,Customers!$A$2:$A$451,0)),"Unknown")</x:f>
        <x:v>Standard</x:v>
      </x:c>
    </x:row>
    <x:row r="211">
      <x:c r="A211" t="n">
        <x:v>37</x:v>
      </x:c>
      <x:c r="B211" s="16" t="n">
        <x:v>46235</x:v>
      </x:c>
      <x:c r="C211" t="n">
        <x:v>1</x:v>
      </x:c>
      <x:c r="D211" t="n">
        <x:v>8</x:v>
      </x:c>
      <x:c r="E211" s="18" t="n">
        <x:v>373.44</x:v>
      </x:c>
      <x:c r="F211" s="18" t="n">
        <x:v>0</x:v>
      </x:c>
      <x:c r="G211" s="18" t="n">
        <x:v>1.68</x:v>
      </x:c>
      <x:c r="H211" s="18" t="n">
        <x:v>0.3</x:v>
      </x:c>
      <x:c r="I211" s="18" t="n">
        <x:v>1.98</x:v>
      </x:c>
      <x:c r="J211" t="n">
        <x:f>IF(A211=A210,IFERROR(IF(B211=EDATE(B210,1),C210,0),0),0)</x:f>
        <x:v>0</x:v>
      </x:c>
      <x:c r="K211" t="n">
        <x:f>IF(AND(J211=1,C211=0),1,0)</x:f>
        <x:v>0</x:v>
      </x:c>
      <x:c r="L211" t="str">
        <x:f>IFERROR(INDEX(Customers!$C$2:$C$451,MATCH(A211,Customers!$A$2:$A$451,0)),"Unknown")</x:f>
        <x:v>Standard</x:v>
      </x:c>
    </x:row>
    <x:row r="212">
      <x:c r="A212" t="n">
        <x:v>37</x:v>
      </x:c>
      <x:c r="B212" s="16" t="n">
        <x:v>46266</x:v>
      </x:c>
      <x:c r="C212" t="n">
        <x:v>1</x:v>
      </x:c>
      <x:c r="D212" t="n">
        <x:v>19</x:v>
      </x:c>
      <x:c r="E212" s="18" t="n">
        <x:v>754.95</x:v>
      </x:c>
      <x:c r="F212" s="18" t="n">
        <x:v>0</x:v>
      </x:c>
      <x:c r="G212" s="18" t="n">
        <x:v>3.4</x:v>
      </x:c>
      <x:c r="H212" s="18" t="n">
        <x:v>1.79</x:v>
      </x:c>
      <x:c r="I212" s="18" t="n">
        <x:v>5.19</x:v>
      </x:c>
      <x:c r="J212" t="n">
        <x:f>IF(A212=A211,IFERROR(IF(B212=EDATE(B211,1),C211,0),0),0)</x:f>
        <x:v>1</x:v>
      </x:c>
      <x:c r="K212" t="n">
        <x:f>IF(AND(J212=1,C212=0),1,0)</x:f>
        <x:v>0</x:v>
      </x:c>
      <x:c r="L212" t="str">
        <x:f>IFERROR(INDEX(Customers!$C$2:$C$451,MATCH(A212,Customers!$A$2:$A$451,0)),"Unknown")</x:f>
        <x:v>Standard</x:v>
      </x:c>
    </x:row>
    <x:row r="213">
      <x:c r="A213" t="n">
        <x:v>38</x:v>
      </x:c>
      <x:c r="B213" s="16" t="n">
        <x:v>46113</x:v>
      </x:c>
      <x:c r="C213" t="n">
        <x:v>1</x:v>
      </x:c>
      <x:c r="D213" t="n">
        <x:v>13</x:v>
      </x:c>
      <x:c r="E213" s="18" t="n">
        <x:v>1803.86</x:v>
      </x:c>
      <x:c r="F213" s="18" t="n">
        <x:v>17</x:v>
      </x:c>
      <x:c r="G213" s="18" t="n">
        <x:v>8.12</x:v>
      </x:c>
      <x:c r="H213" s="18" t="n">
        <x:v>4.02</x:v>
      </x:c>
      <x:c r="I213" s="18" t="n">
        <x:v>29.14</x:v>
      </x:c>
      <x:c r="J213" t="n">
        <x:f>IF(A213=A212,IFERROR(IF(B213=EDATE(B212,1),C212,0),0),0)</x:f>
        <x:v>0</x:v>
      </x:c>
      <x:c r="K213" t="n">
        <x:f>IF(AND(J213=1,C213=0),1,0)</x:f>
        <x:v>0</x:v>
      </x:c>
      <x:c r="L213" t="str">
        <x:f>IFERROR(INDEX(Customers!$C$2:$C$451,MATCH(A213,Customers!$A$2:$A$451,0)),"Unknown")</x:f>
        <x:v>Premium</x:v>
      </x:c>
    </x:row>
    <x:row r="214">
      <x:c r="A214" t="n">
        <x:v>38</x:v>
      </x:c>
      <x:c r="B214" s="16" t="n">
        <x:v>46143</x:v>
      </x:c>
      <x:c r="C214" t="n">
        <x:v>0</x:v>
      </x:c>
      <x:c r="D214" t="n">
        <x:v>0</x:v>
      </x:c>
      <x:c r="E214" s="18" t="n">
        <x:v>0</x:v>
      </x:c>
      <x:c r="F214" s="18" t="n">
        <x:v>0</x:v>
      </x:c>
      <x:c r="G214" s="18" t="n">
        <x:v>0</x:v>
      </x:c>
      <x:c r="H214" s="18" t="n">
        <x:v>0</x:v>
      </x:c>
      <x:c r="I214" s="18" t="n">
        <x:v>0</x:v>
      </x:c>
      <x:c r="J214" t="n">
        <x:f>IF(A214=A213,IFERROR(IF(B214=EDATE(B213,1),C213,0),0),0)</x:f>
        <x:v>1</x:v>
      </x:c>
      <x:c r="K214" t="n">
        <x:f>IF(AND(J214=1,C214=0),1,0)</x:f>
        <x:v>1</x:v>
      </x:c>
      <x:c r="L214" t="str">
        <x:f>IFERROR(INDEX(Customers!$C$2:$C$451,MATCH(A214,Customers!$A$2:$A$451,0)),"Unknown")</x:f>
        <x:v>Premium</x:v>
      </x:c>
    </x:row>
    <x:row r="215">
      <x:c r="A215" t="n">
        <x:v>38</x:v>
      </x:c>
      <x:c r="B215" s="16" t="n">
        <x:v>46174</x:v>
      </x:c>
      <x:c r="C215" t="n">
        <x:v>1</x:v>
      </x:c>
      <x:c r="D215" t="n">
        <x:v>14</x:v>
      </x:c>
      <x:c r="E215" s="18" t="n">
        <x:v>1159.69</x:v>
      </x:c>
      <x:c r="F215" s="18" t="n">
        <x:v>17</x:v>
      </x:c>
      <x:c r="G215" s="18" t="n">
        <x:v>5.22</x:v>
      </x:c>
      <x:c r="H215" s="18" t="n">
        <x:v>1.68</x:v>
      </x:c>
      <x:c r="I215" s="18" t="n">
        <x:v>23.9</x:v>
      </x:c>
      <x:c r="J215" t="n">
        <x:f>IF(A215=A214,IFERROR(IF(B215=EDATE(B214,1),C214,0),0),0)</x:f>
        <x:v>0</x:v>
      </x:c>
      <x:c r="K215" t="n">
        <x:f>IF(AND(J215=1,C215=0),1,0)</x:f>
        <x:v>0</x:v>
      </x:c>
      <x:c r="L215" t="str">
        <x:f>IFERROR(INDEX(Customers!$C$2:$C$451,MATCH(A215,Customers!$A$2:$A$451,0)),"Unknown")</x:f>
        <x:v>Premium</x:v>
      </x:c>
    </x:row>
    <x:row r="216">
      <x:c r="A216" t="n">
        <x:v>38</x:v>
      </x:c>
      <x:c r="B216" s="16" t="n">
        <x:v>46204</x:v>
      </x:c>
      <x:c r="C216" t="n">
        <x:v>1</x:v>
      </x:c>
      <x:c r="D216" t="n">
        <x:v>30</x:v>
      </x:c>
      <x:c r="E216" s="18" t="n">
        <x:v>2926.82</x:v>
      </x:c>
      <x:c r="F216" s="18" t="n">
        <x:v>17</x:v>
      </x:c>
      <x:c r="G216" s="18" t="n">
        <x:v>13.17</x:v>
      </x:c>
      <x:c r="H216" s="18" t="n">
        <x:v>4.08</x:v>
      </x:c>
      <x:c r="I216" s="18" t="n">
        <x:v>34.25</x:v>
      </x:c>
      <x:c r="J216" t="n">
        <x:f>IF(A216=A215,IFERROR(IF(B216=EDATE(B215,1),C215,0),0),0)</x:f>
        <x:v>1</x:v>
      </x:c>
      <x:c r="K216" t="n">
        <x:f>IF(AND(J216=1,C216=0),1,0)</x:f>
        <x:v>0</x:v>
      </x:c>
      <x:c r="L216" t="str">
        <x:f>IFERROR(INDEX(Customers!$C$2:$C$451,MATCH(A216,Customers!$A$2:$A$451,0)),"Unknown")</x:f>
        <x:v>Premium</x:v>
      </x:c>
    </x:row>
    <x:row r="217">
      <x:c r="A217" t="n">
        <x:v>38</x:v>
      </x:c>
      <x:c r="B217" s="16" t="n">
        <x:v>46235</x:v>
      </x:c>
      <x:c r="C217" t="n">
        <x:v>1</x:v>
      </x:c>
      <x:c r="D217" t="n">
        <x:v>12</x:v>
      </x:c>
      <x:c r="E217" s="18" t="n">
        <x:v>1335.78</x:v>
      </x:c>
      <x:c r="F217" s="18" t="n">
        <x:v>17</x:v>
      </x:c>
      <x:c r="G217" s="18" t="n">
        <x:v>6.01</x:v>
      </x:c>
      <x:c r="H217" s="18" t="n">
        <x:v>3.05</x:v>
      </x:c>
      <x:c r="I217" s="18" t="n">
        <x:v>26.06</x:v>
      </x:c>
      <x:c r="J217" t="n">
        <x:f>IF(A217=A216,IFERROR(IF(B217=EDATE(B216,1),C216,0),0),0)</x:f>
        <x:v>1</x:v>
      </x:c>
      <x:c r="K217" t="n">
        <x:f>IF(AND(J217=1,C217=0),1,0)</x:f>
        <x:v>0</x:v>
      </x:c>
      <x:c r="L217" t="str">
        <x:f>IFERROR(INDEX(Customers!$C$2:$C$451,MATCH(A217,Customers!$A$2:$A$451,0)),"Unknown")</x:f>
        <x:v>Premium</x:v>
      </x:c>
    </x:row>
    <x:row r="218">
      <x:c r="A218" t="n">
        <x:v>38</x:v>
      </x:c>
      <x:c r="B218" s="16" t="n">
        <x:v>46266</x:v>
      </x:c>
      <x:c r="C218" t="n">
        <x:v>1</x:v>
      </x:c>
      <x:c r="D218" t="n">
        <x:v>32</x:v>
      </x:c>
      <x:c r="E218" s="18" t="n">
        <x:v>1594.13</x:v>
      </x:c>
      <x:c r="F218" s="18" t="n">
        <x:v>17</x:v>
      </x:c>
      <x:c r="G218" s="18" t="n">
        <x:v>7.17</x:v>
      </x:c>
      <x:c r="H218" s="18" t="n">
        <x:v>5.56</x:v>
      </x:c>
      <x:c r="I218" s="18" t="n">
        <x:v>29.73</x:v>
      </x:c>
      <x:c r="J218" t="n">
        <x:f>IF(A218=A217,IFERROR(IF(B218=EDATE(B217,1),C217,0),0),0)</x:f>
        <x:v>1</x:v>
      </x:c>
      <x:c r="K218" t="n">
        <x:f>IF(AND(J218=1,C218=0),1,0)</x:f>
        <x:v>0</x:v>
      </x:c>
      <x:c r="L218" t="str">
        <x:f>IFERROR(INDEX(Customers!$C$2:$C$451,MATCH(A218,Customers!$A$2:$A$451,0)),"Unknown")</x:f>
        <x:v>Premium</x:v>
      </x:c>
    </x:row>
    <x:row r="219">
      <x:c r="A219" t="n">
        <x:v>39</x:v>
      </x:c>
      <x:c r="B219" s="16" t="n">
        <x:v>46174</x:v>
      </x:c>
      <x:c r="C219" t="n">
        <x:v>0</x:v>
      </x:c>
      <x:c r="D219" t="n">
        <x:v>0</x:v>
      </x:c>
      <x:c r="E219" s="18" t="n">
        <x:v>0</x:v>
      </x:c>
      <x:c r="F219" s="18" t="n">
        <x:v>0</x:v>
      </x:c>
      <x:c r="G219" s="18" t="n">
        <x:v>0</x:v>
      </x:c>
      <x:c r="H219" s="18" t="n">
        <x:v>0</x:v>
      </x:c>
      <x:c r="I219" s="18" t="n">
        <x:v>0</x:v>
      </x:c>
      <x:c r="J219" t="n">
        <x:f>IF(A219=A218,IFERROR(IF(B219=EDATE(B218,1),C218,0),0),0)</x:f>
        <x:v>0</x:v>
      </x:c>
      <x:c r="K219" t="n">
        <x:f>IF(AND(J219=1,C219=0),1,0)</x:f>
        <x:v>0</x:v>
      </x:c>
      <x:c r="L219" t="str">
        <x:f>IFERROR(INDEX(Customers!$C$2:$C$451,MATCH(A219,Customers!$A$2:$A$451,0)),"Unknown")</x:f>
        <x:v>Standard</x:v>
      </x:c>
    </x:row>
    <x:row r="220">
      <x:c r="A220" t="n">
        <x:v>39</x:v>
      </x:c>
      <x:c r="B220" s="16" t="n">
        <x:v>46204</x:v>
      </x:c>
      <x:c r="C220" t="n">
        <x:v>1</x:v>
      </x:c>
      <x:c r="D220" t="n">
        <x:v>17</x:v>
      </x:c>
      <x:c r="E220" s="18" t="n">
        <x:v>2047.03</x:v>
      </x:c>
      <x:c r="F220" s="18" t="n">
        <x:v>0</x:v>
      </x:c>
      <x:c r="G220" s="18" t="n">
        <x:v>9.21</x:v>
      </x:c>
      <x:c r="H220" s="18" t="n">
        <x:v>1.86</x:v>
      </x:c>
      <x:c r="I220" s="18" t="n">
        <x:v>11.07</x:v>
      </x:c>
      <x:c r="J220" t="n">
        <x:f>IF(A220=A219,IFERROR(IF(B220=EDATE(B219,1),C219,0),0),0)</x:f>
        <x:v>0</x:v>
      </x:c>
      <x:c r="K220" t="n">
        <x:f>IF(AND(J220=1,C220=0),1,0)</x:f>
        <x:v>0</x:v>
      </x:c>
      <x:c r="L220" t="str">
        <x:f>IFERROR(INDEX(Customers!$C$2:$C$451,MATCH(A220,Customers!$A$2:$A$451,0)),"Unknown")</x:f>
        <x:v>Standard</x:v>
      </x:c>
    </x:row>
    <x:row r="221">
      <x:c r="A221" t="n">
        <x:v>39</x:v>
      </x:c>
      <x:c r="B221" s="16" t="n">
        <x:v>46235</x:v>
      </x:c>
      <x:c r="C221" t="n">
        <x:v>1</x:v>
      </x:c>
      <x:c r="D221" t="n">
        <x:v>17</x:v>
      </x:c>
      <x:c r="E221" s="18" t="n">
        <x:v>1328.13</x:v>
      </x:c>
      <x:c r="F221" s="18" t="n">
        <x:v>0</x:v>
      </x:c>
      <x:c r="G221" s="18" t="n">
        <x:v>5.98</x:v>
      </x:c>
      <x:c r="H221" s="18" t="n">
        <x:v>2.2</x:v>
      </x:c>
      <x:c r="I221" s="18" t="n">
        <x:v>8.18</x:v>
      </x:c>
      <x:c r="J221" t="n">
        <x:f>IF(A221=A220,IFERROR(IF(B221=EDATE(B220,1),C220,0),0),0)</x:f>
        <x:v>1</x:v>
      </x:c>
      <x:c r="K221" t="n">
        <x:f>IF(AND(J221=1,C221=0),1,0)</x:f>
        <x:v>0</x:v>
      </x:c>
      <x:c r="L221" t="str">
        <x:f>IFERROR(INDEX(Customers!$C$2:$C$451,MATCH(A221,Customers!$A$2:$A$451,0)),"Unknown")</x:f>
        <x:v>Standard</x:v>
      </x:c>
    </x:row>
    <x:row r="222">
      <x:c r="A222" t="n">
        <x:v>39</x:v>
      </x:c>
      <x:c r="B222" s="16" t="n">
        <x:v>46266</x:v>
      </x:c>
      <x:c r="C222" t="n">
        <x:v>1</x:v>
      </x:c>
      <x:c r="D222" t="n">
        <x:v>27</x:v>
      </x:c>
      <x:c r="E222" s="18" t="n">
        <x:v>2515.39</x:v>
      </x:c>
      <x:c r="F222" s="18" t="n">
        <x:v>0</x:v>
      </x:c>
      <x:c r="G222" s="18" t="n">
        <x:v>11.32</x:v>
      </x:c>
      <x:c r="H222" s="18" t="n">
        <x:v>2.83</x:v>
      </x:c>
      <x:c r="I222" s="18" t="n">
        <x:v>14.15</x:v>
      </x:c>
      <x:c r="J222" t="n">
        <x:f>IF(A222=A221,IFERROR(IF(B222=EDATE(B221,1),C221,0),0),0)</x:f>
        <x:v>1</x:v>
      </x:c>
      <x:c r="K222" t="n">
        <x:f>IF(AND(J222=1,C222=0),1,0)</x:f>
        <x:v>0</x:v>
      </x:c>
      <x:c r="L222" t="str">
        <x:f>IFERROR(INDEX(Customers!$C$2:$C$451,MATCH(A222,Customers!$A$2:$A$451,0)),"Unknown")</x:f>
        <x:v>Standard</x:v>
      </x:c>
    </x:row>
    <x:row r="223">
      <x:c r="A223" t="n">
        <x:v>40</x:v>
      </x:c>
      <x:c r="B223" s="16" t="n">
        <x:v>46113</x:v>
      </x:c>
      <x:c r="C223" t="n">
        <x:v>1</x:v>
      </x:c>
      <x:c r="D223" t="n">
        <x:v>22</x:v>
      </x:c>
      <x:c r="E223" s="18" t="n">
        <x:v>2449.69</x:v>
      </x:c>
      <x:c r="F223" s="18" t="n">
        <x:v>34</x:v>
      </x:c>
      <x:c r="G223" s="18" t="n">
        <x:v>11.02</x:v>
      </x:c>
      <x:c r="H223" s="18" t="n">
        <x:v>5.86</x:v>
      </x:c>
      <x:c r="I223" s="18" t="n">
        <x:v>50.88</x:v>
      </x:c>
      <x:c r="J223" t="n">
        <x:f>IF(A223=A222,IFERROR(IF(B223=EDATE(B222,1),C222,0),0),0)</x:f>
        <x:v>0</x:v>
      </x:c>
      <x:c r="K223" t="n">
        <x:f>IF(AND(J223=1,C223=0),1,0)</x:f>
        <x:v>0</x:v>
      </x:c>
      <x:c r="L223" t="str">
        <x:f>IFERROR(INDEX(Customers!$C$2:$C$451,MATCH(A223,Customers!$A$2:$A$451,0)),"Unknown")</x:f>
        <x:v>Metal</x:v>
      </x:c>
    </x:row>
    <x:row r="224">
      <x:c r="A224" t="n">
        <x:v>40</x:v>
      </x:c>
      <x:c r="B224" s="16" t="n">
        <x:v>46143</x:v>
      </x:c>
      <x:c r="C224" t="n">
        <x:v>1</x:v>
      </x:c>
      <x:c r="D224" t="n">
        <x:v>32</x:v>
      </x:c>
      <x:c r="E224" s="18" t="n">
        <x:v>3187.39</x:v>
      </x:c>
      <x:c r="F224" s="18" t="n">
        <x:v>34</x:v>
      </x:c>
      <x:c r="G224" s="18" t="n">
        <x:v>14.34</x:v>
      </x:c>
      <x:c r="H224" s="18" t="n">
        <x:v>2.68</x:v>
      </x:c>
      <x:c r="I224" s="18" t="n">
        <x:v>51.02</x:v>
      </x:c>
      <x:c r="J224" t="n">
        <x:f>IF(A224=A223,IFERROR(IF(B224=EDATE(B223,1),C223,0),0),0)</x:f>
        <x:v>1</x:v>
      </x:c>
      <x:c r="K224" t="n">
        <x:f>IF(AND(J224=1,C224=0),1,0)</x:f>
        <x:v>0</x:v>
      </x:c>
      <x:c r="L224" t="str">
        <x:f>IFERROR(INDEX(Customers!$C$2:$C$451,MATCH(A224,Customers!$A$2:$A$451,0)),"Unknown")</x:f>
        <x:v>Metal</x:v>
      </x:c>
    </x:row>
    <x:row r="225">
      <x:c r="A225" t="n">
        <x:v>40</x:v>
      </x:c>
      <x:c r="B225" s="16" t="n">
        <x:v>46174</x:v>
      </x:c>
      <x:c r="C225" t="n">
        <x:v>1</x:v>
      </x:c>
      <x:c r="D225" t="n">
        <x:v>13</x:v>
      </x:c>
      <x:c r="E225" s="18" t="n">
        <x:v>529.05</x:v>
      </x:c>
      <x:c r="F225" s="18" t="n">
        <x:v>34</x:v>
      </x:c>
      <x:c r="G225" s="18" t="n">
        <x:v>2.38</x:v>
      </x:c>
      <x:c r="H225" s="18" t="n">
        <x:v>0.46</x:v>
      </x:c>
      <x:c r="I225" s="18" t="n">
        <x:v>36.84</x:v>
      </x:c>
      <x:c r="J225" t="n">
        <x:f>IF(A225=A224,IFERROR(IF(B225=EDATE(B224,1),C224,0),0),0)</x:f>
        <x:v>1</x:v>
      </x:c>
      <x:c r="K225" t="n">
        <x:f>IF(AND(J225=1,C225=0),1,0)</x:f>
        <x:v>0</x:v>
      </x:c>
      <x:c r="L225" t="str">
        <x:f>IFERROR(INDEX(Customers!$C$2:$C$451,MATCH(A225,Customers!$A$2:$A$451,0)),"Unknown")</x:f>
        <x:v>Metal</x:v>
      </x:c>
    </x:row>
    <x:row r="226">
      <x:c r="A226" t="n">
        <x:v>40</x:v>
      </x:c>
      <x:c r="B226" s="16" t="n">
        <x:v>46204</x:v>
      </x:c>
      <x:c r="C226" t="n">
        <x:v>0</x:v>
      </x:c>
      <x:c r="D226" t="n">
        <x:v>0</x:v>
      </x:c>
      <x:c r="E226" s="18" t="n">
        <x:v>0</x:v>
      </x:c>
      <x:c r="F226" s="18" t="n">
        <x:v>0</x:v>
      </x:c>
      <x:c r="G226" s="18" t="n">
        <x:v>0</x:v>
      </x:c>
      <x:c r="H226" s="18" t="n">
        <x:v>0</x:v>
      </x:c>
      <x:c r="I226" s="18" t="n">
        <x:v>0</x:v>
      </x:c>
      <x:c r="J226" t="n">
        <x:f>IF(A226=A225,IFERROR(IF(B226=EDATE(B225,1),C225,0),0),0)</x:f>
        <x:v>1</x:v>
      </x:c>
      <x:c r="K226" t="n">
        <x:f>IF(AND(J226=1,C226=0),1,0)</x:f>
        <x:v>1</x:v>
      </x:c>
      <x:c r="L226" t="str">
        <x:f>IFERROR(INDEX(Customers!$C$2:$C$451,MATCH(A226,Customers!$A$2:$A$451,0)),"Unknown")</x:f>
        <x:v>Metal</x:v>
      </x:c>
    </x:row>
    <x:row r="227">
      <x:c r="A227" t="n">
        <x:v>40</x:v>
      </x:c>
      <x:c r="B227" s="16" t="n">
        <x:v>46235</x:v>
      </x:c>
      <x:c r="C227" t="n">
        <x:v>1</x:v>
      </x:c>
      <x:c r="D227" t="n">
        <x:v>25</x:v>
      </x:c>
      <x:c r="E227" s="18" t="n">
        <x:v>3100.45</x:v>
      </x:c>
      <x:c r="F227" s="18" t="n">
        <x:v>34</x:v>
      </x:c>
      <x:c r="G227" s="18" t="n">
        <x:v>13.95</x:v>
      </x:c>
      <x:c r="H227" s="18" t="n">
        <x:v>3.93</x:v>
      </x:c>
      <x:c r="I227" s="18" t="n">
        <x:v>51.88</x:v>
      </x:c>
      <x:c r="J227" t="n">
        <x:f>IF(A227=A226,IFERROR(IF(B227=EDATE(B226,1),C226,0),0),0)</x:f>
        <x:v>0</x:v>
      </x:c>
      <x:c r="K227" t="n">
        <x:f>IF(AND(J227=1,C227=0),1,0)</x:f>
        <x:v>0</x:v>
      </x:c>
      <x:c r="L227" t="str">
        <x:f>IFERROR(INDEX(Customers!$C$2:$C$451,MATCH(A227,Customers!$A$2:$A$451,0)),"Unknown")</x:f>
        <x:v>Metal</x:v>
      </x:c>
    </x:row>
    <x:row r="228">
      <x:c r="A228" t="n">
        <x:v>40</x:v>
      </x:c>
      <x:c r="B228" s="16" t="n">
        <x:v>46266</x:v>
      </x:c>
      <x:c r="C228" t="n">
        <x:v>0</x:v>
      </x:c>
      <x:c r="D228" t="n">
        <x:v>0</x:v>
      </x:c>
      <x:c r="E228" s="18" t="n">
        <x:v>0</x:v>
      </x:c>
      <x:c r="F228" s="18" t="n">
        <x:v>0</x:v>
      </x:c>
      <x:c r="G228" s="18" t="n">
        <x:v>0</x:v>
      </x:c>
      <x:c r="H228" s="18" t="n">
        <x:v>0</x:v>
      </x:c>
      <x:c r="I228" s="18" t="n">
        <x:v>0</x:v>
      </x:c>
      <x:c r="J228" t="n">
        <x:f>IF(A228=A227,IFERROR(IF(B228=EDATE(B227,1),C227,0),0),0)</x:f>
        <x:v>1</x:v>
      </x:c>
      <x:c r="K228" t="n">
        <x:f>IF(AND(J228=1,C228=0),1,0)</x:f>
        <x:v>1</x:v>
      </x:c>
      <x:c r="L228" t="str">
        <x:f>IFERROR(INDEX(Customers!$C$2:$C$451,MATCH(A228,Customers!$A$2:$A$451,0)),"Unknown")</x:f>
        <x:v>Metal</x:v>
      </x:c>
    </x:row>
    <x:row r="229">
      <x:c r="A229" t="n">
        <x:v>41</x:v>
      </x:c>
      <x:c r="B229" s="16" t="n">
        <x:v>46143</x:v>
      </x:c>
      <x:c r="C229" t="n">
        <x:v>1</x:v>
      </x:c>
      <x:c r="D229" t="n">
        <x:v>35</x:v>
      </x:c>
      <x:c r="E229" s="18" t="n">
        <x:v>2602.32</x:v>
      </x:c>
      <x:c r="F229" s="18" t="n">
        <x:v>0</x:v>
      </x:c>
      <x:c r="G229" s="18" t="n">
        <x:v>11.71</x:v>
      </x:c>
      <x:c r="H229" s="18" t="n">
        <x:v>8.94</x:v>
      </x:c>
      <x:c r="I229" s="18" t="n">
        <x:v>20.65</x:v>
      </x:c>
      <x:c r="J229" t="n">
        <x:f>IF(A229=A228,IFERROR(IF(B229=EDATE(B228,1),C228,0),0),0)</x:f>
        <x:v>0</x:v>
      </x:c>
      <x:c r="K229" t="n">
        <x:f>IF(AND(J229=1,C229=0),1,0)</x:f>
        <x:v>0</x:v>
      </x:c>
      <x:c r="L229" t="str">
        <x:f>IFERROR(INDEX(Customers!$C$2:$C$451,MATCH(A229,Customers!$A$2:$A$451,0)),"Unknown")</x:f>
        <x:v>Standard</x:v>
      </x:c>
    </x:row>
    <x:row r="230">
      <x:c r="A230" t="n">
        <x:v>41</x:v>
      </x:c>
      <x:c r="B230" s="16" t="n">
        <x:v>46174</x:v>
      </x:c>
      <x:c r="C230" t="n">
        <x:v>1</x:v>
      </x:c>
      <x:c r="D230" t="n">
        <x:v>8</x:v>
      </x:c>
      <x:c r="E230" s="18" t="n">
        <x:v>685.65</x:v>
      </x:c>
      <x:c r="F230" s="18" t="n">
        <x:v>0</x:v>
      </x:c>
      <x:c r="G230" s="18" t="n">
        <x:v>3.09</x:v>
      </x:c>
      <x:c r="H230" s="18" t="n">
        <x:v>1.84</x:v>
      </x:c>
      <x:c r="I230" s="18" t="n">
        <x:v>4.93</x:v>
      </x:c>
      <x:c r="J230" t="n">
        <x:f>IF(A230=A229,IFERROR(IF(B230=EDATE(B229,1),C229,0),0),0)</x:f>
        <x:v>1</x:v>
      </x:c>
      <x:c r="K230" t="n">
        <x:f>IF(AND(J230=1,C230=0),1,0)</x:f>
        <x:v>0</x:v>
      </x:c>
      <x:c r="L230" t="str">
        <x:f>IFERROR(INDEX(Customers!$C$2:$C$451,MATCH(A230,Customers!$A$2:$A$451,0)),"Unknown")</x:f>
        <x:v>Standard</x:v>
      </x:c>
    </x:row>
    <x:row r="231">
      <x:c r="A231" t="n">
        <x:v>41</x:v>
      </x:c>
      <x:c r="B231" s="16" t="n">
        <x:v>46204</x:v>
      </x:c>
      <x:c r="C231" t="n">
        <x:v>1</x:v>
      </x:c>
      <x:c r="D231" t="n">
        <x:v>5</x:v>
      </x:c>
      <x:c r="E231" s="18" t="n">
        <x:v>201.44</x:v>
      </x:c>
      <x:c r="F231" s="18" t="n">
        <x:v>0</x:v>
      </x:c>
      <x:c r="G231" s="18" t="n">
        <x:v>0.91</x:v>
      </x:c>
      <x:c r="H231" s="18" t="n">
        <x:v>0.52</x:v>
      </x:c>
      <x:c r="I231" s="18" t="n">
        <x:v>1.43</x:v>
      </x:c>
      <x:c r="J231" t="n">
        <x:f>IF(A231=A230,IFERROR(IF(B231=EDATE(B230,1),C230,0),0),0)</x:f>
        <x:v>1</x:v>
      </x:c>
      <x:c r="K231" t="n">
        <x:f>IF(AND(J231=1,C231=0),1,0)</x:f>
        <x:v>0</x:v>
      </x:c>
      <x:c r="L231" t="str">
        <x:f>IFERROR(INDEX(Customers!$C$2:$C$451,MATCH(A231,Customers!$A$2:$A$451,0)),"Unknown")</x:f>
        <x:v>Standard</x:v>
      </x:c>
    </x:row>
    <x:row r="232">
      <x:c r="A232" t="n">
        <x:v>41</x:v>
      </x:c>
      <x:c r="B232" s="16" t="n">
        <x:v>46235</x:v>
      </x:c>
      <x:c r="C232" t="n">
        <x:v>1</x:v>
      </x:c>
      <x:c r="D232" t="n">
        <x:v>14</x:v>
      </x:c>
      <x:c r="E232" s="18" t="n">
        <x:v>799.26</x:v>
      </x:c>
      <x:c r="F232" s="18" t="n">
        <x:v>0</x:v>
      </x:c>
      <x:c r="G232" s="18" t="n">
        <x:v>3.6</x:v>
      </x:c>
      <x:c r="H232" s="18" t="n">
        <x:v>2.75</x:v>
      </x:c>
      <x:c r="I232" s="18" t="n">
        <x:v>6.35</x:v>
      </x:c>
      <x:c r="J232" t="n">
        <x:f>IF(A232=A231,IFERROR(IF(B232=EDATE(B231,1),C231,0),0),0)</x:f>
        <x:v>1</x:v>
      </x:c>
      <x:c r="K232" t="n">
        <x:f>IF(AND(J232=1,C232=0),1,0)</x:f>
        <x:v>0</x:v>
      </x:c>
      <x:c r="L232" t="str">
        <x:f>IFERROR(INDEX(Customers!$C$2:$C$451,MATCH(A232,Customers!$A$2:$A$451,0)),"Unknown")</x:f>
        <x:v>Standard</x:v>
      </x:c>
    </x:row>
    <x:row r="233">
      <x:c r="A233" t="n">
        <x:v>41</x:v>
      </x:c>
      <x:c r="B233" s="16" t="n">
        <x:v>46266</x:v>
      </x:c>
      <x:c r="C233" t="n">
        <x:v>1</x:v>
      </x:c>
      <x:c r="D233" t="n">
        <x:v>5</x:v>
      </x:c>
      <x:c r="E233" s="18" t="n">
        <x:v>260.33</x:v>
      </x:c>
      <x:c r="F233" s="18" t="n">
        <x:v>0</x:v>
      </x:c>
      <x:c r="G233" s="18" t="n">
        <x:v>1.17</x:v>
      </x:c>
      <x:c r="H233" s="18" t="n">
        <x:v>0.86</x:v>
      </x:c>
      <x:c r="I233" s="18" t="n">
        <x:v>2.03</x:v>
      </x:c>
      <x:c r="J233" t="n">
        <x:f>IF(A233=A232,IFERROR(IF(B233=EDATE(B232,1),C232,0),0),0)</x:f>
        <x:v>1</x:v>
      </x:c>
      <x:c r="K233" t="n">
        <x:f>IF(AND(J233=1,C233=0),1,0)</x:f>
        <x:v>0</x:v>
      </x:c>
      <x:c r="L233" t="str">
        <x:f>IFERROR(INDEX(Customers!$C$2:$C$451,MATCH(A233,Customers!$A$2:$A$451,0)),"Unknown")</x:f>
        <x:v>Standard</x:v>
      </x:c>
    </x:row>
    <x:row r="234">
      <x:c r="A234" t="n">
        <x:v>42</x:v>
      </x:c>
      <x:c r="B234" s="16" t="n">
        <x:v>46113</x:v>
      </x:c>
      <x:c r="C234" t="n">
        <x:v>1</x:v>
      </x:c>
      <x:c r="D234" t="n">
        <x:v>13</x:v>
      </x:c>
      <x:c r="E234" s="18" t="n">
        <x:v>1173.16</x:v>
      </x:c>
      <x:c r="F234" s="18" t="n">
        <x:v>0</x:v>
      </x:c>
      <x:c r="G234" s="18" t="n">
        <x:v>5.28</x:v>
      </x:c>
      <x:c r="H234" s="18" t="n">
        <x:v>0.98</x:v>
      </x:c>
      <x:c r="I234" s="18" t="n">
        <x:v>6.26</x:v>
      </x:c>
      <x:c r="J234" t="n">
        <x:f>IF(A234=A233,IFERROR(IF(B234=EDATE(B233,1),C233,0),0),0)</x:f>
        <x:v>0</x:v>
      </x:c>
      <x:c r="K234" t="n">
        <x:f>IF(AND(J234=1,C234=0),1,0)</x:f>
        <x:v>0</x:v>
      </x:c>
      <x:c r="L234" t="str">
        <x:f>IFERROR(INDEX(Customers!$C$2:$C$451,MATCH(A234,Customers!$A$2:$A$451,0)),"Unknown")</x:f>
        <x:v>Standard</x:v>
      </x:c>
    </x:row>
    <x:row r="235">
      <x:c r="A235" t="n">
        <x:v>42</x:v>
      </x:c>
      <x:c r="B235" s="16" t="n">
        <x:v>46143</x:v>
      </x:c>
      <x:c r="C235" t="n">
        <x:v>1</x:v>
      </x:c>
      <x:c r="D235" t="n">
        <x:v>4</x:v>
      </x:c>
      <x:c r="E235" s="18" t="n">
        <x:v>334.19</x:v>
      </x:c>
      <x:c r="F235" s="18" t="n">
        <x:v>0</x:v>
      </x:c>
      <x:c r="G235" s="18" t="n">
        <x:v>1.5</x:v>
      </x:c>
      <x:c r="H235" s="18" t="n">
        <x:v>1.25</x:v>
      </x:c>
      <x:c r="I235" s="18" t="n">
        <x:v>2.75</x:v>
      </x:c>
      <x:c r="J235" t="n">
        <x:f>IF(A235=A234,IFERROR(IF(B235=EDATE(B234,1),C234,0),0),0)</x:f>
        <x:v>1</x:v>
      </x:c>
      <x:c r="K235" t="n">
        <x:f>IF(AND(J235=1,C235=0),1,0)</x:f>
        <x:v>0</x:v>
      </x:c>
      <x:c r="L235" t="str">
        <x:f>IFERROR(INDEX(Customers!$C$2:$C$451,MATCH(A235,Customers!$A$2:$A$451,0)),"Unknown")</x:f>
        <x:v>Standard</x:v>
      </x:c>
    </x:row>
    <x:row r="236">
      <x:c r="A236" t="n">
        <x:v>42</x:v>
      </x:c>
      <x:c r="B236" s="16" t="n">
        <x:v>46174</x:v>
      </x:c>
      <x:c r="C236" t="n">
        <x:v>1</x:v>
      </x:c>
      <x:c r="D236" t="n">
        <x:v>25</x:v>
      </x:c>
      <x:c r="E236" s="18" t="n">
        <x:v>2020.11</x:v>
      </x:c>
      <x:c r="F236" s="18" t="n">
        <x:v>0</x:v>
      </x:c>
      <x:c r="G236" s="18" t="n">
        <x:v>9.09</x:v>
      </x:c>
      <x:c r="H236" s="18" t="n">
        <x:v>4.76</x:v>
      </x:c>
      <x:c r="I236" s="18" t="n">
        <x:v>13.85</x:v>
      </x:c>
      <x:c r="J236" t="n">
        <x:f>IF(A236=A235,IFERROR(IF(B236=EDATE(B235,1),C235,0),0),0)</x:f>
        <x:v>1</x:v>
      </x:c>
      <x:c r="K236" t="n">
        <x:f>IF(AND(J236=1,C236=0),1,0)</x:f>
        <x:v>0</x:v>
      </x:c>
      <x:c r="L236" t="str">
        <x:f>IFERROR(INDEX(Customers!$C$2:$C$451,MATCH(A236,Customers!$A$2:$A$451,0)),"Unknown")</x:f>
        <x:v>Standard</x:v>
      </x:c>
    </x:row>
    <x:row r="237">
      <x:c r="A237" t="n">
        <x:v>42</x:v>
      </x:c>
      <x:c r="B237" s="16" t="n">
        <x:v>46204</x:v>
      </x:c>
      <x:c r="C237" t="n">
        <x:v>0</x:v>
      </x:c>
      <x:c r="D237" t="n">
        <x:v>0</x:v>
      </x:c>
      <x:c r="E237" s="18" t="n">
        <x:v>0</x:v>
      </x:c>
      <x:c r="F237" s="18" t="n">
        <x:v>0</x:v>
      </x:c>
      <x:c r="G237" s="18" t="n">
        <x:v>0</x:v>
      </x:c>
      <x:c r="H237" s="18" t="n">
        <x:v>0</x:v>
      </x:c>
      <x:c r="I237" s="18" t="n">
        <x:v>0</x:v>
      </x:c>
      <x:c r="J237" t="n">
        <x:f>IF(A237=A236,IFERROR(IF(B237=EDATE(B236,1),C236,0),0),0)</x:f>
        <x:v>1</x:v>
      </x:c>
      <x:c r="K237" t="n">
        <x:f>IF(AND(J237=1,C237=0),1,0)</x:f>
        <x:v>1</x:v>
      </x:c>
      <x:c r="L237" t="str">
        <x:f>IFERROR(INDEX(Customers!$C$2:$C$451,MATCH(A237,Customers!$A$2:$A$451,0)),"Unknown")</x:f>
        <x:v>Standard</x:v>
      </x:c>
    </x:row>
    <x:row r="238">
      <x:c r="A238" t="n">
        <x:v>42</x:v>
      </x:c>
      <x:c r="B238" s="16" t="n">
        <x:v>46235</x:v>
      </x:c>
      <x:c r="C238" t="n">
        <x:v>1</x:v>
      </x:c>
      <x:c r="D238" t="n">
        <x:v>17</x:v>
      </x:c>
      <x:c r="E238" s="18" t="n">
        <x:v>1828.76</x:v>
      </x:c>
      <x:c r="F238" s="18" t="n">
        <x:v>0</x:v>
      </x:c>
      <x:c r="G238" s="18" t="n">
        <x:v>8.23</x:v>
      </x:c>
      <x:c r="H238" s="18" t="n">
        <x:v>4.07</x:v>
      </x:c>
      <x:c r="I238" s="18" t="n">
        <x:v>12.3</x:v>
      </x:c>
      <x:c r="J238" t="n">
        <x:f>IF(A238=A237,IFERROR(IF(B238=EDATE(B237,1),C237,0),0),0)</x:f>
        <x:v>0</x:v>
      </x:c>
      <x:c r="K238" t="n">
        <x:f>IF(AND(J238=1,C238=0),1,0)</x:f>
        <x:v>0</x:v>
      </x:c>
      <x:c r="L238" t="str">
        <x:f>IFERROR(INDEX(Customers!$C$2:$C$451,MATCH(A238,Customers!$A$2:$A$451,0)),"Unknown")</x:f>
        <x:v>Standard</x:v>
      </x:c>
    </x:row>
    <x:row r="239">
      <x:c r="A239" t="n">
        <x:v>42</x:v>
      </x:c>
      <x:c r="B239" s="16" t="n">
        <x:v>46266</x:v>
      </x:c>
      <x:c r="C239" t="n">
        <x:v>1</x:v>
      </x:c>
      <x:c r="D239" t="n">
        <x:v>22</x:v>
      </x:c>
      <x:c r="E239" s="18" t="n">
        <x:v>2880.55</x:v>
      </x:c>
      <x:c r="F239" s="18" t="n">
        <x:v>0</x:v>
      </x:c>
      <x:c r="G239" s="18" t="n">
        <x:v>12.96</x:v>
      </x:c>
      <x:c r="H239" s="18" t="n">
        <x:v>9.38</x:v>
      </x:c>
      <x:c r="I239" s="18" t="n">
        <x:v>22.34</x:v>
      </x:c>
      <x:c r="J239" t="n">
        <x:f>IF(A239=A238,IFERROR(IF(B239=EDATE(B238,1),C238,0),0),0)</x:f>
        <x:v>1</x:v>
      </x:c>
      <x:c r="K239" t="n">
        <x:f>IF(AND(J239=1,C239=0),1,0)</x:f>
        <x:v>0</x:v>
      </x:c>
      <x:c r="L239" t="str">
        <x:f>IFERROR(INDEX(Customers!$C$2:$C$451,MATCH(A239,Customers!$A$2:$A$451,0)),"Unknown")</x:f>
        <x:v>Standard</x:v>
      </x:c>
    </x:row>
    <x:row r="240">
      <x:c r="A240" t="n">
        <x:v>43</x:v>
      </x:c>
      <x:c r="B240" s="16" t="n">
        <x:v>46143</x:v>
      </x:c>
      <x:c r="C240" t="n">
        <x:v>1</x:v>
      </x:c>
      <x:c r="D240" t="n">
        <x:v>30</x:v>
      </x:c>
      <x:c r="E240" s="18" t="n">
        <x:v>2145.66</x:v>
      </x:c>
      <x:c r="F240" s="18" t="n">
        <x:v>8</x:v>
      </x:c>
      <x:c r="G240" s="18" t="n">
        <x:v>9.66</x:v>
      </x:c>
      <x:c r="H240" s="18" t="n">
        <x:v>4.92</x:v>
      </x:c>
      <x:c r="I240" s="18" t="n">
        <x:v>22.58</x:v>
      </x:c>
      <x:c r="J240" t="n">
        <x:f>IF(A240=A239,IFERROR(IF(B240=EDATE(B239,1),C239,0),0),0)</x:f>
        <x:v>0</x:v>
      </x:c>
      <x:c r="K240" t="n">
        <x:f>IF(AND(J240=1,C240=0),1,0)</x:f>
        <x:v>0</x:v>
      </x:c>
      <x:c r="L240" t="str">
        <x:f>IFERROR(INDEX(Customers!$C$2:$C$451,MATCH(A240,Customers!$A$2:$A$451,0)),"Unknown")</x:f>
        <x:v>Plus</x:v>
      </x:c>
    </x:row>
    <x:row r="241">
      <x:c r="A241" t="n">
        <x:v>43</x:v>
      </x:c>
      <x:c r="B241" s="16" t="n">
        <x:v>46174</x:v>
      </x:c>
      <x:c r="C241" t="n">
        <x:v>1</x:v>
      </x:c>
      <x:c r="D241" t="n">
        <x:v>35</x:v>
      </x:c>
      <x:c r="E241" s="18" t="n">
        <x:v>3429.77</x:v>
      </x:c>
      <x:c r="F241" s="18" t="n">
        <x:v>8</x:v>
      </x:c>
      <x:c r="G241" s="18" t="n">
        <x:v>15.43</x:v>
      </x:c>
      <x:c r="H241" s="18" t="n">
        <x:v>3.95</x:v>
      </x:c>
      <x:c r="I241" s="18" t="n">
        <x:v>27.38</x:v>
      </x:c>
      <x:c r="J241" t="n">
        <x:f>IF(A241=A240,IFERROR(IF(B241=EDATE(B240,1),C240,0),0),0)</x:f>
        <x:v>1</x:v>
      </x:c>
      <x:c r="K241" t="n">
        <x:f>IF(AND(J241=1,C241=0),1,0)</x:f>
        <x:v>0</x:v>
      </x:c>
      <x:c r="L241" t="str">
        <x:f>IFERROR(INDEX(Customers!$C$2:$C$451,MATCH(A241,Customers!$A$2:$A$451,0)),"Unknown")</x:f>
        <x:v>Plus</x:v>
      </x:c>
    </x:row>
    <x:row r="242">
      <x:c r="A242" t="n">
        <x:v>43</x:v>
      </x:c>
      <x:c r="B242" s="16" t="n">
        <x:v>46204</x:v>
      </x:c>
      <x:c r="C242" t="n">
        <x:v>0</x:v>
      </x:c>
      <x:c r="D242" t="n">
        <x:v>0</x:v>
      </x:c>
      <x:c r="E242" s="18" t="n">
        <x:v>0</x:v>
      </x:c>
      <x:c r="F242" s="18" t="n">
        <x:v>0</x:v>
      </x:c>
      <x:c r="G242" s="18" t="n">
        <x:v>0</x:v>
      </x:c>
      <x:c r="H242" s="18" t="n">
        <x:v>0</x:v>
      </x:c>
      <x:c r="I242" s="18" t="n">
        <x:v>0</x:v>
      </x:c>
      <x:c r="J242" t="n">
        <x:f>IF(A242=A241,IFERROR(IF(B242=EDATE(B241,1),C241,0),0),0)</x:f>
        <x:v>1</x:v>
      </x:c>
      <x:c r="K242" t="n">
        <x:f>IF(AND(J242=1,C242=0),1,0)</x:f>
        <x:v>1</x:v>
      </x:c>
      <x:c r="L242" t="str">
        <x:f>IFERROR(INDEX(Customers!$C$2:$C$451,MATCH(A242,Customers!$A$2:$A$451,0)),"Unknown")</x:f>
        <x:v>Plus</x:v>
      </x:c>
    </x:row>
    <x:row r="243">
      <x:c r="A243" t="n">
        <x:v>43</x:v>
      </x:c>
      <x:c r="B243" s="16" t="n">
        <x:v>46235</x:v>
      </x:c>
      <x:c r="C243" t="n">
        <x:v>1</x:v>
      </x:c>
      <x:c r="D243" t="n">
        <x:v>19</x:v>
      </x:c>
      <x:c r="E243" s="18" t="n">
        <x:v>1341.08</x:v>
      </x:c>
      <x:c r="F243" s="18" t="n">
        <x:v>8</x:v>
      </x:c>
      <x:c r="G243" s="18" t="n">
        <x:v>6.03</x:v>
      </x:c>
      <x:c r="H243" s="18" t="n">
        <x:v>2.26</x:v>
      </x:c>
      <x:c r="I243" s="18" t="n">
        <x:v>16.29</x:v>
      </x:c>
      <x:c r="J243" t="n">
        <x:f>IF(A243=A242,IFERROR(IF(B243=EDATE(B242,1),C242,0),0),0)</x:f>
        <x:v>0</x:v>
      </x:c>
      <x:c r="K243" t="n">
        <x:f>IF(AND(J243=1,C243=0),1,0)</x:f>
        <x:v>0</x:v>
      </x:c>
      <x:c r="L243" t="str">
        <x:f>IFERROR(INDEX(Customers!$C$2:$C$451,MATCH(A243,Customers!$A$2:$A$451,0)),"Unknown")</x:f>
        <x:v>Plus</x:v>
      </x:c>
    </x:row>
    <x:row r="244">
      <x:c r="A244" t="n">
        <x:v>43</x:v>
      </x:c>
      <x:c r="B244" s="16" t="n">
        <x:v>46266</x:v>
      </x:c>
      <x:c r="C244" t="n">
        <x:v>0</x:v>
      </x:c>
      <x:c r="D244" t="n">
        <x:v>0</x:v>
      </x:c>
      <x:c r="E244" s="18" t="n">
        <x:v>0</x:v>
      </x:c>
      <x:c r="F244" s="18" t="n">
        <x:v>0</x:v>
      </x:c>
      <x:c r="G244" s="18" t="n">
        <x:v>0</x:v>
      </x:c>
      <x:c r="H244" s="18" t="n">
        <x:v>0</x:v>
      </x:c>
      <x:c r="I244" s="18" t="n">
        <x:v>0</x:v>
      </x:c>
      <x:c r="J244" t="n">
        <x:f>IF(A244=A243,IFERROR(IF(B244=EDATE(B243,1),C243,0),0),0)</x:f>
        <x:v>1</x:v>
      </x:c>
      <x:c r="K244" t="n">
        <x:f>IF(AND(J244=1,C244=0),1,0)</x:f>
        <x:v>1</x:v>
      </x:c>
      <x:c r="L244" t="str">
        <x:f>IFERROR(INDEX(Customers!$C$2:$C$451,MATCH(A244,Customers!$A$2:$A$451,0)),"Unknown")</x:f>
        <x:v>Plus</x:v>
      </x:c>
    </x:row>
    <x:row r="245">
      <x:c r="A245" t="n">
        <x:v>44</x:v>
      </x:c>
      <x:c r="B245" s="16" t="n">
        <x:v>46113</x:v>
      </x:c>
      <x:c r="C245" t="n">
        <x:v>1</x:v>
      </x:c>
      <x:c r="D245" t="n">
        <x:v>34</x:v>
      </x:c>
      <x:c r="E245" s="18" t="n">
        <x:v>2784.41</x:v>
      </x:c>
      <x:c r="F245" s="18" t="n">
        <x:v>17</x:v>
      </x:c>
      <x:c r="G245" s="18" t="n">
        <x:v>12.53</x:v>
      </x:c>
      <x:c r="H245" s="18" t="n">
        <x:v>6.21</x:v>
      </x:c>
      <x:c r="I245" s="18" t="n">
        <x:v>35.74</x:v>
      </x:c>
      <x:c r="J245" t="n">
        <x:f>IF(A245=A244,IFERROR(IF(B245=EDATE(B244,1),C244,0),0),0)</x:f>
        <x:v>0</x:v>
      </x:c>
      <x:c r="K245" t="n">
        <x:f>IF(AND(J245=1,C245=0),1,0)</x:f>
        <x:v>0</x:v>
      </x:c>
      <x:c r="L245" t="str">
        <x:f>IFERROR(INDEX(Customers!$C$2:$C$451,MATCH(A245,Customers!$A$2:$A$451,0)),"Unknown")</x:f>
        <x:v>Premium</x:v>
      </x:c>
    </x:row>
    <x:row r="246">
      <x:c r="A246" t="n">
        <x:v>44</x:v>
      </x:c>
      <x:c r="B246" s="16" t="n">
        <x:v>46143</x:v>
      </x:c>
      <x:c r="C246" t="n">
        <x:v>1</x:v>
      </x:c>
      <x:c r="D246" t="n">
        <x:v>16</x:v>
      </x:c>
      <x:c r="E246" s="18" t="n">
        <x:v>823.11</x:v>
      </x:c>
      <x:c r="F246" s="18" t="n">
        <x:v>17</x:v>
      </x:c>
      <x:c r="G246" s="18" t="n">
        <x:v>3.7</x:v>
      </x:c>
      <x:c r="H246" s="18" t="n">
        <x:v>2.9</x:v>
      </x:c>
      <x:c r="I246" s="18" t="n">
        <x:v>23.6</x:v>
      </x:c>
      <x:c r="J246" t="n">
        <x:f>IF(A246=A245,IFERROR(IF(B246=EDATE(B245,1),C245,0),0),0)</x:f>
        <x:v>1</x:v>
      </x:c>
      <x:c r="K246" t="n">
        <x:f>IF(AND(J246=1,C246=0),1,0)</x:f>
        <x:v>0</x:v>
      </x:c>
      <x:c r="L246" t="str">
        <x:f>IFERROR(INDEX(Customers!$C$2:$C$451,MATCH(A246,Customers!$A$2:$A$451,0)),"Unknown")</x:f>
        <x:v>Premium</x:v>
      </x:c>
    </x:row>
    <x:row r="247">
      <x:c r="A247" t="n">
        <x:v>44</x:v>
      </x:c>
      <x:c r="B247" s="16" t="n">
        <x:v>46174</x:v>
      </x:c>
      <x:c r="C247" t="n">
        <x:v>1</x:v>
      </x:c>
      <x:c r="D247" t="n">
        <x:v>21</x:v>
      </x:c>
      <x:c r="E247" s="18" t="n">
        <x:v>1583.5</x:v>
      </x:c>
      <x:c r="F247" s="18" t="n">
        <x:v>17</x:v>
      </x:c>
      <x:c r="G247" s="18" t="n">
        <x:v>7.13</x:v>
      </x:c>
      <x:c r="H247" s="18" t="n">
        <x:v>4.92</x:v>
      </x:c>
      <x:c r="I247" s="18" t="n">
        <x:v>29.05</x:v>
      </x:c>
      <x:c r="J247" t="n">
        <x:f>IF(A247=A246,IFERROR(IF(B247=EDATE(B246,1),C246,0),0),0)</x:f>
        <x:v>1</x:v>
      </x:c>
      <x:c r="K247" t="n">
        <x:f>IF(AND(J247=1,C247=0),1,0)</x:f>
        <x:v>0</x:v>
      </x:c>
      <x:c r="L247" t="str">
        <x:f>IFERROR(INDEX(Customers!$C$2:$C$451,MATCH(A247,Customers!$A$2:$A$451,0)),"Unknown")</x:f>
        <x:v>Premium</x:v>
      </x:c>
    </x:row>
    <x:row r="248">
      <x:c r="A248" t="n">
        <x:v>44</x:v>
      </x:c>
      <x:c r="B248" s="16" t="n">
        <x:v>46204</x:v>
      </x:c>
      <x:c r="C248" t="n">
        <x:v>1</x:v>
      </x:c>
      <x:c r="D248" t="n">
        <x:v>31</x:v>
      </x:c>
      <x:c r="E248" s="18" t="n">
        <x:v>3435.49</x:v>
      </x:c>
      <x:c r="F248" s="18" t="n">
        <x:v>17</x:v>
      </x:c>
      <x:c r="G248" s="18" t="n">
        <x:v>15.46</x:v>
      </x:c>
      <x:c r="H248" s="18" t="n">
        <x:v>5.97</x:v>
      </x:c>
      <x:c r="I248" s="18" t="n">
        <x:v>38.43</x:v>
      </x:c>
      <x:c r="J248" t="n">
        <x:f>IF(A248=A247,IFERROR(IF(B248=EDATE(B247,1),C247,0),0),0)</x:f>
        <x:v>1</x:v>
      </x:c>
      <x:c r="K248" t="n">
        <x:f>IF(AND(J248=1,C248=0),1,0)</x:f>
        <x:v>0</x:v>
      </x:c>
      <x:c r="L248" t="str">
        <x:f>IFERROR(INDEX(Customers!$C$2:$C$451,MATCH(A248,Customers!$A$2:$A$451,0)),"Unknown")</x:f>
        <x:v>Premium</x:v>
      </x:c>
    </x:row>
    <x:row r="249">
      <x:c r="A249" t="n">
        <x:v>44</x:v>
      </x:c>
      <x:c r="B249" s="16" t="n">
        <x:v>46235</x:v>
      </x:c>
      <x:c r="C249" t="n">
        <x:v>1</x:v>
      </x:c>
      <x:c r="D249" t="n">
        <x:v>13</x:v>
      </x:c>
      <x:c r="E249" s="18" t="n">
        <x:v>1701.75</x:v>
      </x:c>
      <x:c r="F249" s="18" t="n">
        <x:v>17</x:v>
      </x:c>
      <x:c r="G249" s="18" t="n">
        <x:v>7.66</x:v>
      </x:c>
      <x:c r="H249" s="18" t="n">
        <x:v>1.86</x:v>
      </x:c>
      <x:c r="I249" s="18" t="n">
        <x:v>26.52</x:v>
      </x:c>
      <x:c r="J249" t="n">
        <x:f>IF(A249=A248,IFERROR(IF(B249=EDATE(B248,1),C248,0),0),0)</x:f>
        <x:v>1</x:v>
      </x:c>
      <x:c r="K249" t="n">
        <x:f>IF(AND(J249=1,C249=0),1,0)</x:f>
        <x:v>0</x:v>
      </x:c>
      <x:c r="L249" t="str">
        <x:f>IFERROR(INDEX(Customers!$C$2:$C$451,MATCH(A249,Customers!$A$2:$A$451,0)),"Unknown")</x:f>
        <x:v>Premium</x:v>
      </x:c>
    </x:row>
    <x:row r="250">
      <x:c r="A250" t="n">
        <x:v>44</x:v>
      </x:c>
      <x:c r="B250" s="16" t="n">
        <x:v>46266</x:v>
      </x:c>
      <x:c r="C250" t="n">
        <x:v>1</x:v>
      </x:c>
      <x:c r="D250" t="n">
        <x:v>6</x:v>
      </x:c>
      <x:c r="E250" s="18" t="n">
        <x:v>721.51</x:v>
      </x:c>
      <x:c r="F250" s="18" t="n">
        <x:v>17</x:v>
      </x:c>
      <x:c r="G250" s="18" t="n">
        <x:v>3.25</x:v>
      </x:c>
      <x:c r="H250" s="18" t="n">
        <x:v>0.8</x:v>
      </x:c>
      <x:c r="I250" s="18" t="n">
        <x:v>21.05</x:v>
      </x:c>
      <x:c r="J250" t="n">
        <x:f>IF(A250=A249,IFERROR(IF(B250=EDATE(B249,1),C249,0),0),0)</x:f>
        <x:v>1</x:v>
      </x:c>
      <x:c r="K250" t="n">
        <x:f>IF(AND(J250=1,C250=0),1,0)</x:f>
        <x:v>0</x:v>
      </x:c>
      <x:c r="L250" t="str">
        <x:f>IFERROR(INDEX(Customers!$C$2:$C$451,MATCH(A250,Customers!$A$2:$A$451,0)),"Unknown")</x:f>
        <x:v>Premium</x:v>
      </x:c>
    </x:row>
    <x:row r="251">
      <x:c r="A251" t="n">
        <x:v>45</x:v>
      </x:c>
      <x:c r="B251" s="16" t="n">
        <x:v>46113</x:v>
      </x:c>
      <x:c r="C251" t="n">
        <x:v>1</x:v>
      </x:c>
      <x:c r="D251" t="n">
        <x:v>24</x:v>
      </x:c>
      <x:c r="E251" s="18" t="n">
        <x:v>2082.56</x:v>
      </x:c>
      <x:c r="F251" s="18" t="n">
        <x:v>8</x:v>
      </x:c>
      <x:c r="G251" s="18" t="n">
        <x:v>9.37</x:v>
      </x:c>
      <x:c r="H251" s="18" t="n">
        <x:v>6.81</x:v>
      </x:c>
      <x:c r="I251" s="18" t="n">
        <x:v>24.18</x:v>
      </x:c>
      <x:c r="J251" t="n">
        <x:f>IF(A251=A250,IFERROR(IF(B251=EDATE(B250,1),C250,0),0),0)</x:f>
        <x:v>0</x:v>
      </x:c>
      <x:c r="K251" t="n">
        <x:f>IF(AND(J251=1,C251=0),1,0)</x:f>
        <x:v>0</x:v>
      </x:c>
      <x:c r="L251" t="str">
        <x:f>IFERROR(INDEX(Customers!$C$2:$C$451,MATCH(A251,Customers!$A$2:$A$451,0)),"Unknown")</x:f>
        <x:v>Plus</x:v>
      </x:c>
    </x:row>
    <x:row r="252">
      <x:c r="A252" t="n">
        <x:v>45</x:v>
      </x:c>
      <x:c r="B252" s="16" t="n">
        <x:v>46143</x:v>
      </x:c>
      <x:c r="C252" t="n">
        <x:v>1</x:v>
      </x:c>
      <x:c r="D252" t="n">
        <x:v>4</x:v>
      </x:c>
      <x:c r="E252" s="18" t="n">
        <x:v>247.55</x:v>
      </x:c>
      <x:c r="F252" s="18" t="n">
        <x:v>8</x:v>
      </x:c>
      <x:c r="G252" s="18" t="n">
        <x:v>1.11</x:v>
      </x:c>
      <x:c r="H252" s="18" t="n">
        <x:v>0.63</x:v>
      </x:c>
      <x:c r="I252" s="18" t="n">
        <x:v>9.74</x:v>
      </x:c>
      <x:c r="J252" t="n">
        <x:f>IF(A252=A251,IFERROR(IF(B252=EDATE(B251,1),C251,0),0),0)</x:f>
        <x:v>1</x:v>
      </x:c>
      <x:c r="K252" t="n">
        <x:f>IF(AND(J252=1,C252=0),1,0)</x:f>
        <x:v>0</x:v>
      </x:c>
      <x:c r="L252" t="str">
        <x:f>IFERROR(INDEX(Customers!$C$2:$C$451,MATCH(A252,Customers!$A$2:$A$451,0)),"Unknown")</x:f>
        <x:v>Plus</x:v>
      </x:c>
    </x:row>
    <x:row r="253">
      <x:c r="A253" t="n">
        <x:v>45</x:v>
      </x:c>
      <x:c r="B253" s="16" t="n">
        <x:v>46174</x:v>
      </x:c>
      <x:c r="C253" t="n">
        <x:v>1</x:v>
      </x:c>
      <x:c r="D253" t="n">
        <x:v>18</x:v>
      </x:c>
      <x:c r="E253" s="18" t="n">
        <x:v>2229.18</x:v>
      </x:c>
      <x:c r="F253" s="18" t="n">
        <x:v>8</x:v>
      </x:c>
      <x:c r="G253" s="18" t="n">
        <x:v>10.03</x:v>
      </x:c>
      <x:c r="H253" s="18" t="n">
        <x:v>2.6</x:v>
      </x:c>
      <x:c r="I253" s="18" t="n">
        <x:v>20.63</x:v>
      </x:c>
      <x:c r="J253" t="n">
        <x:f>IF(A253=A252,IFERROR(IF(B253=EDATE(B252,1),C252,0),0),0)</x:f>
        <x:v>1</x:v>
      </x:c>
      <x:c r="K253" t="n">
        <x:f>IF(AND(J253=1,C253=0),1,0)</x:f>
        <x:v>0</x:v>
      </x:c>
      <x:c r="L253" t="str">
        <x:f>IFERROR(INDEX(Customers!$C$2:$C$451,MATCH(A253,Customers!$A$2:$A$451,0)),"Unknown")</x:f>
        <x:v>Plus</x:v>
      </x:c>
    </x:row>
    <x:row r="254">
      <x:c r="A254" t="n">
        <x:v>45</x:v>
      </x:c>
      <x:c r="B254" s="16" t="n">
        <x:v>46204</x:v>
      </x:c>
      <x:c r="C254" t="n">
        <x:v>0</x:v>
      </x:c>
      <x:c r="D254" t="n">
        <x:v>0</x:v>
      </x:c>
      <x:c r="E254" s="18" t="n">
        <x:v>0</x:v>
      </x:c>
      <x:c r="F254" s="18" t="n">
        <x:v>0</x:v>
      </x:c>
      <x:c r="G254" s="18" t="n">
        <x:v>0</x:v>
      </x:c>
      <x:c r="H254" s="18" t="n">
        <x:v>0</x:v>
      </x:c>
      <x:c r="I254" s="18" t="n">
        <x:v>0</x:v>
      </x:c>
      <x:c r="J254" t="n">
        <x:f>IF(A254=A253,IFERROR(IF(B254=EDATE(B253,1),C253,0),0),0)</x:f>
        <x:v>1</x:v>
      </x:c>
      <x:c r="K254" t="n">
        <x:f>IF(AND(J254=1,C254=0),1,0)</x:f>
        <x:v>1</x:v>
      </x:c>
      <x:c r="L254" t="str">
        <x:f>IFERROR(INDEX(Customers!$C$2:$C$451,MATCH(A254,Customers!$A$2:$A$451,0)),"Unknown")</x:f>
        <x:v>Plus</x:v>
      </x:c>
    </x:row>
    <x:row r="255">
      <x:c r="A255" t="n">
        <x:v>45</x:v>
      </x:c>
      <x:c r="B255" s="16" t="n">
        <x:v>46235</x:v>
      </x:c>
      <x:c r="C255" t="n">
        <x:v>1</x:v>
      </x:c>
      <x:c r="D255" t="n">
        <x:v>11</x:v>
      </x:c>
      <x:c r="E255" s="18" t="n">
        <x:v>748.35</x:v>
      </x:c>
      <x:c r="F255" s="18" t="n">
        <x:v>8</x:v>
      </x:c>
      <x:c r="G255" s="18" t="n">
        <x:v>3.37</x:v>
      </x:c>
      <x:c r="H255" s="18" t="n">
        <x:v>2.35</x:v>
      </x:c>
      <x:c r="I255" s="18" t="n">
        <x:v>13.72</x:v>
      </x:c>
      <x:c r="J255" t="n">
        <x:f>IF(A255=A254,IFERROR(IF(B255=EDATE(B254,1),C254,0),0),0)</x:f>
        <x:v>0</x:v>
      </x:c>
      <x:c r="K255" t="n">
        <x:f>IF(AND(J255=1,C255=0),1,0)</x:f>
        <x:v>0</x:v>
      </x:c>
      <x:c r="L255" t="str">
        <x:f>IFERROR(INDEX(Customers!$C$2:$C$451,MATCH(A255,Customers!$A$2:$A$451,0)),"Unknown")</x:f>
        <x:v>Plus</x:v>
      </x:c>
    </x:row>
    <x:row r="256">
      <x:c r="A256" t="n">
        <x:v>45</x:v>
      </x:c>
      <x:c r="B256" s="16" t="n">
        <x:v>46266</x:v>
      </x:c>
      <x:c r="C256" t="n">
        <x:v>0</x:v>
      </x:c>
      <x:c r="D256" t="n">
        <x:v>0</x:v>
      </x:c>
      <x:c r="E256" s="18" t="n">
        <x:v>0</x:v>
      </x:c>
      <x:c r="F256" s="18" t="n">
        <x:v>0</x:v>
      </x:c>
      <x:c r="G256" s="18" t="n">
        <x:v>0</x:v>
      </x:c>
      <x:c r="H256" s="18" t="n">
        <x:v>0</x:v>
      </x:c>
      <x:c r="I256" s="18" t="n">
        <x:v>0</x:v>
      </x:c>
      <x:c r="J256" t="n">
        <x:f>IF(A256=A255,IFERROR(IF(B256=EDATE(B255,1),C255,0),0),0)</x:f>
        <x:v>1</x:v>
      </x:c>
      <x:c r="K256" t="n">
        <x:f>IF(AND(J256=1,C256=0),1,0)</x:f>
        <x:v>1</x:v>
      </x:c>
      <x:c r="L256" t="str">
        <x:f>IFERROR(INDEX(Customers!$C$2:$C$451,MATCH(A256,Customers!$A$2:$A$451,0)),"Unknown")</x:f>
        <x:v>Plus</x:v>
      </x:c>
    </x:row>
    <x:row r="257">
      <x:c r="A257" t="n">
        <x:v>46</x:v>
      </x:c>
      <x:c r="B257" s="16" t="n">
        <x:v>46143</x:v>
      </x:c>
      <x:c r="C257" t="n">
        <x:v>1</x:v>
      </x:c>
      <x:c r="D257" t="n">
        <x:v>14</x:v>
      </x:c>
      <x:c r="E257" s="18" t="n">
        <x:v>1334.45</x:v>
      </x:c>
      <x:c r="F257" s="18" t="n">
        <x:v>8</x:v>
      </x:c>
      <x:c r="G257" s="18" t="n">
        <x:v>6.01</x:v>
      </x:c>
      <x:c r="H257" s="18" t="n">
        <x:v>2.74</x:v>
      </x:c>
      <x:c r="I257" s="18" t="n">
        <x:v>16.75</x:v>
      </x:c>
      <x:c r="J257" t="n">
        <x:f>IF(A257=A256,IFERROR(IF(B257=EDATE(B256,1),C256,0),0),0)</x:f>
        <x:v>0</x:v>
      </x:c>
      <x:c r="K257" t="n">
        <x:f>IF(AND(J257=1,C257=0),1,0)</x:f>
        <x:v>0</x:v>
      </x:c>
      <x:c r="L257" t="str">
        <x:f>IFERROR(INDEX(Customers!$C$2:$C$451,MATCH(A257,Customers!$A$2:$A$451,0)),"Unknown")</x:f>
        <x:v>Plus</x:v>
      </x:c>
    </x:row>
    <x:row r="258">
      <x:c r="A258" t="n">
        <x:v>46</x:v>
      </x:c>
      <x:c r="B258" s="16" t="n">
        <x:v>46174</x:v>
      </x:c>
      <x:c r="C258" t="n">
        <x:v>0</x:v>
      </x:c>
      <x:c r="D258" t="n">
        <x:v>0</x:v>
      </x:c>
      <x:c r="E258" s="18" t="n">
        <x:v>0</x:v>
      </x:c>
      <x:c r="F258" s="18" t="n">
        <x:v>0</x:v>
      </x:c>
      <x:c r="G258" s="18" t="n">
        <x:v>0</x:v>
      </x:c>
      <x:c r="H258" s="18" t="n">
        <x:v>0</x:v>
      </x:c>
      <x:c r="I258" s="18" t="n">
        <x:v>0</x:v>
      </x:c>
      <x:c r="J258" t="n">
        <x:f>IF(A258=A257,IFERROR(IF(B258=EDATE(B257,1),C257,0),0),0)</x:f>
        <x:v>1</x:v>
      </x:c>
      <x:c r="K258" t="n">
        <x:f>IF(AND(J258=1,C258=0),1,0)</x:f>
        <x:v>1</x:v>
      </x:c>
      <x:c r="L258" t="str">
        <x:f>IFERROR(INDEX(Customers!$C$2:$C$451,MATCH(A258,Customers!$A$2:$A$451,0)),"Unknown")</x:f>
        <x:v>Plus</x:v>
      </x:c>
    </x:row>
    <x:row r="259">
      <x:c r="A259" t="n">
        <x:v>46</x:v>
      </x:c>
      <x:c r="B259" s="16" t="n">
        <x:v>46204</x:v>
      </x:c>
      <x:c r="C259" t="n">
        <x:v>1</x:v>
      </x:c>
      <x:c r="D259" t="n">
        <x:v>36</x:v>
      </x:c>
      <x:c r="E259" s="18" t="n">
        <x:v>2671.85</x:v>
      </x:c>
      <x:c r="F259" s="18" t="n">
        <x:v>8</x:v>
      </x:c>
      <x:c r="G259" s="18" t="n">
        <x:v>12.02</x:v>
      </x:c>
      <x:c r="H259" s="18" t="n">
        <x:v>5.53</x:v>
      </x:c>
      <x:c r="I259" s="18" t="n">
        <x:v>25.55</x:v>
      </x:c>
      <x:c r="J259" t="n">
        <x:f>IF(A259=A258,IFERROR(IF(B259=EDATE(B258,1),C258,0),0),0)</x:f>
        <x:v>0</x:v>
      </x:c>
      <x:c r="K259" t="n">
        <x:f>IF(AND(J259=1,C259=0),1,0)</x:f>
        <x:v>0</x:v>
      </x:c>
      <x:c r="L259" t="str">
        <x:f>IFERROR(INDEX(Customers!$C$2:$C$451,MATCH(A259,Customers!$A$2:$A$451,0)),"Unknown")</x:f>
        <x:v>Plus</x:v>
      </x:c>
    </x:row>
    <x:row r="260">
      <x:c r="A260" t="n">
        <x:v>46</x:v>
      </x:c>
      <x:c r="B260" s="16" t="n">
        <x:v>46235</x:v>
      </x:c>
      <x:c r="C260" t="n">
        <x:v>1</x:v>
      </x:c>
      <x:c r="D260" t="n">
        <x:v>14</x:v>
      </x:c>
      <x:c r="E260" s="18" t="n">
        <x:v>540.71</x:v>
      </x:c>
      <x:c r="F260" s="18" t="n">
        <x:v>8</x:v>
      </x:c>
      <x:c r="G260" s="18" t="n">
        <x:v>2.43</x:v>
      </x:c>
      <x:c r="H260" s="18" t="n">
        <x:v>1.21</x:v>
      </x:c>
      <x:c r="I260" s="18" t="n">
        <x:v>11.64</x:v>
      </x:c>
      <x:c r="J260" t="n">
        <x:f>IF(A260=A259,IFERROR(IF(B260=EDATE(B259,1),C259,0),0),0)</x:f>
        <x:v>1</x:v>
      </x:c>
      <x:c r="K260" t="n">
        <x:f>IF(AND(J260=1,C260=0),1,0)</x:f>
        <x:v>0</x:v>
      </x:c>
      <x:c r="L260" t="str">
        <x:f>IFERROR(INDEX(Customers!$C$2:$C$451,MATCH(A260,Customers!$A$2:$A$451,0)),"Unknown")</x:f>
        <x:v>Plus</x:v>
      </x:c>
    </x:row>
    <x:row r="261">
      <x:c r="A261" t="n">
        <x:v>46</x:v>
      </x:c>
      <x:c r="B261" s="16" t="n">
        <x:v>46266</x:v>
      </x:c>
      <x:c r="C261" t="n">
        <x:v>1</x:v>
      </x:c>
      <x:c r="D261" t="n">
        <x:v>22</x:v>
      </x:c>
      <x:c r="E261" s="18" t="n">
        <x:v>3042.17</x:v>
      </x:c>
      <x:c r="F261" s="18" t="n">
        <x:v>8</x:v>
      </x:c>
      <x:c r="G261" s="18" t="n">
        <x:v>13.69</x:v>
      </x:c>
      <x:c r="H261" s="18" t="n">
        <x:v>8.13</x:v>
      </x:c>
      <x:c r="I261" s="18" t="n">
        <x:v>29.82</x:v>
      </x:c>
      <x:c r="J261" t="n">
        <x:f>IF(A261=A260,IFERROR(IF(B261=EDATE(B260,1),C260,0),0),0)</x:f>
        <x:v>1</x:v>
      </x:c>
      <x:c r="K261" t="n">
        <x:f>IF(AND(J261=1,C261=0),1,0)</x:f>
        <x:v>0</x:v>
      </x:c>
      <x:c r="L261" t="str">
        <x:f>IFERROR(INDEX(Customers!$C$2:$C$451,MATCH(A261,Customers!$A$2:$A$451,0)),"Unknown")</x:f>
        <x:v>Plus</x:v>
      </x:c>
    </x:row>
    <x:row r="262">
      <x:c r="A262" t="n">
        <x:v>47</x:v>
      </x:c>
      <x:c r="B262" s="16" t="n">
        <x:v>46113</x:v>
      </x:c>
      <x:c r="C262" t="n">
        <x:v>0</x:v>
      </x:c>
      <x:c r="D262" t="n">
        <x:v>0</x:v>
      </x:c>
      <x:c r="E262" s="18" t="n">
        <x:v>0</x:v>
      </x:c>
      <x:c r="F262" s="18" t="n">
        <x:v>0</x:v>
      </x:c>
      <x:c r="G262" s="18" t="n">
        <x:v>0</x:v>
      </x:c>
      <x:c r="H262" s="18" t="n">
        <x:v>0</x:v>
      </x:c>
      <x:c r="I262" s="18" t="n">
        <x:v>0</x:v>
      </x:c>
      <x:c r="J262" t="n">
        <x:f>IF(A262=A261,IFERROR(IF(B262=EDATE(B261,1),C261,0),0),0)</x:f>
        <x:v>0</x:v>
      </x:c>
      <x:c r="K262" t="n">
        <x:f>IF(AND(J262=1,C262=0),1,0)</x:f>
        <x:v>0</x:v>
      </x:c>
      <x:c r="L262" t="str">
        <x:f>IFERROR(INDEX(Customers!$C$2:$C$451,MATCH(A262,Customers!$A$2:$A$451,0)),"Unknown")</x:f>
        <x:v>Plus</x:v>
      </x:c>
    </x:row>
    <x:row r="263">
      <x:c r="A263" t="n">
        <x:v>47</x:v>
      </x:c>
      <x:c r="B263" s="16" t="n">
        <x:v>46143</x:v>
      </x:c>
      <x:c r="C263" t="n">
        <x:v>0</x:v>
      </x:c>
      <x:c r="D263" t="n">
        <x:v>0</x:v>
      </x:c>
      <x:c r="E263" s="18" t="n">
        <x:v>0</x:v>
      </x:c>
      <x:c r="F263" s="18" t="n">
        <x:v>0</x:v>
      </x:c>
      <x:c r="G263" s="18" t="n">
        <x:v>0</x:v>
      </x:c>
      <x:c r="H263" s="18" t="n">
        <x:v>0</x:v>
      </x:c>
      <x:c r="I263" s="18" t="n">
        <x:v>0</x:v>
      </x:c>
      <x:c r="J263" t="n">
        <x:f>IF(A263=A262,IFERROR(IF(B263=EDATE(B262,1),C262,0),0),0)</x:f>
        <x:v>0</x:v>
      </x:c>
      <x:c r="K263" t="n">
        <x:f>IF(AND(J263=1,C263=0),1,0)</x:f>
        <x:v>0</x:v>
      </x:c>
      <x:c r="L263" t="str">
        <x:f>IFERROR(INDEX(Customers!$C$2:$C$451,MATCH(A263,Customers!$A$2:$A$451,0)),"Unknown")</x:f>
        <x:v>Plus</x:v>
      </x:c>
    </x:row>
    <x:row r="264">
      <x:c r="A264" t="n">
        <x:v>47</x:v>
      </x:c>
      <x:c r="B264" s="16" t="n">
        <x:v>46174</x:v>
      </x:c>
      <x:c r="C264" t="n">
        <x:v>1</x:v>
      </x:c>
      <x:c r="D264" t="n">
        <x:v>25</x:v>
      </x:c>
      <x:c r="E264" s="18" t="n">
        <x:v>1673.28</x:v>
      </x:c>
      <x:c r="F264" s="18" t="n">
        <x:v>8</x:v>
      </x:c>
      <x:c r="G264" s="18" t="n">
        <x:v>7.53</x:v>
      </x:c>
      <x:c r="H264" s="18" t="n">
        <x:v>2.18</x:v>
      </x:c>
      <x:c r="I264" s="18" t="n">
        <x:v>17.71</x:v>
      </x:c>
      <x:c r="J264" t="n">
        <x:f>IF(A264=A263,IFERROR(IF(B264=EDATE(B263,1),C263,0),0),0)</x:f>
        <x:v>0</x:v>
      </x:c>
      <x:c r="K264" t="n">
        <x:f>IF(AND(J264=1,C264=0),1,0)</x:f>
        <x:v>0</x:v>
      </x:c>
      <x:c r="L264" t="str">
        <x:f>IFERROR(INDEX(Customers!$C$2:$C$451,MATCH(A264,Customers!$A$2:$A$451,0)),"Unknown")</x:f>
        <x:v>Plus</x:v>
      </x:c>
    </x:row>
    <x:row r="265">
      <x:c r="A265" t="n">
        <x:v>47</x:v>
      </x:c>
      <x:c r="B265" s="16" t="n">
        <x:v>46204</x:v>
      </x:c>
      <x:c r="C265" t="n">
        <x:v>1</x:v>
      </x:c>
      <x:c r="D265" t="n">
        <x:v>29</x:v>
      </x:c>
      <x:c r="E265" s="18" t="n">
        <x:v>2791.57</x:v>
      </x:c>
      <x:c r="F265" s="18" t="n">
        <x:v>8</x:v>
      </x:c>
      <x:c r="G265" s="18" t="n">
        <x:v>12.56</x:v>
      </x:c>
      <x:c r="H265" s="18" t="n">
        <x:v>8.01</x:v>
      </x:c>
      <x:c r="I265" s="18" t="n">
        <x:v>28.57</x:v>
      </x:c>
      <x:c r="J265" t="n">
        <x:f>IF(A265=A264,IFERROR(IF(B265=EDATE(B264,1),C264,0),0),0)</x:f>
        <x:v>1</x:v>
      </x:c>
      <x:c r="K265" t="n">
        <x:f>IF(AND(J265=1,C265=0),1,0)</x:f>
        <x:v>0</x:v>
      </x:c>
      <x:c r="L265" t="str">
        <x:f>IFERROR(INDEX(Customers!$C$2:$C$451,MATCH(A265,Customers!$A$2:$A$451,0)),"Unknown")</x:f>
        <x:v>Plus</x:v>
      </x:c>
    </x:row>
    <x:row r="266">
      <x:c r="A266" t="n">
        <x:v>47</x:v>
      </x:c>
      <x:c r="B266" s="16" t="n">
        <x:v>46235</x:v>
      </x:c>
      <x:c r="C266" t="n">
        <x:v>1</x:v>
      </x:c>
      <x:c r="D266" t="n">
        <x:v>17</x:v>
      </x:c>
      <x:c r="E266" s="18" t="n">
        <x:v>2349.81</x:v>
      </x:c>
      <x:c r="F266" s="18" t="n">
        <x:v>8</x:v>
      </x:c>
      <x:c r="G266" s="18" t="n">
        <x:v>10.57</x:v>
      </x:c>
      <x:c r="H266" s="18" t="n">
        <x:v>6.2</x:v>
      </x:c>
      <x:c r="I266" s="18" t="n">
        <x:v>24.77</x:v>
      </x:c>
      <x:c r="J266" t="n">
        <x:f>IF(A266=A265,IFERROR(IF(B266=EDATE(B265,1),C265,0),0),0)</x:f>
        <x:v>1</x:v>
      </x:c>
      <x:c r="K266" t="n">
        <x:f>IF(AND(J266=1,C266=0),1,0)</x:f>
        <x:v>0</x:v>
      </x:c>
      <x:c r="L266" t="str">
        <x:f>IFERROR(INDEX(Customers!$C$2:$C$451,MATCH(A266,Customers!$A$2:$A$451,0)),"Unknown")</x:f>
        <x:v>Plus</x:v>
      </x:c>
    </x:row>
    <x:row r="267">
      <x:c r="A267" t="n">
        <x:v>47</x:v>
      </x:c>
      <x:c r="B267" s="16" t="n">
        <x:v>46266</x:v>
      </x:c>
      <x:c r="C267" t="n">
        <x:v>1</x:v>
      </x:c>
      <x:c r="D267" t="n">
        <x:v>16</x:v>
      </x:c>
      <x:c r="E267" s="18" t="n">
        <x:v>1296.18</x:v>
      </x:c>
      <x:c r="F267" s="18" t="n">
        <x:v>8</x:v>
      </x:c>
      <x:c r="G267" s="18" t="n">
        <x:v>5.83</x:v>
      </x:c>
      <x:c r="H267" s="18" t="n">
        <x:v>4.46</x:v>
      </x:c>
      <x:c r="I267" s="18" t="n">
        <x:v>18.29</x:v>
      </x:c>
      <x:c r="J267" t="n">
        <x:f>IF(A267=A266,IFERROR(IF(B267=EDATE(B266,1),C266,0),0),0)</x:f>
        <x:v>1</x:v>
      </x:c>
      <x:c r="K267" t="n">
        <x:f>IF(AND(J267=1,C267=0),1,0)</x:f>
        <x:v>0</x:v>
      </x:c>
      <x:c r="L267" t="str">
        <x:f>IFERROR(INDEX(Customers!$C$2:$C$451,MATCH(A267,Customers!$A$2:$A$451,0)),"Unknown")</x:f>
        <x:v>Plus</x:v>
      </x:c>
    </x:row>
    <x:row r="268">
      <x:c r="A268" t="n">
        <x:v>48</x:v>
      </x:c>
      <x:c r="B268" s="16" t="n">
        <x:v>46113</x:v>
      </x:c>
      <x:c r="C268" t="n">
        <x:v>1</x:v>
      </x:c>
      <x:c r="D268" t="n">
        <x:v>9</x:v>
      </x:c>
      <x:c r="E268" s="18" t="n">
        <x:v>968.97</x:v>
      </x:c>
      <x:c r="F268" s="18" t="n">
        <x:v>0</x:v>
      </x:c>
      <x:c r="G268" s="18" t="n">
        <x:v>4.36</x:v>
      </x:c>
      <x:c r="H268" s="18" t="n">
        <x:v>1.41</x:v>
      </x:c>
      <x:c r="I268" s="18" t="n">
        <x:v>5.77</x:v>
      </x:c>
      <x:c r="J268" t="n">
        <x:f>IF(A268=A267,IFERROR(IF(B268=EDATE(B267,1),C267,0),0),0)</x:f>
        <x:v>0</x:v>
      </x:c>
      <x:c r="K268" t="n">
        <x:f>IF(AND(J268=1,C268=0),1,0)</x:f>
        <x:v>0</x:v>
      </x:c>
      <x:c r="L268" t="str">
        <x:f>IFERROR(INDEX(Customers!$C$2:$C$451,MATCH(A268,Customers!$A$2:$A$451,0)),"Unknown")</x:f>
        <x:v>Standard</x:v>
      </x:c>
    </x:row>
    <x:row r="269">
      <x:c r="A269" t="n">
        <x:v>48</x:v>
      </x:c>
      <x:c r="B269" s="16" t="n">
        <x:v>46143</x:v>
      </x:c>
      <x:c r="C269" t="n">
        <x:v>1</x:v>
      </x:c>
      <x:c r="D269" t="n">
        <x:v>27</x:v>
      </x:c>
      <x:c r="E269" s="18" t="n">
        <x:v>3321.53</x:v>
      </x:c>
      <x:c r="F269" s="18" t="n">
        <x:v>0</x:v>
      </x:c>
      <x:c r="G269" s="18" t="n">
        <x:v>14.95</x:v>
      </x:c>
      <x:c r="H269" s="18" t="n">
        <x:v>8.03</x:v>
      </x:c>
      <x:c r="I269" s="18" t="n">
        <x:v>22.98</x:v>
      </x:c>
      <x:c r="J269" t="n">
        <x:f>IF(A269=A268,IFERROR(IF(B269=EDATE(B268,1),C268,0),0),0)</x:f>
        <x:v>1</x:v>
      </x:c>
      <x:c r="K269" t="n">
        <x:f>IF(AND(J269=1,C269=0),1,0)</x:f>
        <x:v>0</x:v>
      </x:c>
      <x:c r="L269" t="str">
        <x:f>IFERROR(INDEX(Customers!$C$2:$C$451,MATCH(A269,Customers!$A$2:$A$451,0)),"Unknown")</x:f>
        <x:v>Standard</x:v>
      </x:c>
    </x:row>
    <x:row r="270">
      <x:c r="A270" t="n">
        <x:v>48</x:v>
      </x:c>
      <x:c r="B270" s="16" t="n">
        <x:v>46174</x:v>
      </x:c>
      <x:c r="C270" t="n">
        <x:v>0</x:v>
      </x:c>
      <x:c r="D270" t="n">
        <x:v>0</x:v>
      </x:c>
      <x:c r="E270" s="18" t="n">
        <x:v>0</x:v>
      </x:c>
      <x:c r="F270" s="18" t="n">
        <x:v>0</x:v>
      </x:c>
      <x:c r="G270" s="18" t="n">
        <x:v>0</x:v>
      </x:c>
      <x:c r="H270" s="18" t="n">
        <x:v>0</x:v>
      </x:c>
      <x:c r="I270" s="18" t="n">
        <x:v>0</x:v>
      </x:c>
      <x:c r="J270" t="n">
        <x:f>IF(A270=A269,IFERROR(IF(B270=EDATE(B269,1),C269,0),0),0)</x:f>
        <x:v>1</x:v>
      </x:c>
      <x:c r="K270" t="n">
        <x:f>IF(AND(J270=1,C270=0),1,0)</x:f>
        <x:v>1</x:v>
      </x:c>
      <x:c r="L270" t="str">
        <x:f>IFERROR(INDEX(Customers!$C$2:$C$451,MATCH(A270,Customers!$A$2:$A$451,0)),"Unknown")</x:f>
        <x:v>Standard</x:v>
      </x:c>
    </x:row>
    <x:row r="271">
      <x:c r="A271" t="n">
        <x:v>48</x:v>
      </x:c>
      <x:c r="B271" s="16" t="n">
        <x:v>46204</x:v>
      </x:c>
      <x:c r="C271" t="n">
        <x:v>1</x:v>
      </x:c>
      <x:c r="D271" t="n">
        <x:v>31</x:v>
      </x:c>
      <x:c r="E271" s="18" t="n">
        <x:v>1992.17</x:v>
      </x:c>
      <x:c r="F271" s="18" t="n">
        <x:v>0</x:v>
      </x:c>
      <x:c r="G271" s="18" t="n">
        <x:v>8.96</x:v>
      </x:c>
      <x:c r="H271" s="18" t="n">
        <x:v>6.56</x:v>
      </x:c>
      <x:c r="I271" s="18" t="n">
        <x:v>15.52</x:v>
      </x:c>
      <x:c r="J271" t="n">
        <x:f>IF(A271=A270,IFERROR(IF(B271=EDATE(B270,1),C270,0),0),0)</x:f>
        <x:v>0</x:v>
      </x:c>
      <x:c r="K271" t="n">
        <x:f>IF(AND(J271=1,C271=0),1,0)</x:f>
        <x:v>0</x:v>
      </x:c>
      <x:c r="L271" t="str">
        <x:f>IFERROR(INDEX(Customers!$C$2:$C$451,MATCH(A271,Customers!$A$2:$A$451,0)),"Unknown")</x:f>
        <x:v>Standard</x:v>
      </x:c>
    </x:row>
    <x:row r="272">
      <x:c r="A272" t="n">
        <x:v>48</x:v>
      </x:c>
      <x:c r="B272" s="16" t="n">
        <x:v>46235</x:v>
      </x:c>
      <x:c r="C272" t="n">
        <x:v>1</x:v>
      </x:c>
      <x:c r="D272" t="n">
        <x:v>31</x:v>
      </x:c>
      <x:c r="E272" s="18" t="n">
        <x:v>1388.47</x:v>
      </x:c>
      <x:c r="F272" s="18" t="n">
        <x:v>0</x:v>
      </x:c>
      <x:c r="G272" s="18" t="n">
        <x:v>6.25</x:v>
      </x:c>
      <x:c r="H272" s="18" t="n">
        <x:v>1.76</x:v>
      </x:c>
      <x:c r="I272" s="18" t="n">
        <x:v>8.01</x:v>
      </x:c>
      <x:c r="J272" t="n">
        <x:f>IF(A272=A271,IFERROR(IF(B272=EDATE(B271,1),C271,0),0),0)</x:f>
        <x:v>1</x:v>
      </x:c>
      <x:c r="K272" t="n">
        <x:f>IF(AND(J272=1,C272=0),1,0)</x:f>
        <x:v>0</x:v>
      </x:c>
      <x:c r="L272" t="str">
        <x:f>IFERROR(INDEX(Customers!$C$2:$C$451,MATCH(A272,Customers!$A$2:$A$451,0)),"Unknown")</x:f>
        <x:v>Standard</x:v>
      </x:c>
    </x:row>
    <x:row r="273">
      <x:c r="A273" t="n">
        <x:v>48</x:v>
      </x:c>
      <x:c r="B273" s="16" t="n">
        <x:v>46266</x:v>
      </x:c>
      <x:c r="C273" t="n">
        <x:v>1</x:v>
      </x:c>
      <x:c r="D273" t="n">
        <x:v>28</x:v>
      </x:c>
      <x:c r="E273" s="18" t="n">
        <x:v>3584.69</x:v>
      </x:c>
      <x:c r="F273" s="18" t="n">
        <x:v>0</x:v>
      </x:c>
      <x:c r="G273" s="18" t="n">
        <x:v>16.13</x:v>
      </x:c>
      <x:c r="H273" s="18" t="n">
        <x:v>9.07</x:v>
      </x:c>
      <x:c r="I273" s="18" t="n">
        <x:v>25.2</x:v>
      </x:c>
      <x:c r="J273" t="n">
        <x:f>IF(A273=A272,IFERROR(IF(B273=EDATE(B272,1),C272,0),0),0)</x:f>
        <x:v>1</x:v>
      </x:c>
      <x:c r="K273" t="n">
        <x:f>IF(AND(J273=1,C273=0),1,0)</x:f>
        <x:v>0</x:v>
      </x:c>
      <x:c r="L273" t="str">
        <x:f>IFERROR(INDEX(Customers!$C$2:$C$451,MATCH(A273,Customers!$A$2:$A$451,0)),"Unknown")</x:f>
        <x:v>Standard</x:v>
      </x:c>
    </x:row>
    <x:row r="274">
      <x:c r="A274" t="n">
        <x:v>49</x:v>
      </x:c>
      <x:c r="B274" s="16" t="n">
        <x:v>46113</x:v>
      </x:c>
      <x:c r="C274" t="n">
        <x:v>1</x:v>
      </x:c>
      <x:c r="D274" t="n">
        <x:v>28</x:v>
      </x:c>
      <x:c r="E274" s="18" t="n">
        <x:v>2614.19</x:v>
      </x:c>
      <x:c r="F274" s="18" t="n">
        <x:v>0</x:v>
      </x:c>
      <x:c r="G274" s="18" t="n">
        <x:v>11.76</x:v>
      </x:c>
      <x:c r="H274" s="18" t="n">
        <x:v>5.85</x:v>
      </x:c>
      <x:c r="I274" s="18" t="n">
        <x:v>17.61</x:v>
      </x:c>
      <x:c r="J274" t="n">
        <x:f>IF(A274=A273,IFERROR(IF(B274=EDATE(B273,1),C273,0),0),0)</x:f>
        <x:v>0</x:v>
      </x:c>
      <x:c r="K274" t="n">
        <x:f>IF(AND(J274=1,C274=0),1,0)</x:f>
        <x:v>0</x:v>
      </x:c>
      <x:c r="L274" t="str">
        <x:f>IFERROR(INDEX(Customers!$C$2:$C$451,MATCH(A274,Customers!$A$2:$A$451,0)),"Unknown")</x:f>
        <x:v>Standard</x:v>
      </x:c>
    </x:row>
    <x:row r="275">
      <x:c r="A275" t="n">
        <x:v>49</x:v>
      </x:c>
      <x:c r="B275" s="16" t="n">
        <x:v>46143</x:v>
      </x:c>
      <x:c r="C275" t="n">
        <x:v>1</x:v>
      </x:c>
      <x:c r="D275" t="n">
        <x:v>14</x:v>
      </x:c>
      <x:c r="E275" s="18" t="n">
        <x:v>1468.73</x:v>
      </x:c>
      <x:c r="F275" s="18" t="n">
        <x:v>0</x:v>
      </x:c>
      <x:c r="G275" s="18" t="n">
        <x:v>6.61</x:v>
      </x:c>
      <x:c r="H275" s="18" t="n">
        <x:v>2.51</x:v>
      </x:c>
      <x:c r="I275" s="18" t="n">
        <x:v>9.12</x:v>
      </x:c>
      <x:c r="J275" t="n">
        <x:f>IF(A275=A274,IFERROR(IF(B275=EDATE(B274,1),C274,0),0),0)</x:f>
        <x:v>1</x:v>
      </x:c>
      <x:c r="K275" t="n">
        <x:f>IF(AND(J275=1,C275=0),1,0)</x:f>
        <x:v>0</x:v>
      </x:c>
      <x:c r="L275" t="str">
        <x:f>IFERROR(INDEX(Customers!$C$2:$C$451,MATCH(A275,Customers!$A$2:$A$451,0)),"Unknown")</x:f>
        <x:v>Standard</x:v>
      </x:c>
    </x:row>
    <x:row r="276">
      <x:c r="A276" t="n">
        <x:v>49</x:v>
      </x:c>
      <x:c r="B276" s="16" t="n">
        <x:v>46174</x:v>
      </x:c>
      <x:c r="C276" t="n">
        <x:v>1</x:v>
      </x:c>
      <x:c r="D276" t="n">
        <x:v>24</x:v>
      </x:c>
      <x:c r="E276" s="18" t="n">
        <x:v>1451.19</x:v>
      </x:c>
      <x:c r="F276" s="18" t="n">
        <x:v>0</x:v>
      </x:c>
      <x:c r="G276" s="18" t="n">
        <x:v>6.53</x:v>
      </x:c>
      <x:c r="H276" s="18" t="n">
        <x:v>3.95</x:v>
      </x:c>
      <x:c r="I276" s="18" t="n">
        <x:v>10.48</x:v>
      </x:c>
      <x:c r="J276" t="n">
        <x:f>IF(A276=A275,IFERROR(IF(B276=EDATE(B275,1),C275,0),0),0)</x:f>
        <x:v>1</x:v>
      </x:c>
      <x:c r="K276" t="n">
        <x:f>IF(AND(J276=1,C276=0),1,0)</x:f>
        <x:v>0</x:v>
      </x:c>
      <x:c r="L276" t="str">
        <x:f>IFERROR(INDEX(Customers!$C$2:$C$451,MATCH(A276,Customers!$A$2:$A$451,0)),"Unknown")</x:f>
        <x:v>Standard</x:v>
      </x:c>
    </x:row>
    <x:row r="277">
      <x:c r="A277" t="n">
        <x:v>49</x:v>
      </x:c>
      <x:c r="B277" s="16" t="n">
        <x:v>46204</x:v>
      </x:c>
      <x:c r="C277" t="n">
        <x:v>1</x:v>
      </x:c>
      <x:c r="D277" t="n">
        <x:v>29</x:v>
      </x:c>
      <x:c r="E277" s="18" t="n">
        <x:v>1423.35</x:v>
      </x:c>
      <x:c r="F277" s="18" t="n">
        <x:v>0</x:v>
      </x:c>
      <x:c r="G277" s="18" t="n">
        <x:v>6.41</x:v>
      </x:c>
      <x:c r="H277" s="18" t="n">
        <x:v>2.52</x:v>
      </x:c>
      <x:c r="I277" s="18" t="n">
        <x:v>8.93</x:v>
      </x:c>
      <x:c r="J277" t="n">
        <x:f>IF(A277=A276,IFERROR(IF(B277=EDATE(B276,1),C276,0),0),0)</x:f>
        <x:v>1</x:v>
      </x:c>
      <x:c r="K277" t="n">
        <x:f>IF(AND(J277=1,C277=0),1,0)</x:f>
        <x:v>0</x:v>
      </x:c>
      <x:c r="L277" t="str">
        <x:f>IFERROR(INDEX(Customers!$C$2:$C$451,MATCH(A277,Customers!$A$2:$A$451,0)),"Unknown")</x:f>
        <x:v>Standard</x:v>
      </x:c>
    </x:row>
    <x:row r="278">
      <x:c r="A278" t="n">
        <x:v>49</x:v>
      </x:c>
      <x:c r="B278" s="16" t="n">
        <x:v>46235</x:v>
      </x:c>
      <x:c r="C278" t="n">
        <x:v>1</x:v>
      </x:c>
      <x:c r="D278" t="n">
        <x:v>5</x:v>
      </x:c>
      <x:c r="E278" s="18" t="n">
        <x:v>206.04</x:v>
      </x:c>
      <x:c r="F278" s="18" t="n">
        <x:v>0</x:v>
      </x:c>
      <x:c r="G278" s="18" t="n">
        <x:v>0.93</x:v>
      </x:c>
      <x:c r="H278" s="18" t="n">
        <x:v>0.66</x:v>
      </x:c>
      <x:c r="I278" s="18" t="n">
        <x:v>1.59</x:v>
      </x:c>
      <x:c r="J278" t="n">
        <x:f>IF(A278=A277,IFERROR(IF(B278=EDATE(B277,1),C277,0),0),0)</x:f>
        <x:v>1</x:v>
      </x:c>
      <x:c r="K278" t="n">
        <x:f>IF(AND(J278=1,C278=0),1,0)</x:f>
        <x:v>0</x:v>
      </x:c>
      <x:c r="L278" t="str">
        <x:f>IFERROR(INDEX(Customers!$C$2:$C$451,MATCH(A278,Customers!$A$2:$A$451,0)),"Unknown")</x:f>
        <x:v>Standard</x:v>
      </x:c>
    </x:row>
    <x:row r="279">
      <x:c r="A279" t="n">
        <x:v>49</x:v>
      </x:c>
      <x:c r="B279" s="16" t="n">
        <x:v>46266</x:v>
      </x:c>
      <x:c r="C279" t="n">
        <x:v>1</x:v>
      </x:c>
      <x:c r="D279" t="n">
        <x:v>27</x:v>
      </x:c>
      <x:c r="E279" s="18" t="n">
        <x:v>1718.74</x:v>
      </x:c>
      <x:c r="F279" s="18" t="n">
        <x:v>0</x:v>
      </x:c>
      <x:c r="G279" s="18" t="n">
        <x:v>7.73</x:v>
      </x:c>
      <x:c r="H279" s="18" t="n">
        <x:v>5.46</x:v>
      </x:c>
      <x:c r="I279" s="18" t="n">
        <x:v>13.19</x:v>
      </x:c>
      <x:c r="J279" t="n">
        <x:f>IF(A279=A278,IFERROR(IF(B279=EDATE(B278,1),C278,0),0),0)</x:f>
        <x:v>1</x:v>
      </x:c>
      <x:c r="K279" t="n">
        <x:f>IF(AND(J279=1,C279=0),1,0)</x:f>
        <x:v>0</x:v>
      </x:c>
      <x:c r="L279" t="str">
        <x:f>IFERROR(INDEX(Customers!$C$2:$C$451,MATCH(A279,Customers!$A$2:$A$451,0)),"Unknown")</x:f>
        <x:v>Standard</x:v>
      </x:c>
    </x:row>
    <x:row r="280">
      <x:c r="A280" t="n">
        <x:v>50</x:v>
      </x:c>
      <x:c r="B280" s="16" t="n">
        <x:v>46113</x:v>
      </x:c>
      <x:c r="C280" t="n">
        <x:v>1</x:v>
      </x:c>
      <x:c r="D280" t="n">
        <x:v>18</x:v>
      </x:c>
      <x:c r="E280" s="18" t="n">
        <x:v>2313.12</x:v>
      </x:c>
      <x:c r="F280" s="18" t="n">
        <x:v>0</x:v>
      </x:c>
      <x:c r="G280" s="18" t="n">
        <x:v>10.41</x:v>
      </x:c>
      <x:c r="H280" s="18" t="n">
        <x:v>3.61</x:v>
      </x:c>
      <x:c r="I280" s="18" t="n">
        <x:v>14.02</x:v>
      </x:c>
      <x:c r="J280" t="n">
        <x:f>IF(A280=A279,IFERROR(IF(B280=EDATE(B279,1),C279,0),0),0)</x:f>
        <x:v>0</x:v>
      </x:c>
      <x:c r="K280" t="n">
        <x:f>IF(AND(J280=1,C280=0),1,0)</x:f>
        <x:v>0</x:v>
      </x:c>
      <x:c r="L280" t="str">
        <x:f>IFERROR(INDEX(Customers!$C$2:$C$451,MATCH(A280,Customers!$A$2:$A$451,0)),"Unknown")</x:f>
        <x:v>Standard</x:v>
      </x:c>
    </x:row>
    <x:row r="281">
      <x:c r="A281" t="n">
        <x:v>50</x:v>
      </x:c>
      <x:c r="B281" s="16" t="n">
        <x:v>46143</x:v>
      </x:c>
      <x:c r="C281" t="n">
        <x:v>1</x:v>
      </x:c>
      <x:c r="D281" t="n">
        <x:v>18</x:v>
      </x:c>
      <x:c r="E281" s="18" t="n">
        <x:v>1747.31</x:v>
      </x:c>
      <x:c r="F281" s="18" t="n">
        <x:v>0</x:v>
      </x:c>
      <x:c r="G281" s="18" t="n">
        <x:v>7.86</x:v>
      </x:c>
      <x:c r="H281" s="18" t="n">
        <x:v>4.91</x:v>
      </x:c>
      <x:c r="I281" s="18" t="n">
        <x:v>12.77</x:v>
      </x:c>
      <x:c r="J281" t="n">
        <x:f>IF(A281=A280,IFERROR(IF(B281=EDATE(B280,1),C280,0),0),0)</x:f>
        <x:v>1</x:v>
      </x:c>
      <x:c r="K281" t="n">
        <x:f>IF(AND(J281=1,C281=0),1,0)</x:f>
        <x:v>0</x:v>
      </x:c>
      <x:c r="L281" t="str">
        <x:f>IFERROR(INDEX(Customers!$C$2:$C$451,MATCH(A281,Customers!$A$2:$A$451,0)),"Unknown")</x:f>
        <x:v>Standard</x:v>
      </x:c>
    </x:row>
    <x:row r="282">
      <x:c r="A282" t="n">
        <x:v>50</x:v>
      </x:c>
      <x:c r="B282" s="16" t="n">
        <x:v>46174</x:v>
      </x:c>
      <x:c r="C282" t="n">
        <x:v>1</x:v>
      </x:c>
      <x:c r="D282" t="n">
        <x:v>12</x:v>
      </x:c>
      <x:c r="E282" s="18" t="n">
        <x:v>1533.25</x:v>
      </x:c>
      <x:c r="F282" s="18" t="n">
        <x:v>0</x:v>
      </x:c>
      <x:c r="G282" s="18" t="n">
        <x:v>6.9</x:v>
      </x:c>
      <x:c r="H282" s="18" t="n">
        <x:v>2.68</x:v>
      </x:c>
      <x:c r="I282" s="18" t="n">
        <x:v>9.58</x:v>
      </x:c>
      <x:c r="J282" t="n">
        <x:f>IF(A282=A281,IFERROR(IF(B282=EDATE(B281,1),C281,0),0),0)</x:f>
        <x:v>1</x:v>
      </x:c>
      <x:c r="K282" t="n">
        <x:f>IF(AND(J282=1,C282=0),1,0)</x:f>
        <x:v>0</x:v>
      </x:c>
      <x:c r="L282" t="str">
        <x:f>IFERROR(INDEX(Customers!$C$2:$C$451,MATCH(A282,Customers!$A$2:$A$451,0)),"Unknown")</x:f>
        <x:v>Standard</x:v>
      </x:c>
    </x:row>
    <x:row r="283">
      <x:c r="A283" t="n">
        <x:v>50</x:v>
      </x:c>
      <x:c r="B283" s="16" t="n">
        <x:v>46204</x:v>
      </x:c>
      <x:c r="C283" t="n">
        <x:v>1</x:v>
      </x:c>
      <x:c r="D283" t="n">
        <x:v>26</x:v>
      </x:c>
      <x:c r="E283" s="18" t="n">
        <x:v>2316.17</x:v>
      </x:c>
      <x:c r="F283" s="18" t="n">
        <x:v>0</x:v>
      </x:c>
      <x:c r="G283" s="18" t="n">
        <x:v>10.42</x:v>
      </x:c>
      <x:c r="H283" s="18" t="n">
        <x:v>5.04</x:v>
      </x:c>
      <x:c r="I283" s="18" t="n">
        <x:v>15.46</x:v>
      </x:c>
      <x:c r="J283" t="n">
        <x:f>IF(A283=A282,IFERROR(IF(B283=EDATE(B282,1),C282,0),0),0)</x:f>
        <x:v>1</x:v>
      </x:c>
      <x:c r="K283" t="n">
        <x:f>IF(AND(J283=1,C283=0),1,0)</x:f>
        <x:v>0</x:v>
      </x:c>
      <x:c r="L283" t="str">
        <x:f>IFERROR(INDEX(Customers!$C$2:$C$451,MATCH(A283,Customers!$A$2:$A$451,0)),"Unknown")</x:f>
        <x:v>Standard</x:v>
      </x:c>
    </x:row>
    <x:row r="284">
      <x:c r="A284" t="n">
        <x:v>50</x:v>
      </x:c>
      <x:c r="B284" s="16" t="n">
        <x:v>46235</x:v>
      </x:c>
      <x:c r="C284" t="n">
        <x:v>1</x:v>
      </x:c>
      <x:c r="D284" t="n">
        <x:v>29</x:v>
      </x:c>
      <x:c r="E284" s="18" t="n">
        <x:v>3795.03</x:v>
      </x:c>
      <x:c r="F284" s="18" t="n">
        <x:v>0</x:v>
      </x:c>
      <x:c r="G284" s="18" t="n">
        <x:v>17.08</x:v>
      </x:c>
      <x:c r="H284" s="18" t="n">
        <x:v>9.44</x:v>
      </x:c>
      <x:c r="I284" s="18" t="n">
        <x:v>26.52</x:v>
      </x:c>
      <x:c r="J284" t="n">
        <x:f>IF(A284=A283,IFERROR(IF(B284=EDATE(B283,1),C283,0),0),0)</x:f>
        <x:v>1</x:v>
      </x:c>
      <x:c r="K284" t="n">
        <x:f>IF(AND(J284=1,C284=0),1,0)</x:f>
        <x:v>0</x:v>
      </x:c>
      <x:c r="L284" t="str">
        <x:f>IFERROR(INDEX(Customers!$C$2:$C$451,MATCH(A284,Customers!$A$2:$A$451,0)),"Unknown")</x:f>
        <x:v>Standard</x:v>
      </x:c>
    </x:row>
    <x:row r="285">
      <x:c r="A285" t="n">
        <x:v>50</x:v>
      </x:c>
      <x:c r="B285" s="16" t="n">
        <x:v>46266</x:v>
      </x:c>
      <x:c r="C285" t="n">
        <x:v>0</x:v>
      </x:c>
      <x:c r="D285" t="n">
        <x:v>0</x:v>
      </x:c>
      <x:c r="E285" s="18" t="n">
        <x:v>0</x:v>
      </x:c>
      <x:c r="F285" s="18" t="n">
        <x:v>0</x:v>
      </x:c>
      <x:c r="G285" s="18" t="n">
        <x:v>0</x:v>
      </x:c>
      <x:c r="H285" s="18" t="n">
        <x:v>0</x:v>
      </x:c>
      <x:c r="I285" s="18" t="n">
        <x:v>0</x:v>
      </x:c>
      <x:c r="J285" t="n">
        <x:f>IF(A285=A284,IFERROR(IF(B285=EDATE(B284,1),C284,0),0),0)</x:f>
        <x:v>1</x:v>
      </x:c>
      <x:c r="K285" t="n">
        <x:f>IF(AND(J285=1,C285=0),1,0)</x:f>
        <x:v>1</x:v>
      </x:c>
      <x:c r="L285" t="str">
        <x:f>IFERROR(INDEX(Customers!$C$2:$C$451,MATCH(A285,Customers!$A$2:$A$451,0)),"Unknown")</x:f>
        <x:v>Standard</x:v>
      </x:c>
    </x:row>
    <x:row r="286">
      <x:c r="A286" t="n">
        <x:v>51</x:v>
      </x:c>
      <x:c r="B286" s="16" t="n">
        <x:v>46143</x:v>
      </x:c>
      <x:c r="C286" t="n">
        <x:v>1</x:v>
      </x:c>
      <x:c r="D286" t="n">
        <x:v>16</x:v>
      </x:c>
      <x:c r="E286" s="18" t="n">
        <x:v>1362.27</x:v>
      </x:c>
      <x:c r="F286" s="18" t="n">
        <x:v>0</x:v>
      </x:c>
      <x:c r="G286" s="18" t="n">
        <x:v>6.13</x:v>
      </x:c>
      <x:c r="H286" s="18" t="n">
        <x:v>4.88</x:v>
      </x:c>
      <x:c r="I286" s="18" t="n">
        <x:v>11.01</x:v>
      </x:c>
      <x:c r="J286" t="n">
        <x:f>IF(A286=A285,IFERROR(IF(B286=EDATE(B285,1),C285,0),0),0)</x:f>
        <x:v>0</x:v>
      </x:c>
      <x:c r="K286" t="n">
        <x:f>IF(AND(J286=1,C286=0),1,0)</x:f>
        <x:v>0</x:v>
      </x:c>
      <x:c r="L286" t="str">
        <x:f>IFERROR(INDEX(Customers!$C$2:$C$451,MATCH(A286,Customers!$A$2:$A$451,0)),"Unknown")</x:f>
        <x:v>Standard</x:v>
      </x:c>
    </x:row>
    <x:row r="287">
      <x:c r="A287" t="n">
        <x:v>51</x:v>
      </x:c>
      <x:c r="B287" s="16" t="n">
        <x:v>46174</x:v>
      </x:c>
      <x:c r="C287" t="n">
        <x:v>0</x:v>
      </x:c>
      <x:c r="D287" t="n">
        <x:v>0</x:v>
      </x:c>
      <x:c r="E287" s="18" t="n">
        <x:v>0</x:v>
      </x:c>
      <x:c r="F287" s="18" t="n">
        <x:v>0</x:v>
      </x:c>
      <x:c r="G287" s="18" t="n">
        <x:v>0</x:v>
      </x:c>
      <x:c r="H287" s="18" t="n">
        <x:v>0</x:v>
      </x:c>
      <x:c r="I287" s="18" t="n">
        <x:v>0</x:v>
      </x:c>
      <x:c r="J287" t="n">
        <x:f>IF(A287=A286,IFERROR(IF(B287=EDATE(B286,1),C286,0),0),0)</x:f>
        <x:v>1</x:v>
      </x:c>
      <x:c r="K287" t="n">
        <x:f>IF(AND(J287=1,C287=0),1,0)</x:f>
        <x:v>1</x:v>
      </x:c>
      <x:c r="L287" t="str">
        <x:f>IFERROR(INDEX(Customers!$C$2:$C$451,MATCH(A287,Customers!$A$2:$A$451,0)),"Unknown")</x:f>
        <x:v>Standard</x:v>
      </x:c>
    </x:row>
    <x:row r="288">
      <x:c r="A288" t="n">
        <x:v>51</x:v>
      </x:c>
      <x:c r="B288" s="16" t="n">
        <x:v>46204</x:v>
      </x:c>
      <x:c r="C288" t="n">
        <x:v>1</x:v>
      </x:c>
      <x:c r="D288" t="n">
        <x:v>15</x:v>
      </x:c>
      <x:c r="E288" s="18" t="n">
        <x:v>2043.56</x:v>
      </x:c>
      <x:c r="F288" s="18" t="n">
        <x:v>0</x:v>
      </x:c>
      <x:c r="G288" s="18" t="n">
        <x:v>9.2</x:v>
      </x:c>
      <x:c r="H288" s="18" t="n">
        <x:v>7.09</x:v>
      </x:c>
      <x:c r="I288" s="18" t="n">
        <x:v>16.29</x:v>
      </x:c>
      <x:c r="J288" t="n">
        <x:f>IF(A288=A287,IFERROR(IF(B288=EDATE(B287,1),C287,0),0),0)</x:f>
        <x:v>0</x:v>
      </x:c>
      <x:c r="K288" t="n">
        <x:f>IF(AND(J288=1,C288=0),1,0)</x:f>
        <x:v>0</x:v>
      </x:c>
      <x:c r="L288" t="str">
        <x:f>IFERROR(INDEX(Customers!$C$2:$C$451,MATCH(A288,Customers!$A$2:$A$451,0)),"Unknown")</x:f>
        <x:v>Standard</x:v>
      </x:c>
    </x:row>
    <x:row r="289">
      <x:c r="A289" t="n">
        <x:v>51</x:v>
      </x:c>
      <x:c r="B289" s="16" t="n">
        <x:v>46235</x:v>
      </x:c>
      <x:c r="C289" t="n">
        <x:v>1</x:v>
      </x:c>
      <x:c r="D289" t="n">
        <x:v>5</x:v>
      </x:c>
      <x:c r="E289" s="18" t="n">
        <x:v>433.8</x:v>
      </x:c>
      <x:c r="F289" s="18" t="n">
        <x:v>0</x:v>
      </x:c>
      <x:c r="G289" s="18" t="n">
        <x:v>1.95</x:v>
      </x:c>
      <x:c r="H289" s="18" t="n">
        <x:v>0.67</x:v>
      </x:c>
      <x:c r="I289" s="18" t="n">
        <x:v>2.62</x:v>
      </x:c>
      <x:c r="J289" t="n">
        <x:f>IF(A289=A288,IFERROR(IF(B289=EDATE(B288,1),C288,0),0),0)</x:f>
        <x:v>1</x:v>
      </x:c>
      <x:c r="K289" t="n">
        <x:f>IF(AND(J289=1,C289=0),1,0)</x:f>
        <x:v>0</x:v>
      </x:c>
      <x:c r="L289" t="str">
        <x:f>IFERROR(INDEX(Customers!$C$2:$C$451,MATCH(A289,Customers!$A$2:$A$451,0)),"Unknown")</x:f>
        <x:v>Standard</x:v>
      </x:c>
    </x:row>
    <x:row r="290">
      <x:c r="A290" t="n">
        <x:v>51</x:v>
      </x:c>
      <x:c r="B290" s="16" t="n">
        <x:v>46266</x:v>
      </x:c>
      <x:c r="C290" t="n">
        <x:v>1</x:v>
      </x:c>
      <x:c r="D290" t="n">
        <x:v>9</x:v>
      </x:c>
      <x:c r="E290" s="18" t="n">
        <x:v>541.07</x:v>
      </x:c>
      <x:c r="F290" s="18" t="n">
        <x:v>0</x:v>
      </x:c>
      <x:c r="G290" s="18" t="n">
        <x:v>2.43</x:v>
      </x:c>
      <x:c r="H290" s="18" t="n">
        <x:v>0.92</x:v>
      </x:c>
      <x:c r="I290" s="18" t="n">
        <x:v>3.35</x:v>
      </x:c>
      <x:c r="J290" t="n">
        <x:f>IF(A290=A289,IFERROR(IF(B290=EDATE(B289,1),C289,0),0),0)</x:f>
        <x:v>1</x:v>
      </x:c>
      <x:c r="K290" t="n">
        <x:f>IF(AND(J290=1,C290=0),1,0)</x:f>
        <x:v>0</x:v>
      </x:c>
      <x:c r="L290" t="str">
        <x:f>IFERROR(INDEX(Customers!$C$2:$C$451,MATCH(A290,Customers!$A$2:$A$451,0)),"Unknown")</x:f>
        <x:v>Standard</x:v>
      </x:c>
    </x:row>
    <x:row r="291">
      <x:c r="A291" t="n">
        <x:v>52</x:v>
      </x:c>
      <x:c r="B291" s="16" t="n">
        <x:v>46113</x:v>
      </x:c>
      <x:c r="C291" t="n">
        <x:v>1</x:v>
      </x:c>
      <x:c r="D291" t="n">
        <x:v>11</x:v>
      </x:c>
      <x:c r="E291" s="18" t="n">
        <x:v>672.43</x:v>
      </x:c>
      <x:c r="F291" s="18" t="n">
        <x:v>17</x:v>
      </x:c>
      <x:c r="G291" s="18" t="n">
        <x:v>3.03</x:v>
      </x:c>
      <x:c r="H291" s="18" t="n">
        <x:v>1.02</x:v>
      </x:c>
      <x:c r="I291" s="18" t="n">
        <x:v>21.05</x:v>
      </x:c>
      <x:c r="J291" t="n">
        <x:f>IF(A291=A290,IFERROR(IF(B291=EDATE(B290,1),C290,0),0),0)</x:f>
        <x:v>0</x:v>
      </x:c>
      <x:c r="K291" t="n">
        <x:f>IF(AND(J291=1,C291=0),1,0)</x:f>
        <x:v>0</x:v>
      </x:c>
      <x:c r="L291" t="str">
        <x:f>IFERROR(INDEX(Customers!$C$2:$C$451,MATCH(A291,Customers!$A$2:$A$451,0)),"Unknown")</x:f>
        <x:v>Premium</x:v>
      </x:c>
    </x:row>
    <x:row r="292">
      <x:c r="A292" t="n">
        <x:v>52</x:v>
      </x:c>
      <x:c r="B292" s="16" t="n">
        <x:v>46143</x:v>
      </x:c>
      <x:c r="C292" t="n">
        <x:v>1</x:v>
      </x:c>
      <x:c r="D292" t="n">
        <x:v>27</x:v>
      </x:c>
      <x:c r="E292" s="18" t="n">
        <x:v>1981.22</x:v>
      </x:c>
      <x:c r="F292" s="18" t="n">
        <x:v>17</x:v>
      </x:c>
      <x:c r="G292" s="18" t="n">
        <x:v>8.92</x:v>
      </x:c>
      <x:c r="H292" s="18" t="n">
        <x:v>4.86</x:v>
      </x:c>
      <x:c r="I292" s="18" t="n">
        <x:v>30.78</x:v>
      </x:c>
      <x:c r="J292" t="n">
        <x:f>IF(A292=A291,IFERROR(IF(B292=EDATE(B291,1),C291,0),0),0)</x:f>
        <x:v>1</x:v>
      </x:c>
      <x:c r="K292" t="n">
        <x:f>IF(AND(J292=1,C292=0),1,0)</x:f>
        <x:v>0</x:v>
      </x:c>
      <x:c r="L292" t="str">
        <x:f>IFERROR(INDEX(Customers!$C$2:$C$451,MATCH(A292,Customers!$A$2:$A$451,0)),"Unknown")</x:f>
        <x:v>Premium</x:v>
      </x:c>
    </x:row>
    <x:row r="293">
      <x:c r="A293" t="n">
        <x:v>52</x:v>
      </x:c>
      <x:c r="B293" s="16" t="n">
        <x:v>46174</x:v>
      </x:c>
      <x:c r="C293" t="n">
        <x:v>1</x:v>
      </x:c>
      <x:c r="D293" t="n">
        <x:v>15</x:v>
      </x:c>
      <x:c r="E293" s="18" t="n">
        <x:v>1378.43</x:v>
      </x:c>
      <x:c r="F293" s="18" t="n">
        <x:v>17</x:v>
      </x:c>
      <x:c r="G293" s="18" t="n">
        <x:v>6.2</x:v>
      </x:c>
      <x:c r="H293" s="18" t="n">
        <x:v>4.49</x:v>
      </x:c>
      <x:c r="I293" s="18" t="n">
        <x:v>27.69</x:v>
      </x:c>
      <x:c r="J293" t="n">
        <x:f>IF(A293=A292,IFERROR(IF(B293=EDATE(B292,1),C292,0),0),0)</x:f>
        <x:v>1</x:v>
      </x:c>
      <x:c r="K293" t="n">
        <x:f>IF(AND(J293=1,C293=0),1,0)</x:f>
        <x:v>0</x:v>
      </x:c>
      <x:c r="L293" t="str">
        <x:f>IFERROR(INDEX(Customers!$C$2:$C$451,MATCH(A293,Customers!$A$2:$A$451,0)),"Unknown")</x:f>
        <x:v>Premium</x:v>
      </x:c>
    </x:row>
    <x:row r="294">
      <x:c r="A294" t="n">
        <x:v>52</x:v>
      </x:c>
      <x:c r="B294" s="16" t="n">
        <x:v>46204</x:v>
      </x:c>
      <x:c r="C294" t="n">
        <x:v>1</x:v>
      </x:c>
      <x:c r="D294" t="n">
        <x:v>36</x:v>
      </x:c>
      <x:c r="E294" s="18" t="n">
        <x:v>4953.45</x:v>
      </x:c>
      <x:c r="F294" s="18" t="n">
        <x:v>17</x:v>
      </x:c>
      <x:c r="G294" s="18" t="n">
        <x:v>22.29</x:v>
      </x:c>
      <x:c r="H294" s="18" t="n">
        <x:v>14.06</x:v>
      </x:c>
      <x:c r="I294" s="18" t="n">
        <x:v>53.35</x:v>
      </x:c>
      <x:c r="J294" t="n">
        <x:f>IF(A294=A293,IFERROR(IF(B294=EDATE(B293,1),C293,0),0),0)</x:f>
        <x:v>1</x:v>
      </x:c>
      <x:c r="K294" t="n">
        <x:f>IF(AND(J294=1,C294=0),1,0)</x:f>
        <x:v>0</x:v>
      </x:c>
      <x:c r="L294" t="str">
        <x:f>IFERROR(INDEX(Customers!$C$2:$C$451,MATCH(A294,Customers!$A$2:$A$451,0)),"Unknown")</x:f>
        <x:v>Premium</x:v>
      </x:c>
    </x:row>
    <x:row r="295">
      <x:c r="A295" t="n">
        <x:v>52</x:v>
      </x:c>
      <x:c r="B295" s="16" t="n">
        <x:v>46235</x:v>
      </x:c>
      <x:c r="C295" t="n">
        <x:v>1</x:v>
      </x:c>
      <x:c r="D295" t="n">
        <x:v>11</x:v>
      </x:c>
      <x:c r="E295" s="18" t="n">
        <x:v>844.43</x:v>
      </x:c>
      <x:c r="F295" s="18" t="n">
        <x:v>17</x:v>
      </x:c>
      <x:c r="G295" s="18" t="n">
        <x:v>3.8</x:v>
      </x:c>
      <x:c r="H295" s="18" t="n">
        <x:v>1.98</x:v>
      </x:c>
      <x:c r="I295" s="18" t="n">
        <x:v>22.78</x:v>
      </x:c>
      <x:c r="J295" t="n">
        <x:f>IF(A295=A294,IFERROR(IF(B295=EDATE(B294,1),C294,0),0),0)</x:f>
        <x:v>1</x:v>
      </x:c>
      <x:c r="K295" t="n">
        <x:f>IF(AND(J295=1,C295=0),1,0)</x:f>
        <x:v>0</x:v>
      </x:c>
      <x:c r="L295" t="str">
        <x:f>IFERROR(INDEX(Customers!$C$2:$C$451,MATCH(A295,Customers!$A$2:$A$451,0)),"Unknown")</x:f>
        <x:v>Premium</x:v>
      </x:c>
    </x:row>
    <x:row r="296">
      <x:c r="A296" t="n">
        <x:v>52</x:v>
      </x:c>
      <x:c r="B296" s="16" t="n">
        <x:v>46266</x:v>
      </x:c>
      <x:c r="C296" t="n">
        <x:v>1</x:v>
      </x:c>
      <x:c r="D296" t="n">
        <x:v>28</x:v>
      </x:c>
      <x:c r="E296" s="18" t="n">
        <x:v>3772.37</x:v>
      </x:c>
      <x:c r="F296" s="18" t="n">
        <x:v>17</x:v>
      </x:c>
      <x:c r="G296" s="18" t="n">
        <x:v>16.98</x:v>
      </x:c>
      <x:c r="H296" s="18" t="n">
        <x:v>9.06</x:v>
      </x:c>
      <x:c r="I296" s="18" t="n">
        <x:v>43.04</x:v>
      </x:c>
      <x:c r="J296" t="n">
        <x:f>IF(A296=A295,IFERROR(IF(B296=EDATE(B295,1),C295,0),0),0)</x:f>
        <x:v>1</x:v>
      </x:c>
      <x:c r="K296" t="n">
        <x:f>IF(AND(J296=1,C296=0),1,0)</x:f>
        <x:v>0</x:v>
      </x:c>
      <x:c r="L296" t="str">
        <x:f>IFERROR(INDEX(Customers!$C$2:$C$451,MATCH(A296,Customers!$A$2:$A$451,0)),"Unknown")</x:f>
        <x:v>Premium</x:v>
      </x:c>
    </x:row>
    <x:row r="297">
      <x:c r="A297" t="n">
        <x:v>53</x:v>
      </x:c>
      <x:c r="B297" s="16" t="n">
        <x:v>46113</x:v>
      </x:c>
      <x:c r="C297" t="n">
        <x:v>0</x:v>
      </x:c>
      <x:c r="D297" t="n">
        <x:v>0</x:v>
      </x:c>
      <x:c r="E297" s="18" t="n">
        <x:v>0</x:v>
      </x:c>
      <x:c r="F297" s="18" t="n">
        <x:v>0</x:v>
      </x:c>
      <x:c r="G297" s="18" t="n">
        <x:v>0</x:v>
      </x:c>
      <x:c r="H297" s="18" t="n">
        <x:v>0</x:v>
      </x:c>
      <x:c r="I297" s="18" t="n">
        <x:v>0</x:v>
      </x:c>
      <x:c r="J297" t="n">
        <x:f>IF(A297=A296,IFERROR(IF(B297=EDATE(B296,1),C296,0),0),0)</x:f>
        <x:v>0</x:v>
      </x:c>
      <x:c r="K297" t="n">
        <x:f>IF(AND(J297=1,C297=0),1,0)</x:f>
        <x:v>0</x:v>
      </x:c>
      <x:c r="L297" t="str">
        <x:f>IFERROR(INDEX(Customers!$C$2:$C$451,MATCH(A297,Customers!$A$2:$A$451,0)),"Unknown")</x:f>
        <x:v>Standard</x:v>
      </x:c>
    </x:row>
    <x:row r="298">
      <x:c r="A298" t="n">
        <x:v>53</x:v>
      </x:c>
      <x:c r="B298" s="16" t="n">
        <x:v>46143</x:v>
      </x:c>
      <x:c r="C298" t="n">
        <x:v>0</x:v>
      </x:c>
      <x:c r="D298" t="n">
        <x:v>0</x:v>
      </x:c>
      <x:c r="E298" s="18" t="n">
        <x:v>0</x:v>
      </x:c>
      <x:c r="F298" s="18" t="n">
        <x:v>0</x:v>
      </x:c>
      <x:c r="G298" s="18" t="n">
        <x:v>0</x:v>
      </x:c>
      <x:c r="H298" s="18" t="n">
        <x:v>0</x:v>
      </x:c>
      <x:c r="I298" s="18" t="n">
        <x:v>0</x:v>
      </x:c>
      <x:c r="J298" t="n">
        <x:f>IF(A298=A297,IFERROR(IF(B298=EDATE(B297,1),C297,0),0),0)</x:f>
        <x:v>0</x:v>
      </x:c>
      <x:c r="K298" t="n">
        <x:f>IF(AND(J298=1,C298=0),1,0)</x:f>
        <x:v>0</x:v>
      </x:c>
      <x:c r="L298" t="str">
        <x:f>IFERROR(INDEX(Customers!$C$2:$C$451,MATCH(A298,Customers!$A$2:$A$451,0)),"Unknown")</x:f>
        <x:v>Standard</x:v>
      </x:c>
    </x:row>
    <x:row r="299">
      <x:c r="A299" t="n">
        <x:v>53</x:v>
      </x:c>
      <x:c r="B299" s="16" t="n">
        <x:v>46174</x:v>
      </x:c>
      <x:c r="C299" t="n">
        <x:v>1</x:v>
      </x:c>
      <x:c r="D299" t="n">
        <x:v>15</x:v>
      </x:c>
      <x:c r="E299" s="18" t="n">
        <x:v>981.92</x:v>
      </x:c>
      <x:c r="F299" s="18" t="n">
        <x:v>0</x:v>
      </x:c>
      <x:c r="G299" s="18" t="n">
        <x:v>4.42</x:v>
      </x:c>
      <x:c r="H299" s="18" t="n">
        <x:v>3.47</x:v>
      </x:c>
      <x:c r="I299" s="18" t="n">
        <x:v>7.89</x:v>
      </x:c>
      <x:c r="J299" t="n">
        <x:f>IF(A299=A298,IFERROR(IF(B299=EDATE(B298,1),C298,0),0),0)</x:f>
        <x:v>0</x:v>
      </x:c>
      <x:c r="K299" t="n">
        <x:f>IF(AND(J299=1,C299=0),1,0)</x:f>
        <x:v>0</x:v>
      </x:c>
      <x:c r="L299" t="str">
        <x:f>IFERROR(INDEX(Customers!$C$2:$C$451,MATCH(A299,Customers!$A$2:$A$451,0)),"Unknown")</x:f>
        <x:v>Standard</x:v>
      </x:c>
    </x:row>
    <x:row r="300">
      <x:c r="A300" t="n">
        <x:v>53</x:v>
      </x:c>
      <x:c r="B300" s="16" t="n">
        <x:v>46204</x:v>
      </x:c>
      <x:c r="C300" t="n">
        <x:v>1</x:v>
      </x:c>
      <x:c r="D300" t="n">
        <x:v>35</x:v>
      </x:c>
      <x:c r="E300" s="18" t="n">
        <x:v>2556.07</x:v>
      </x:c>
      <x:c r="F300" s="18" t="n">
        <x:v>0</x:v>
      </x:c>
      <x:c r="G300" s="18" t="n">
        <x:v>11.5</x:v>
      </x:c>
      <x:c r="H300" s="18" t="n">
        <x:v>6.33</x:v>
      </x:c>
      <x:c r="I300" s="18" t="n">
        <x:v>17.83</x:v>
      </x:c>
      <x:c r="J300" t="n">
        <x:f>IF(A300=A299,IFERROR(IF(B300=EDATE(B299,1),C299,0),0),0)</x:f>
        <x:v>1</x:v>
      </x:c>
      <x:c r="K300" t="n">
        <x:f>IF(AND(J300=1,C300=0),1,0)</x:f>
        <x:v>0</x:v>
      </x:c>
      <x:c r="L300" t="str">
        <x:f>IFERROR(INDEX(Customers!$C$2:$C$451,MATCH(A300,Customers!$A$2:$A$451,0)),"Unknown")</x:f>
        <x:v>Standard</x:v>
      </x:c>
    </x:row>
    <x:row r="301">
      <x:c r="A301" t="n">
        <x:v>53</x:v>
      </x:c>
      <x:c r="B301" s="16" t="n">
        <x:v>46235</x:v>
      </x:c>
      <x:c r="C301" t="n">
        <x:v>1</x:v>
      </x:c>
      <x:c r="D301" t="n">
        <x:v>8</x:v>
      </x:c>
      <x:c r="E301" s="18" t="n">
        <x:v>518.94</x:v>
      </x:c>
      <x:c r="F301" s="18" t="n">
        <x:v>0</x:v>
      </x:c>
      <x:c r="G301" s="18" t="n">
        <x:v>2.34</x:v>
      </x:c>
      <x:c r="H301" s="18" t="n">
        <x:v>1.95</x:v>
      </x:c>
      <x:c r="I301" s="18" t="n">
        <x:v>4.29</x:v>
      </x:c>
      <x:c r="J301" t="n">
        <x:f>IF(A301=A300,IFERROR(IF(B301=EDATE(B300,1),C300,0),0),0)</x:f>
        <x:v>1</x:v>
      </x:c>
      <x:c r="K301" t="n">
        <x:f>IF(AND(J301=1,C301=0),1,0)</x:f>
        <x:v>0</x:v>
      </x:c>
      <x:c r="L301" t="str">
        <x:f>IFERROR(INDEX(Customers!$C$2:$C$451,MATCH(A301,Customers!$A$2:$A$451,0)),"Unknown")</x:f>
        <x:v>Standard</x:v>
      </x:c>
    </x:row>
    <x:row r="302">
      <x:c r="A302" t="n">
        <x:v>53</x:v>
      </x:c>
      <x:c r="B302" s="16" t="n">
        <x:v>46266</x:v>
      </x:c>
      <x:c r="C302" t="n">
        <x:v>1</x:v>
      </x:c>
      <x:c r="D302" t="n">
        <x:v>20</x:v>
      </x:c>
      <x:c r="E302" s="18" t="n">
        <x:v>1833.75</x:v>
      </x:c>
      <x:c r="F302" s="18" t="n">
        <x:v>0</x:v>
      </x:c>
      <x:c r="G302" s="18" t="n">
        <x:v>8.25</x:v>
      </x:c>
      <x:c r="H302" s="18" t="n">
        <x:v>4.38</x:v>
      </x:c>
      <x:c r="I302" s="18" t="n">
        <x:v>12.63</x:v>
      </x:c>
      <x:c r="J302" t="n">
        <x:f>IF(A302=A301,IFERROR(IF(B302=EDATE(B301,1),C301,0),0),0)</x:f>
        <x:v>1</x:v>
      </x:c>
      <x:c r="K302" t="n">
        <x:f>IF(AND(J302=1,C302=0),1,0)</x:f>
        <x:v>0</x:v>
      </x:c>
      <x:c r="L302" t="str">
        <x:f>IFERROR(INDEX(Customers!$C$2:$C$451,MATCH(A302,Customers!$A$2:$A$451,0)),"Unknown")</x:f>
        <x:v>Standard</x:v>
      </x:c>
    </x:row>
    <x:row r="303">
      <x:c r="A303" t="n">
        <x:v>54</x:v>
      </x:c>
      <x:c r="B303" s="16" t="n">
        <x:v>46113</x:v>
      </x:c>
      <x:c r="C303" t="n">
        <x:v>0</x:v>
      </x:c>
      <x:c r="D303" t="n">
        <x:v>0</x:v>
      </x:c>
      <x:c r="E303" s="18" t="n">
        <x:v>0</x:v>
      </x:c>
      <x:c r="F303" s="18" t="n">
        <x:v>0</x:v>
      </x:c>
      <x:c r="G303" s="18" t="n">
        <x:v>0</x:v>
      </x:c>
      <x:c r="H303" s="18" t="n">
        <x:v>0</x:v>
      </x:c>
      <x:c r="I303" s="18" t="n">
        <x:v>0</x:v>
      </x:c>
      <x:c r="J303" t="n">
        <x:f>IF(A303=A302,IFERROR(IF(B303=EDATE(B302,1),C302,0),0),0)</x:f>
        <x:v>0</x:v>
      </x:c>
      <x:c r="K303" t="n">
        <x:f>IF(AND(J303=1,C303=0),1,0)</x:f>
        <x:v>0</x:v>
      </x:c>
      <x:c r="L303" t="str">
        <x:f>IFERROR(INDEX(Customers!$C$2:$C$451,MATCH(A303,Customers!$A$2:$A$451,0)),"Unknown")</x:f>
        <x:v>Premium</x:v>
      </x:c>
    </x:row>
    <x:row r="304">
      <x:c r="A304" t="n">
        <x:v>54</x:v>
      </x:c>
      <x:c r="B304" s="16" t="n">
        <x:v>46143</x:v>
      </x:c>
      <x:c r="C304" t="n">
        <x:v>0</x:v>
      </x:c>
      <x:c r="D304" t="n">
        <x:v>0</x:v>
      </x:c>
      <x:c r="E304" s="18" t="n">
        <x:v>0</x:v>
      </x:c>
      <x:c r="F304" s="18" t="n">
        <x:v>0</x:v>
      </x:c>
      <x:c r="G304" s="18" t="n">
        <x:v>0</x:v>
      </x:c>
      <x:c r="H304" s="18" t="n">
        <x:v>0</x:v>
      </x:c>
      <x:c r="I304" s="18" t="n">
        <x:v>0</x:v>
      </x:c>
      <x:c r="J304" t="n">
        <x:f>IF(A304=A303,IFERROR(IF(B304=EDATE(B303,1),C303,0),0),0)</x:f>
        <x:v>0</x:v>
      </x:c>
      <x:c r="K304" t="n">
        <x:f>IF(AND(J304=1,C304=0),1,0)</x:f>
        <x:v>0</x:v>
      </x:c>
      <x:c r="L304" t="str">
        <x:f>IFERROR(INDEX(Customers!$C$2:$C$451,MATCH(A304,Customers!$A$2:$A$451,0)),"Unknown")</x:f>
        <x:v>Premium</x:v>
      </x:c>
    </x:row>
    <x:row r="305">
      <x:c r="A305" t="n">
        <x:v>54</x:v>
      </x:c>
      <x:c r="B305" s="16" t="n">
        <x:v>46174</x:v>
      </x:c>
      <x:c r="C305" t="n">
        <x:v>1</x:v>
      </x:c>
      <x:c r="D305" t="n">
        <x:v>25</x:v>
      </x:c>
      <x:c r="E305" s="18" t="n">
        <x:v>1440.23</x:v>
      </x:c>
      <x:c r="F305" s="18" t="n">
        <x:v>17</x:v>
      </x:c>
      <x:c r="G305" s="18" t="n">
        <x:v>6.48</x:v>
      </x:c>
      <x:c r="H305" s="18" t="n">
        <x:v>3.56</x:v>
      </x:c>
      <x:c r="I305" s="18" t="n">
        <x:v>27.04</x:v>
      </x:c>
      <x:c r="J305" t="n">
        <x:f>IF(A305=A304,IFERROR(IF(B305=EDATE(B304,1),C304,0),0),0)</x:f>
        <x:v>0</x:v>
      </x:c>
      <x:c r="K305" t="n">
        <x:f>IF(AND(J305=1,C305=0),1,0)</x:f>
        <x:v>0</x:v>
      </x:c>
      <x:c r="L305" t="str">
        <x:f>IFERROR(INDEX(Customers!$C$2:$C$451,MATCH(A305,Customers!$A$2:$A$451,0)),"Unknown")</x:f>
        <x:v>Premium</x:v>
      </x:c>
    </x:row>
    <x:row r="306">
      <x:c r="A306" t="n">
        <x:v>54</x:v>
      </x:c>
      <x:c r="B306" s="16" t="n">
        <x:v>46204</x:v>
      </x:c>
      <x:c r="C306" t="n">
        <x:v>1</x:v>
      </x:c>
      <x:c r="D306" t="n">
        <x:v>22</x:v>
      </x:c>
      <x:c r="E306" s="18" t="n">
        <x:v>1636.7</x:v>
      </x:c>
      <x:c r="F306" s="18" t="n">
        <x:v>17</x:v>
      </x:c>
      <x:c r="G306" s="18" t="n">
        <x:v>7.37</x:v>
      </x:c>
      <x:c r="H306" s="18" t="n">
        <x:v>2.38</x:v>
      </x:c>
      <x:c r="I306" s="18" t="n">
        <x:v>26.75</x:v>
      </x:c>
      <x:c r="J306" t="n">
        <x:f>IF(A306=A305,IFERROR(IF(B306=EDATE(B305,1),C305,0),0),0)</x:f>
        <x:v>1</x:v>
      </x:c>
      <x:c r="K306" t="n">
        <x:f>IF(AND(J306=1,C306=0),1,0)</x:f>
        <x:v>0</x:v>
      </x:c>
      <x:c r="L306" t="str">
        <x:f>IFERROR(INDEX(Customers!$C$2:$C$451,MATCH(A306,Customers!$A$2:$A$451,0)),"Unknown")</x:f>
        <x:v>Premium</x:v>
      </x:c>
    </x:row>
    <x:row r="307">
      <x:c r="A307" t="n">
        <x:v>54</x:v>
      </x:c>
      <x:c r="B307" s="16" t="n">
        <x:v>46235</x:v>
      </x:c>
      <x:c r="C307" t="n">
        <x:v>1</x:v>
      </x:c>
      <x:c r="D307" t="n">
        <x:v>21</x:v>
      </x:c>
      <x:c r="E307" s="18" t="n">
        <x:v>889.42</x:v>
      </x:c>
      <x:c r="F307" s="18" t="n">
        <x:v>17</x:v>
      </x:c>
      <x:c r="G307" s="18" t="n">
        <x:v>4</x:v>
      </x:c>
      <x:c r="H307" s="18" t="n">
        <x:v>1.7</x:v>
      </x:c>
      <x:c r="I307" s="18" t="n">
        <x:v>22.7</x:v>
      </x:c>
      <x:c r="J307" t="n">
        <x:f>IF(A307=A306,IFERROR(IF(B307=EDATE(B306,1),C306,0),0),0)</x:f>
        <x:v>1</x:v>
      </x:c>
      <x:c r="K307" t="n">
        <x:f>IF(AND(J307=1,C307=0),1,0)</x:f>
        <x:v>0</x:v>
      </x:c>
      <x:c r="L307" t="str">
        <x:f>IFERROR(INDEX(Customers!$C$2:$C$451,MATCH(A307,Customers!$A$2:$A$451,0)),"Unknown")</x:f>
        <x:v>Premium</x:v>
      </x:c>
    </x:row>
    <x:row r="308">
      <x:c r="A308" t="n">
        <x:v>54</x:v>
      </x:c>
      <x:c r="B308" s="16" t="n">
        <x:v>46266</x:v>
      </x:c>
      <x:c r="C308" t="n">
        <x:v>1</x:v>
      </x:c>
      <x:c r="D308" t="n">
        <x:v>36</x:v>
      </x:c>
      <x:c r="E308" s="18" t="n">
        <x:v>2459.25</x:v>
      </x:c>
      <x:c r="F308" s="18" t="n">
        <x:v>17</x:v>
      </x:c>
      <x:c r="G308" s="18" t="n">
        <x:v>11.07</x:v>
      </x:c>
      <x:c r="H308" s="18" t="n">
        <x:v>5.72</x:v>
      </x:c>
      <x:c r="I308" s="18" t="n">
        <x:v>33.79</x:v>
      </x:c>
      <x:c r="J308" t="n">
        <x:f>IF(A308=A307,IFERROR(IF(B308=EDATE(B307,1),C307,0),0),0)</x:f>
        <x:v>1</x:v>
      </x:c>
      <x:c r="K308" t="n">
        <x:f>IF(AND(J308=1,C308=0),1,0)</x:f>
        <x:v>0</x:v>
      </x:c>
      <x:c r="L308" t="str">
        <x:f>IFERROR(INDEX(Customers!$C$2:$C$451,MATCH(A308,Customers!$A$2:$A$451,0)),"Unknown")</x:f>
        <x:v>Premium</x:v>
      </x:c>
    </x:row>
    <x:row r="309">
      <x:c r="A309" t="n">
        <x:v>55</x:v>
      </x:c>
      <x:c r="B309" s="16" t="n">
        <x:v>46113</x:v>
      </x:c>
      <x:c r="C309" t="n">
        <x:v>1</x:v>
      </x:c>
      <x:c r="D309" t="n">
        <x:v>7</x:v>
      </x:c>
      <x:c r="E309" s="18" t="n">
        <x:v>815.18</x:v>
      </x:c>
      <x:c r="F309" s="18" t="n">
        <x:v>0</x:v>
      </x:c>
      <x:c r="G309" s="18" t="n">
        <x:v>3.67</x:v>
      </x:c>
      <x:c r="H309" s="18" t="n">
        <x:v>3.02</x:v>
      </x:c>
      <x:c r="I309" s="18" t="n">
        <x:v>6.69</x:v>
      </x:c>
      <x:c r="J309" t="n">
        <x:f>IF(A309=A308,IFERROR(IF(B309=EDATE(B308,1),C308,0),0),0)</x:f>
        <x:v>0</x:v>
      </x:c>
      <x:c r="K309" t="n">
        <x:f>IF(AND(J309=1,C309=0),1,0)</x:f>
        <x:v>0</x:v>
      </x:c>
      <x:c r="L309" t="str">
        <x:f>IFERROR(INDEX(Customers!$C$2:$C$451,MATCH(A309,Customers!$A$2:$A$451,0)),"Unknown")</x:f>
        <x:v>Standard</x:v>
      </x:c>
    </x:row>
    <x:row r="310">
      <x:c r="A310" t="n">
        <x:v>55</x:v>
      </x:c>
      <x:c r="B310" s="16" t="n">
        <x:v>46143</x:v>
      </x:c>
      <x:c r="C310" t="n">
        <x:v>1</x:v>
      </x:c>
      <x:c r="D310" t="n">
        <x:v>4</x:v>
      </x:c>
      <x:c r="E310" s="18" t="n">
        <x:v>397.17</x:v>
      </x:c>
      <x:c r="F310" s="18" t="n">
        <x:v>0</x:v>
      </x:c>
      <x:c r="G310" s="18" t="n">
        <x:v>1.79</x:v>
      </x:c>
      <x:c r="H310" s="18" t="n">
        <x:v>0.48</x:v>
      </x:c>
      <x:c r="I310" s="18" t="n">
        <x:v>2.27</x:v>
      </x:c>
      <x:c r="J310" t="n">
        <x:f>IF(A310=A309,IFERROR(IF(B310=EDATE(B309,1),C309,0),0),0)</x:f>
        <x:v>1</x:v>
      </x:c>
      <x:c r="K310" t="n">
        <x:f>IF(AND(J310=1,C310=0),1,0)</x:f>
        <x:v>0</x:v>
      </x:c>
      <x:c r="L310" t="str">
        <x:f>IFERROR(INDEX(Customers!$C$2:$C$451,MATCH(A310,Customers!$A$2:$A$451,0)),"Unknown")</x:f>
        <x:v>Standard</x:v>
      </x:c>
    </x:row>
    <x:row r="311">
      <x:c r="A311" t="n">
        <x:v>55</x:v>
      </x:c>
      <x:c r="B311" s="16" t="n">
        <x:v>46174</x:v>
      </x:c>
      <x:c r="C311" t="n">
        <x:v>0</x:v>
      </x:c>
      <x:c r="D311" t="n">
        <x:v>0</x:v>
      </x:c>
      <x:c r="E311" s="18" t="n">
        <x:v>0</x:v>
      </x:c>
      <x:c r="F311" s="18" t="n">
        <x:v>0</x:v>
      </x:c>
      <x:c r="G311" s="18" t="n">
        <x:v>0</x:v>
      </x:c>
      <x:c r="H311" s="18" t="n">
        <x:v>0</x:v>
      </x:c>
      <x:c r="I311" s="18" t="n">
        <x:v>0</x:v>
      </x:c>
      <x:c r="J311" t="n">
        <x:f>IF(A311=A310,IFERROR(IF(B311=EDATE(B310,1),C310,0),0),0)</x:f>
        <x:v>1</x:v>
      </x:c>
      <x:c r="K311" t="n">
        <x:f>IF(AND(J311=1,C311=0),1,0)</x:f>
        <x:v>1</x:v>
      </x:c>
      <x:c r="L311" t="str">
        <x:f>IFERROR(INDEX(Customers!$C$2:$C$451,MATCH(A311,Customers!$A$2:$A$451,0)),"Unknown")</x:f>
        <x:v>Standard</x:v>
      </x:c>
    </x:row>
    <x:row r="312">
      <x:c r="A312" t="n">
        <x:v>55</x:v>
      </x:c>
      <x:c r="B312" s="16" t="n">
        <x:v>46204</x:v>
      </x:c>
      <x:c r="C312" t="n">
        <x:v>0</x:v>
      </x:c>
      <x:c r="D312" t="n">
        <x:v>0</x:v>
      </x:c>
      <x:c r="E312" s="18" t="n">
        <x:v>0</x:v>
      </x:c>
      <x:c r="F312" s="18" t="n">
        <x:v>0</x:v>
      </x:c>
      <x:c r="G312" s="18" t="n">
        <x:v>0</x:v>
      </x:c>
      <x:c r="H312" s="18" t="n">
        <x:v>0</x:v>
      </x:c>
      <x:c r="I312" s="18" t="n">
        <x:v>0</x:v>
      </x:c>
      <x:c r="J312" t="n">
        <x:f>IF(A312=A311,IFERROR(IF(B312=EDATE(B311,1),C311,0),0),0)</x:f>
        <x:v>0</x:v>
      </x:c>
      <x:c r="K312" t="n">
        <x:f>IF(AND(J312=1,C312=0),1,0)</x:f>
        <x:v>0</x:v>
      </x:c>
      <x:c r="L312" t="str">
        <x:f>IFERROR(INDEX(Customers!$C$2:$C$451,MATCH(A312,Customers!$A$2:$A$451,0)),"Unknown")</x:f>
        <x:v>Standard</x:v>
      </x:c>
    </x:row>
    <x:row r="313">
      <x:c r="A313" t="n">
        <x:v>55</x:v>
      </x:c>
      <x:c r="B313" s="16" t="n">
        <x:v>46235</x:v>
      </x:c>
      <x:c r="C313" t="n">
        <x:v>1</x:v>
      </x:c>
      <x:c r="D313" t="n">
        <x:v>27</x:v>
      </x:c>
      <x:c r="E313" s="18" t="n">
        <x:v>1874.54</x:v>
      </x:c>
      <x:c r="F313" s="18" t="n">
        <x:v>0</x:v>
      </x:c>
      <x:c r="G313" s="18" t="n">
        <x:v>8.44</x:v>
      </x:c>
      <x:c r="H313" s="18" t="n">
        <x:v>3.91</x:v>
      </x:c>
      <x:c r="I313" s="18" t="n">
        <x:v>12.35</x:v>
      </x:c>
      <x:c r="J313" t="n">
        <x:f>IF(A313=A312,IFERROR(IF(B313=EDATE(B312,1),C312,0),0),0)</x:f>
        <x:v>0</x:v>
      </x:c>
      <x:c r="K313" t="n">
        <x:f>IF(AND(J313=1,C313=0),1,0)</x:f>
        <x:v>0</x:v>
      </x:c>
      <x:c r="L313" t="str">
        <x:f>IFERROR(INDEX(Customers!$C$2:$C$451,MATCH(A313,Customers!$A$2:$A$451,0)),"Unknown")</x:f>
        <x:v>Standard</x:v>
      </x:c>
    </x:row>
    <x:row r="314">
      <x:c r="A314" t="n">
        <x:v>55</x:v>
      </x:c>
      <x:c r="B314" s="16" t="n">
        <x:v>46266</x:v>
      </x:c>
      <x:c r="C314" t="n">
        <x:v>1</x:v>
      </x:c>
      <x:c r="D314" t="n">
        <x:v>35</x:v>
      </x:c>
      <x:c r="E314" s="18" t="n">
        <x:v>1486.99</x:v>
      </x:c>
      <x:c r="F314" s="18" t="n">
        <x:v>0</x:v>
      </x:c>
      <x:c r="G314" s="18" t="n">
        <x:v>6.69</x:v>
      </x:c>
      <x:c r="H314" s="18" t="n">
        <x:v>1.74</x:v>
      </x:c>
      <x:c r="I314" s="18" t="n">
        <x:v>8.43</x:v>
      </x:c>
      <x:c r="J314" t="n">
        <x:f>IF(A314=A313,IFERROR(IF(B314=EDATE(B313,1),C313,0),0),0)</x:f>
        <x:v>1</x:v>
      </x:c>
      <x:c r="K314" t="n">
        <x:f>IF(AND(J314=1,C314=0),1,0)</x:f>
        <x:v>0</x:v>
      </x:c>
      <x:c r="L314" t="str">
        <x:f>IFERROR(INDEX(Customers!$C$2:$C$451,MATCH(A314,Customers!$A$2:$A$451,0)),"Unknown")</x:f>
        <x:v>Standard</x:v>
      </x:c>
    </x:row>
    <x:row r="315">
      <x:c r="A315" t="n">
        <x:v>56</x:v>
      </x:c>
      <x:c r="B315" s="16" t="n">
        <x:v>46143</x:v>
      </x:c>
      <x:c r="C315" t="n">
        <x:v>1</x:v>
      </x:c>
      <x:c r="D315" t="n">
        <x:v>7</x:v>
      </x:c>
      <x:c r="E315" s="18" t="n">
        <x:v>545.32</x:v>
      </x:c>
      <x:c r="F315" s="18" t="n">
        <x:v>8</x:v>
      </x:c>
      <x:c r="G315" s="18" t="n">
        <x:v>2.45</x:v>
      </x:c>
      <x:c r="H315" s="18" t="n">
        <x:v>0.59</x:v>
      </x:c>
      <x:c r="I315" s="18" t="n">
        <x:v>11.04</x:v>
      </x:c>
      <x:c r="J315" t="n">
        <x:f>IF(A315=A314,IFERROR(IF(B315=EDATE(B314,1),C314,0),0),0)</x:f>
        <x:v>0</x:v>
      </x:c>
      <x:c r="K315" t="n">
        <x:f>IF(AND(J315=1,C315=0),1,0)</x:f>
        <x:v>0</x:v>
      </x:c>
      <x:c r="L315" t="str">
        <x:f>IFERROR(INDEX(Customers!$C$2:$C$451,MATCH(A315,Customers!$A$2:$A$451,0)),"Unknown")</x:f>
        <x:v>Plus</x:v>
      </x:c>
    </x:row>
    <x:row r="316">
      <x:c r="A316" t="n">
        <x:v>56</x:v>
      </x:c>
      <x:c r="B316" s="16" t="n">
        <x:v>46174</x:v>
      </x:c>
      <x:c r="C316" t="n">
        <x:v>1</x:v>
      </x:c>
      <x:c r="D316" t="n">
        <x:v>8</x:v>
      </x:c>
      <x:c r="E316" s="18" t="n">
        <x:v>565.86</x:v>
      </x:c>
      <x:c r="F316" s="18" t="n">
        <x:v>8</x:v>
      </x:c>
      <x:c r="G316" s="18" t="n">
        <x:v>2.55</x:v>
      </x:c>
      <x:c r="H316" s="18" t="n">
        <x:v>1.42</x:v>
      </x:c>
      <x:c r="I316" s="18" t="n">
        <x:v>11.97</x:v>
      </x:c>
      <x:c r="J316" t="n">
        <x:f>IF(A316=A315,IFERROR(IF(B316=EDATE(B315,1),C315,0),0),0)</x:f>
        <x:v>1</x:v>
      </x:c>
      <x:c r="K316" t="n">
        <x:f>IF(AND(J316=1,C316=0),1,0)</x:f>
        <x:v>0</x:v>
      </x:c>
      <x:c r="L316" t="str">
        <x:f>IFERROR(INDEX(Customers!$C$2:$C$451,MATCH(A316,Customers!$A$2:$A$451,0)),"Unknown")</x:f>
        <x:v>Plus</x:v>
      </x:c>
    </x:row>
    <x:row r="317">
      <x:c r="A317" t="n">
        <x:v>56</x:v>
      </x:c>
      <x:c r="B317" s="16" t="n">
        <x:v>46204</x:v>
      </x:c>
      <x:c r="C317" t="n">
        <x:v>0</x:v>
      </x:c>
      <x:c r="D317" t="n">
        <x:v>0</x:v>
      </x:c>
      <x:c r="E317" s="18" t="n">
        <x:v>0</x:v>
      </x:c>
      <x:c r="F317" s="18" t="n">
        <x:v>0</x:v>
      </x:c>
      <x:c r="G317" s="18" t="n">
        <x:v>0</x:v>
      </x:c>
      <x:c r="H317" s="18" t="n">
        <x:v>0</x:v>
      </x:c>
      <x:c r="I317" s="18" t="n">
        <x:v>0</x:v>
      </x:c>
      <x:c r="J317" t="n">
        <x:f>IF(A317=A316,IFERROR(IF(B317=EDATE(B316,1),C316,0),0),0)</x:f>
        <x:v>1</x:v>
      </x:c>
      <x:c r="K317" t="n">
        <x:f>IF(AND(J317=1,C317=0),1,0)</x:f>
        <x:v>1</x:v>
      </x:c>
      <x:c r="L317" t="str">
        <x:f>IFERROR(INDEX(Customers!$C$2:$C$451,MATCH(A317,Customers!$A$2:$A$451,0)),"Unknown")</x:f>
        <x:v>Plus</x:v>
      </x:c>
    </x:row>
    <x:row r="318">
      <x:c r="A318" t="n">
        <x:v>56</x:v>
      </x:c>
      <x:c r="B318" s="16" t="n">
        <x:v>46235</x:v>
      </x:c>
      <x:c r="C318" t="n">
        <x:v>1</x:v>
      </x:c>
      <x:c r="D318" t="n">
        <x:v>11</x:v>
      </x:c>
      <x:c r="E318" s="18" t="n">
        <x:v>1516.5</x:v>
      </x:c>
      <x:c r="F318" s="18" t="n">
        <x:v>8</x:v>
      </x:c>
      <x:c r="G318" s="18" t="n">
        <x:v>6.82</x:v>
      </x:c>
      <x:c r="H318" s="18" t="n">
        <x:v>4.89</x:v>
      </x:c>
      <x:c r="I318" s="18" t="n">
        <x:v>19.71</x:v>
      </x:c>
      <x:c r="J318" t="n">
        <x:f>IF(A318=A317,IFERROR(IF(B318=EDATE(B317,1),C317,0),0),0)</x:f>
        <x:v>0</x:v>
      </x:c>
      <x:c r="K318" t="n">
        <x:f>IF(AND(J318=1,C318=0),1,0)</x:f>
        <x:v>0</x:v>
      </x:c>
      <x:c r="L318" t="str">
        <x:f>IFERROR(INDEX(Customers!$C$2:$C$451,MATCH(A318,Customers!$A$2:$A$451,0)),"Unknown")</x:f>
        <x:v>Plus</x:v>
      </x:c>
    </x:row>
    <x:row r="319">
      <x:c r="A319" t="n">
        <x:v>56</x:v>
      </x:c>
      <x:c r="B319" s="16" t="n">
        <x:v>46266</x:v>
      </x:c>
      <x:c r="C319" t="n">
        <x:v>1</x:v>
      </x:c>
      <x:c r="D319" t="n">
        <x:v>8</x:v>
      </x:c>
      <x:c r="E319" s="18" t="n">
        <x:v>706.07</x:v>
      </x:c>
      <x:c r="F319" s="18" t="n">
        <x:v>8</x:v>
      </x:c>
      <x:c r="G319" s="18" t="n">
        <x:v>3.18</x:v>
      </x:c>
      <x:c r="H319" s="18" t="n">
        <x:v>2.62</x:v>
      </x:c>
      <x:c r="I319" s="18" t="n">
        <x:v>13.8</x:v>
      </x:c>
      <x:c r="J319" t="n">
        <x:f>IF(A319=A318,IFERROR(IF(B319=EDATE(B318,1),C318,0),0),0)</x:f>
        <x:v>1</x:v>
      </x:c>
      <x:c r="K319" t="n">
        <x:f>IF(AND(J319=1,C319=0),1,0)</x:f>
        <x:v>0</x:v>
      </x:c>
      <x:c r="L319" t="str">
        <x:f>IFERROR(INDEX(Customers!$C$2:$C$451,MATCH(A319,Customers!$A$2:$A$451,0)),"Unknown")</x:f>
        <x:v>Plus</x:v>
      </x:c>
    </x:row>
    <x:row r="320">
      <x:c r="A320" t="n">
        <x:v>57</x:v>
      </x:c>
      <x:c r="B320" s="16" t="n">
        <x:v>46113</x:v>
      </x:c>
      <x:c r="C320" t="n">
        <x:v>0</x:v>
      </x:c>
      <x:c r="D320" t="n">
        <x:v>0</x:v>
      </x:c>
      <x:c r="E320" s="18" t="n">
        <x:v>0</x:v>
      </x:c>
      <x:c r="F320" s="18" t="n">
        <x:v>0</x:v>
      </x:c>
      <x:c r="G320" s="18" t="n">
        <x:v>0</x:v>
      </x:c>
      <x:c r="H320" s="18" t="n">
        <x:v>0</x:v>
      </x:c>
      <x:c r="I320" s="18" t="n">
        <x:v>0</x:v>
      </x:c>
      <x:c r="J320" t="n">
        <x:f>IF(A320=A319,IFERROR(IF(B320=EDATE(B319,1),C319,0),0),0)</x:f>
        <x:v>0</x:v>
      </x:c>
      <x:c r="K320" t="n">
        <x:f>IF(AND(J320=1,C320=0),1,0)</x:f>
        <x:v>0</x:v>
      </x:c>
      <x:c r="L320" t="str">
        <x:f>IFERROR(INDEX(Customers!$C$2:$C$451,MATCH(A320,Customers!$A$2:$A$451,0)),"Unknown")</x:f>
        <x:v>Plus</x:v>
      </x:c>
    </x:row>
    <x:row r="321">
      <x:c r="A321" t="n">
        <x:v>57</x:v>
      </x:c>
      <x:c r="B321" s="16" t="n">
        <x:v>46143</x:v>
      </x:c>
      <x:c r="C321" t="n">
        <x:v>1</x:v>
      </x:c>
      <x:c r="D321" t="n">
        <x:v>22</x:v>
      </x:c>
      <x:c r="E321" s="18" t="n">
        <x:v>1946.14</x:v>
      </x:c>
      <x:c r="F321" s="18" t="n">
        <x:v>8</x:v>
      </x:c>
      <x:c r="G321" s="18" t="n">
        <x:v>8.76</x:v>
      </x:c>
      <x:c r="H321" s="18" t="n">
        <x:v>6.42</x:v>
      </x:c>
      <x:c r="I321" s="18" t="n">
        <x:v>23.18</x:v>
      </x:c>
      <x:c r="J321" t="n">
        <x:f>IF(A321=A320,IFERROR(IF(B321=EDATE(B320,1),C320,0),0),0)</x:f>
        <x:v>0</x:v>
      </x:c>
      <x:c r="K321" t="n">
        <x:f>IF(AND(J321=1,C321=0),1,0)</x:f>
        <x:v>0</x:v>
      </x:c>
      <x:c r="L321" t="str">
        <x:f>IFERROR(INDEX(Customers!$C$2:$C$451,MATCH(A321,Customers!$A$2:$A$451,0)),"Unknown")</x:f>
        <x:v>Plus</x:v>
      </x:c>
    </x:row>
    <x:row r="322">
      <x:c r="A322" t="n">
        <x:v>57</x:v>
      </x:c>
      <x:c r="B322" s="16" t="n">
        <x:v>46174</x:v>
      </x:c>
      <x:c r="C322" t="n">
        <x:v>1</x:v>
      </x:c>
      <x:c r="D322" t="n">
        <x:v>36</x:v>
      </x:c>
      <x:c r="E322" s="18" t="n">
        <x:v>1812.26</x:v>
      </x:c>
      <x:c r="F322" s="18" t="n">
        <x:v>8</x:v>
      </x:c>
      <x:c r="G322" s="18" t="n">
        <x:v>8.16</x:v>
      </x:c>
      <x:c r="H322" s="18" t="n">
        <x:v>3.37</x:v>
      </x:c>
      <x:c r="I322" s="18" t="n">
        <x:v>19.53</x:v>
      </x:c>
      <x:c r="J322" t="n">
        <x:f>IF(A322=A321,IFERROR(IF(B322=EDATE(B321,1),C321,0),0),0)</x:f>
        <x:v>1</x:v>
      </x:c>
      <x:c r="K322" t="n">
        <x:f>IF(AND(J322=1,C322=0),1,0)</x:f>
        <x:v>0</x:v>
      </x:c>
      <x:c r="L322" t="str">
        <x:f>IFERROR(INDEX(Customers!$C$2:$C$451,MATCH(A322,Customers!$A$2:$A$451,0)),"Unknown")</x:f>
        <x:v>Plus</x:v>
      </x:c>
    </x:row>
    <x:row r="323">
      <x:c r="A323" t="n">
        <x:v>57</x:v>
      </x:c>
      <x:c r="B323" s="16" t="n">
        <x:v>46204</x:v>
      </x:c>
      <x:c r="C323" t="n">
        <x:v>1</x:v>
      </x:c>
      <x:c r="D323" t="n">
        <x:v>9</x:v>
      </x:c>
      <x:c r="E323" s="18" t="n">
        <x:v>583.69</x:v>
      </x:c>
      <x:c r="F323" s="18" t="n">
        <x:v>8</x:v>
      </x:c>
      <x:c r="G323" s="18" t="n">
        <x:v>2.63</x:v>
      </x:c>
      <x:c r="H323" s="18" t="n">
        <x:v>1.95</x:v>
      </x:c>
      <x:c r="I323" s="18" t="n">
        <x:v>12.58</x:v>
      </x:c>
      <x:c r="J323" t="n">
        <x:f>IF(A323=A322,IFERROR(IF(B323=EDATE(B322,1),C322,0),0),0)</x:f>
        <x:v>1</x:v>
      </x:c>
      <x:c r="K323" t="n">
        <x:f>IF(AND(J323=1,C323=0),1,0)</x:f>
        <x:v>0</x:v>
      </x:c>
      <x:c r="L323" t="str">
        <x:f>IFERROR(INDEX(Customers!$C$2:$C$451,MATCH(A323,Customers!$A$2:$A$451,0)),"Unknown")</x:f>
        <x:v>Plus</x:v>
      </x:c>
    </x:row>
    <x:row r="324">
      <x:c r="A324" t="n">
        <x:v>57</x:v>
      </x:c>
      <x:c r="B324" s="16" t="n">
        <x:v>46235</x:v>
      </x:c>
      <x:c r="C324" t="n">
        <x:v>1</x:v>
      </x:c>
      <x:c r="D324" t="n">
        <x:v>5</x:v>
      </x:c>
      <x:c r="E324" s="18" t="n">
        <x:v>498.92</x:v>
      </x:c>
      <x:c r="F324" s="18" t="n">
        <x:v>8</x:v>
      </x:c>
      <x:c r="G324" s="18" t="n">
        <x:v>2.25</x:v>
      </x:c>
      <x:c r="H324" s="18" t="n">
        <x:v>1.51</x:v>
      </x:c>
      <x:c r="I324" s="18" t="n">
        <x:v>11.76</x:v>
      </x:c>
      <x:c r="J324" t="n">
        <x:f>IF(A324=A323,IFERROR(IF(B324=EDATE(B323,1),C323,0),0),0)</x:f>
        <x:v>1</x:v>
      </x:c>
      <x:c r="K324" t="n">
        <x:f>IF(AND(J324=1,C324=0),1,0)</x:f>
        <x:v>0</x:v>
      </x:c>
      <x:c r="L324" t="str">
        <x:f>IFERROR(INDEX(Customers!$C$2:$C$451,MATCH(A324,Customers!$A$2:$A$451,0)),"Unknown")</x:f>
        <x:v>Plus</x:v>
      </x:c>
    </x:row>
    <x:row r="325">
      <x:c r="A325" t="n">
        <x:v>57</x:v>
      </x:c>
      <x:c r="B325" s="16" t="n">
        <x:v>46266</x:v>
      </x:c>
      <x:c r="C325" t="n">
        <x:v>1</x:v>
      </x:c>
      <x:c r="D325" t="n">
        <x:v>11</x:v>
      </x:c>
      <x:c r="E325" s="18" t="n">
        <x:v>816.56</x:v>
      </x:c>
      <x:c r="F325" s="18" t="n">
        <x:v>8</x:v>
      </x:c>
      <x:c r="G325" s="18" t="n">
        <x:v>3.67</x:v>
      </x:c>
      <x:c r="H325" s="18" t="n">
        <x:v>1.19</x:v>
      </x:c>
      <x:c r="I325" s="18" t="n">
        <x:v>12.86</x:v>
      </x:c>
      <x:c r="J325" t="n">
        <x:f>IF(A325=A324,IFERROR(IF(B325=EDATE(B324,1),C324,0),0),0)</x:f>
        <x:v>1</x:v>
      </x:c>
      <x:c r="K325" t="n">
        <x:f>IF(AND(J325=1,C325=0),1,0)</x:f>
        <x:v>0</x:v>
      </x:c>
      <x:c r="L325" t="str">
        <x:f>IFERROR(INDEX(Customers!$C$2:$C$451,MATCH(A325,Customers!$A$2:$A$451,0)),"Unknown")</x:f>
        <x:v>Plus</x:v>
      </x:c>
    </x:row>
    <x:row r="326">
      <x:c r="A326" t="n">
        <x:v>58</x:v>
      </x:c>
      <x:c r="B326" s="16" t="n">
        <x:v>46143</x:v>
      </x:c>
      <x:c r="C326" t="n">
        <x:v>1</x:v>
      </x:c>
      <x:c r="D326" t="n">
        <x:v>11</x:v>
      </x:c>
      <x:c r="E326" s="18" t="n">
        <x:v>1526.52</x:v>
      </x:c>
      <x:c r="F326" s="18" t="n">
        <x:v>0</x:v>
      </x:c>
      <x:c r="G326" s="18" t="n">
        <x:v>6.87</x:v>
      </x:c>
      <x:c r="H326" s="18" t="n">
        <x:v>5.39</x:v>
      </x:c>
      <x:c r="I326" s="18" t="n">
        <x:v>12.26</x:v>
      </x:c>
      <x:c r="J326" t="n">
        <x:f>IF(A326=A325,IFERROR(IF(B326=EDATE(B325,1),C325,0),0),0)</x:f>
        <x:v>0</x:v>
      </x:c>
      <x:c r="K326" t="n">
        <x:f>IF(AND(J326=1,C326=0),1,0)</x:f>
        <x:v>0</x:v>
      </x:c>
      <x:c r="L326" t="str">
        <x:f>IFERROR(INDEX(Customers!$C$2:$C$451,MATCH(A326,Customers!$A$2:$A$451,0)),"Unknown")</x:f>
        <x:v>Standard</x:v>
      </x:c>
    </x:row>
    <x:row r="327">
      <x:c r="A327" t="n">
        <x:v>58</x:v>
      </x:c>
      <x:c r="B327" s="16" t="n">
        <x:v>46174</x:v>
      </x:c>
      <x:c r="C327" t="n">
        <x:v>1</x:v>
      </x:c>
      <x:c r="D327" t="n">
        <x:v>36</x:v>
      </x:c>
      <x:c r="E327" s="18" t="n">
        <x:v>3614.82</x:v>
      </x:c>
      <x:c r="F327" s="18" t="n">
        <x:v>0</x:v>
      </x:c>
      <x:c r="G327" s="18" t="n">
        <x:v>16.27</x:v>
      </x:c>
      <x:c r="H327" s="18" t="n">
        <x:v>5.45</x:v>
      </x:c>
      <x:c r="I327" s="18" t="n">
        <x:v>21.72</x:v>
      </x:c>
      <x:c r="J327" t="n">
        <x:f>IF(A327=A326,IFERROR(IF(B327=EDATE(B326,1),C326,0),0),0)</x:f>
        <x:v>1</x:v>
      </x:c>
      <x:c r="K327" t="n">
        <x:f>IF(AND(J327=1,C327=0),1,0)</x:f>
        <x:v>0</x:v>
      </x:c>
      <x:c r="L327" t="str">
        <x:f>IFERROR(INDEX(Customers!$C$2:$C$451,MATCH(A327,Customers!$A$2:$A$451,0)),"Unknown")</x:f>
        <x:v>Standard</x:v>
      </x:c>
    </x:row>
    <x:row r="328">
      <x:c r="A328" t="n">
        <x:v>58</x:v>
      </x:c>
      <x:c r="B328" s="16" t="n">
        <x:v>46204</x:v>
      </x:c>
      <x:c r="C328" t="n">
        <x:v>0</x:v>
      </x:c>
      <x:c r="D328" t="n">
        <x:v>0</x:v>
      </x:c>
      <x:c r="E328" s="18" t="n">
        <x:v>0</x:v>
      </x:c>
      <x:c r="F328" s="18" t="n">
        <x:v>0</x:v>
      </x:c>
      <x:c r="G328" s="18" t="n">
        <x:v>0</x:v>
      </x:c>
      <x:c r="H328" s="18" t="n">
        <x:v>0</x:v>
      </x:c>
      <x:c r="I328" s="18" t="n">
        <x:v>0</x:v>
      </x:c>
      <x:c r="J328" t="n">
        <x:f>IF(A328=A327,IFERROR(IF(B328=EDATE(B327,1),C327,0),0),0)</x:f>
        <x:v>1</x:v>
      </x:c>
      <x:c r="K328" t="n">
        <x:f>IF(AND(J328=1,C328=0),1,0)</x:f>
        <x:v>1</x:v>
      </x:c>
      <x:c r="L328" t="str">
        <x:f>IFERROR(INDEX(Customers!$C$2:$C$451,MATCH(A328,Customers!$A$2:$A$451,0)),"Unknown")</x:f>
        <x:v>Standard</x:v>
      </x:c>
    </x:row>
    <x:row r="329">
      <x:c r="A329" t="n">
        <x:v>58</x:v>
      </x:c>
      <x:c r="B329" s="16" t="n">
        <x:v>46235</x:v>
      </x:c>
      <x:c r="C329" t="n">
        <x:v>1</x:v>
      </x:c>
      <x:c r="D329" t="n">
        <x:v>27</x:v>
      </x:c>
      <x:c r="E329" s="18" t="n">
        <x:v>2520.02</x:v>
      </x:c>
      <x:c r="F329" s="18" t="n">
        <x:v>0</x:v>
      </x:c>
      <x:c r="G329" s="18" t="n">
        <x:v>11.34</x:v>
      </x:c>
      <x:c r="H329" s="18" t="n">
        <x:v>3.6</x:v>
      </x:c>
      <x:c r="I329" s="18" t="n">
        <x:v>14.94</x:v>
      </x:c>
      <x:c r="J329" t="n">
        <x:f>IF(A329=A328,IFERROR(IF(B329=EDATE(B328,1),C328,0),0),0)</x:f>
        <x:v>0</x:v>
      </x:c>
      <x:c r="K329" t="n">
        <x:f>IF(AND(J329=1,C329=0),1,0)</x:f>
        <x:v>0</x:v>
      </x:c>
      <x:c r="L329" t="str">
        <x:f>IFERROR(INDEX(Customers!$C$2:$C$451,MATCH(A329,Customers!$A$2:$A$451,0)),"Unknown")</x:f>
        <x:v>Standard</x:v>
      </x:c>
    </x:row>
    <x:row r="330">
      <x:c r="A330" t="n">
        <x:v>58</x:v>
      </x:c>
      <x:c r="B330" s="16" t="n">
        <x:v>46266</x:v>
      </x:c>
      <x:c r="C330" t="n">
        <x:v>1</x:v>
      </x:c>
      <x:c r="D330" t="n">
        <x:v>12</x:v>
      </x:c>
      <x:c r="E330" s="18" t="n">
        <x:v>843.02</x:v>
      </x:c>
      <x:c r="F330" s="18" t="n">
        <x:v>0</x:v>
      </x:c>
      <x:c r="G330" s="18" t="n">
        <x:v>3.79</x:v>
      </x:c>
      <x:c r="H330" s="18" t="n">
        <x:v>1.3</x:v>
      </x:c>
      <x:c r="I330" s="18" t="n">
        <x:v>5.09</x:v>
      </x:c>
      <x:c r="J330" t="n">
        <x:f>IF(A330=A329,IFERROR(IF(B330=EDATE(B329,1),C329,0),0),0)</x:f>
        <x:v>1</x:v>
      </x:c>
      <x:c r="K330" t="n">
        <x:f>IF(AND(J330=1,C330=0),1,0)</x:f>
        <x:v>0</x:v>
      </x:c>
      <x:c r="L330" t="str">
        <x:f>IFERROR(INDEX(Customers!$C$2:$C$451,MATCH(A330,Customers!$A$2:$A$451,0)),"Unknown")</x:f>
        <x:v>Standard</x:v>
      </x:c>
    </x:row>
    <x:row r="331">
      <x:c r="A331" t="n">
        <x:v>59</x:v>
      </x:c>
      <x:c r="B331" s="16" t="n">
        <x:v>46113</x:v>
      </x:c>
      <x:c r="C331" t="n">
        <x:v>1</x:v>
      </x:c>
      <x:c r="D331" t="n">
        <x:v>31</x:v>
      </x:c>
      <x:c r="E331" s="18" t="n">
        <x:v>2354.78</x:v>
      </x:c>
      <x:c r="F331" s="18" t="n">
        <x:v>17</x:v>
      </x:c>
      <x:c r="G331" s="18" t="n">
        <x:v>10.6</x:v>
      </x:c>
      <x:c r="H331" s="18" t="n">
        <x:v>7.75</x:v>
      </x:c>
      <x:c r="I331" s="18" t="n">
        <x:v>35.35</x:v>
      </x:c>
      <x:c r="J331" t="n">
        <x:f>IF(A331=A330,IFERROR(IF(B331=EDATE(B330,1),C330,0),0),0)</x:f>
        <x:v>0</x:v>
      </x:c>
      <x:c r="K331" t="n">
        <x:f>IF(AND(J331=1,C331=0),1,0)</x:f>
        <x:v>0</x:v>
      </x:c>
      <x:c r="L331" t="str">
        <x:f>IFERROR(INDEX(Customers!$C$2:$C$451,MATCH(A331,Customers!$A$2:$A$451,0)),"Unknown")</x:f>
        <x:v>Premium</x:v>
      </x:c>
    </x:row>
    <x:row r="332">
      <x:c r="A332" t="n">
        <x:v>59</x:v>
      </x:c>
      <x:c r="B332" s="16" t="n">
        <x:v>46143</x:v>
      </x:c>
      <x:c r="C332" t="n">
        <x:v>0</x:v>
      </x:c>
      <x:c r="D332" t="n">
        <x:v>0</x:v>
      </x:c>
      <x:c r="E332" s="18" t="n">
        <x:v>0</x:v>
      </x:c>
      <x:c r="F332" s="18" t="n">
        <x:v>0</x:v>
      </x:c>
      <x:c r="G332" s="18" t="n">
        <x:v>0</x:v>
      </x:c>
      <x:c r="H332" s="18" t="n">
        <x:v>0</x:v>
      </x:c>
      <x:c r="I332" s="18" t="n">
        <x:v>0</x:v>
      </x:c>
      <x:c r="J332" t="n">
        <x:f>IF(A332=A331,IFERROR(IF(B332=EDATE(B331,1),C331,0),0),0)</x:f>
        <x:v>1</x:v>
      </x:c>
      <x:c r="K332" t="n">
        <x:f>IF(AND(J332=1,C332=0),1,0)</x:f>
        <x:v>1</x:v>
      </x:c>
      <x:c r="L332" t="str">
        <x:f>IFERROR(INDEX(Customers!$C$2:$C$451,MATCH(A332,Customers!$A$2:$A$451,0)),"Unknown")</x:f>
        <x:v>Premium</x:v>
      </x:c>
    </x:row>
    <x:row r="333">
      <x:c r="A333" t="n">
        <x:v>59</x:v>
      </x:c>
      <x:c r="B333" s="16" t="n">
        <x:v>46174</x:v>
      </x:c>
      <x:c r="C333" t="n">
        <x:v>1</x:v>
      </x:c>
      <x:c r="D333" t="n">
        <x:v>25</x:v>
      </x:c>
      <x:c r="E333" s="18" t="n">
        <x:v>2968.33</x:v>
      </x:c>
      <x:c r="F333" s="18" t="n">
        <x:v>17</x:v>
      </x:c>
      <x:c r="G333" s="18" t="n">
        <x:v>13.36</x:v>
      </x:c>
      <x:c r="H333" s="18" t="n">
        <x:v>8.09</x:v>
      </x:c>
      <x:c r="I333" s="18" t="n">
        <x:v>38.45</x:v>
      </x:c>
      <x:c r="J333" t="n">
        <x:f>IF(A333=A332,IFERROR(IF(B333=EDATE(B332,1),C332,0),0),0)</x:f>
        <x:v>0</x:v>
      </x:c>
      <x:c r="K333" t="n">
        <x:f>IF(AND(J333=1,C333=0),1,0)</x:f>
        <x:v>0</x:v>
      </x:c>
      <x:c r="L333" t="str">
        <x:f>IFERROR(INDEX(Customers!$C$2:$C$451,MATCH(A333,Customers!$A$2:$A$451,0)),"Unknown")</x:f>
        <x:v>Premium</x:v>
      </x:c>
    </x:row>
    <x:row r="334">
      <x:c r="A334" t="n">
        <x:v>59</x:v>
      </x:c>
      <x:c r="B334" s="16" t="n">
        <x:v>46204</x:v>
      </x:c>
      <x:c r="C334" t="n">
        <x:v>1</x:v>
      </x:c>
      <x:c r="D334" t="n">
        <x:v>19</x:v>
      </x:c>
      <x:c r="E334" s="18" t="n">
        <x:v>803.11</x:v>
      </x:c>
      <x:c r="F334" s="18" t="n">
        <x:v>17</x:v>
      </x:c>
      <x:c r="G334" s="18" t="n">
        <x:v>3.61</x:v>
      </x:c>
      <x:c r="H334" s="18" t="n">
        <x:v>0.81</x:v>
      </x:c>
      <x:c r="I334" s="18" t="n">
        <x:v>21.42</x:v>
      </x:c>
      <x:c r="J334" t="n">
        <x:f>IF(A334=A333,IFERROR(IF(B334=EDATE(B333,1),C333,0),0),0)</x:f>
        <x:v>1</x:v>
      </x:c>
      <x:c r="K334" t="n">
        <x:f>IF(AND(J334=1,C334=0),1,0)</x:f>
        <x:v>0</x:v>
      </x:c>
      <x:c r="L334" t="str">
        <x:f>IFERROR(INDEX(Customers!$C$2:$C$451,MATCH(A334,Customers!$A$2:$A$451,0)),"Unknown")</x:f>
        <x:v>Premium</x:v>
      </x:c>
    </x:row>
    <x:row r="335">
      <x:c r="A335" t="n">
        <x:v>59</x:v>
      </x:c>
      <x:c r="B335" s="16" t="n">
        <x:v>46235</x:v>
      </x:c>
      <x:c r="C335" t="n">
        <x:v>1</x:v>
      </x:c>
      <x:c r="D335" t="n">
        <x:v>19</x:v>
      </x:c>
      <x:c r="E335" s="18" t="n">
        <x:v>792.02</x:v>
      </x:c>
      <x:c r="F335" s="18" t="n">
        <x:v>17</x:v>
      </x:c>
      <x:c r="G335" s="18" t="n">
        <x:v>3.56</x:v>
      </x:c>
      <x:c r="H335" s="18" t="n">
        <x:v>0.84</x:v>
      </x:c>
      <x:c r="I335" s="18" t="n">
        <x:v>21.4</x:v>
      </x:c>
      <x:c r="J335" t="n">
        <x:f>IF(A335=A334,IFERROR(IF(B335=EDATE(B334,1),C334,0),0),0)</x:f>
        <x:v>1</x:v>
      </x:c>
      <x:c r="K335" t="n">
        <x:f>IF(AND(J335=1,C335=0),1,0)</x:f>
        <x:v>0</x:v>
      </x:c>
      <x:c r="L335" t="str">
        <x:f>IFERROR(INDEX(Customers!$C$2:$C$451,MATCH(A335,Customers!$A$2:$A$451,0)),"Unknown")</x:f>
        <x:v>Premium</x:v>
      </x:c>
    </x:row>
    <x:row r="336">
      <x:c r="A336" t="n">
        <x:v>59</x:v>
      </x:c>
      <x:c r="B336" s="16" t="n">
        <x:v>46266</x:v>
      </x:c>
      <x:c r="C336" t="n">
        <x:v>0</x:v>
      </x:c>
      <x:c r="D336" t="n">
        <x:v>0</x:v>
      </x:c>
      <x:c r="E336" s="18" t="n">
        <x:v>0</x:v>
      </x:c>
      <x:c r="F336" s="18" t="n">
        <x:v>0</x:v>
      </x:c>
      <x:c r="G336" s="18" t="n">
        <x:v>0</x:v>
      </x:c>
      <x:c r="H336" s="18" t="n">
        <x:v>0</x:v>
      </x:c>
      <x:c r="I336" s="18" t="n">
        <x:v>0</x:v>
      </x:c>
      <x:c r="J336" t="n">
        <x:f>IF(A336=A335,IFERROR(IF(B336=EDATE(B335,1),C335,0),0),0)</x:f>
        <x:v>1</x:v>
      </x:c>
      <x:c r="K336" t="n">
        <x:f>IF(AND(J336=1,C336=0),1,0)</x:f>
        <x:v>1</x:v>
      </x:c>
      <x:c r="L336" t="str">
        <x:f>IFERROR(INDEX(Customers!$C$2:$C$451,MATCH(A336,Customers!$A$2:$A$451,0)),"Unknown")</x:f>
        <x:v>Premium</x:v>
      </x:c>
    </x:row>
    <x:row r="337">
      <x:c r="A337" t="n">
        <x:v>60</x:v>
      </x:c>
      <x:c r="B337" s="16" t="n">
        <x:v>46113</x:v>
      </x:c>
      <x:c r="C337" t="n">
        <x:v>1</x:v>
      </x:c>
      <x:c r="D337" t="n">
        <x:v>29</x:v>
      </x:c>
      <x:c r="E337" s="18" t="n">
        <x:v>1675.53</x:v>
      </x:c>
      <x:c r="F337" s="18" t="n">
        <x:v>0</x:v>
      </x:c>
      <x:c r="G337" s="18" t="n">
        <x:v>7.54</x:v>
      </x:c>
      <x:c r="H337" s="18" t="n">
        <x:v>2.32</x:v>
      </x:c>
      <x:c r="I337" s="18" t="n">
        <x:v>9.86</x:v>
      </x:c>
      <x:c r="J337" t="n">
        <x:f>IF(A337=A336,IFERROR(IF(B337=EDATE(B336,1),C336,0),0),0)</x:f>
        <x:v>0</x:v>
      </x:c>
      <x:c r="K337" t="n">
        <x:f>IF(AND(J337=1,C337=0),1,0)</x:f>
        <x:v>0</x:v>
      </x:c>
      <x:c r="L337" t="str">
        <x:f>IFERROR(INDEX(Customers!$C$2:$C$451,MATCH(A337,Customers!$A$2:$A$451,0)),"Unknown")</x:f>
        <x:v>Standard</x:v>
      </x:c>
    </x:row>
    <x:row r="338">
      <x:c r="A338" t="n">
        <x:v>60</x:v>
      </x:c>
      <x:c r="B338" s="16" t="n">
        <x:v>46143</x:v>
      </x:c>
      <x:c r="C338" t="n">
        <x:v>1</x:v>
      </x:c>
      <x:c r="D338" t="n">
        <x:v>20</x:v>
      </x:c>
      <x:c r="E338" s="18" t="n">
        <x:v>2024.29</x:v>
      </x:c>
      <x:c r="F338" s="18" t="n">
        <x:v>0</x:v>
      </x:c>
      <x:c r="G338" s="18" t="n">
        <x:v>9.11</x:v>
      </x:c>
      <x:c r="H338" s="18" t="n">
        <x:v>5.85</x:v>
      </x:c>
      <x:c r="I338" s="18" t="n">
        <x:v>14.96</x:v>
      </x:c>
      <x:c r="J338" t="n">
        <x:f>IF(A338=A337,IFERROR(IF(B338=EDATE(B337,1),C337,0),0),0)</x:f>
        <x:v>1</x:v>
      </x:c>
      <x:c r="K338" t="n">
        <x:f>IF(AND(J338=1,C338=0),1,0)</x:f>
        <x:v>0</x:v>
      </x:c>
      <x:c r="L338" t="str">
        <x:f>IFERROR(INDEX(Customers!$C$2:$C$451,MATCH(A338,Customers!$A$2:$A$451,0)),"Unknown")</x:f>
        <x:v>Standard</x:v>
      </x:c>
    </x:row>
    <x:row r="339">
      <x:c r="A339" t="n">
        <x:v>60</x:v>
      </x:c>
      <x:c r="B339" s="16" t="n">
        <x:v>46174</x:v>
      </x:c>
      <x:c r="C339" t="n">
        <x:v>1</x:v>
      </x:c>
      <x:c r="D339" t="n">
        <x:v>20</x:v>
      </x:c>
      <x:c r="E339" s="18" t="n">
        <x:v>2017.09</x:v>
      </x:c>
      <x:c r="F339" s="18" t="n">
        <x:v>0</x:v>
      </x:c>
      <x:c r="G339" s="18" t="n">
        <x:v>9.08</x:v>
      </x:c>
      <x:c r="H339" s="18" t="n">
        <x:v>6.65</x:v>
      </x:c>
      <x:c r="I339" s="18" t="n">
        <x:v>15.73</x:v>
      </x:c>
      <x:c r="J339" t="n">
        <x:f>IF(A339=A338,IFERROR(IF(B339=EDATE(B338,1),C338,0),0),0)</x:f>
        <x:v>1</x:v>
      </x:c>
      <x:c r="K339" t="n">
        <x:f>IF(AND(J339=1,C339=0),1,0)</x:f>
        <x:v>0</x:v>
      </x:c>
      <x:c r="L339" t="str">
        <x:f>IFERROR(INDEX(Customers!$C$2:$C$451,MATCH(A339,Customers!$A$2:$A$451,0)),"Unknown")</x:f>
        <x:v>Standard</x:v>
      </x:c>
    </x:row>
    <x:row r="340">
      <x:c r="A340" t="n">
        <x:v>60</x:v>
      </x:c>
      <x:c r="B340" s="16" t="n">
        <x:v>46204</x:v>
      </x:c>
      <x:c r="C340" t="n">
        <x:v>1</x:v>
      </x:c>
      <x:c r="D340" t="n">
        <x:v>7</x:v>
      </x:c>
      <x:c r="E340" s="18" t="n">
        <x:v>713.38</x:v>
      </x:c>
      <x:c r="F340" s="18" t="n">
        <x:v>0</x:v>
      </x:c>
      <x:c r="G340" s="18" t="n">
        <x:v>3.21</x:v>
      </x:c>
      <x:c r="H340" s="18" t="n">
        <x:v>0.89</x:v>
      </x:c>
      <x:c r="I340" s="18" t="n">
        <x:v>4.1</x:v>
      </x:c>
      <x:c r="J340" t="n">
        <x:f>IF(A340=A339,IFERROR(IF(B340=EDATE(B339,1),C339,0),0),0)</x:f>
        <x:v>1</x:v>
      </x:c>
      <x:c r="K340" t="n">
        <x:f>IF(AND(J340=1,C340=0),1,0)</x:f>
        <x:v>0</x:v>
      </x:c>
      <x:c r="L340" t="str">
        <x:f>IFERROR(INDEX(Customers!$C$2:$C$451,MATCH(A340,Customers!$A$2:$A$451,0)),"Unknown")</x:f>
        <x:v>Standard</x:v>
      </x:c>
    </x:row>
    <x:row r="341">
      <x:c r="A341" t="n">
        <x:v>60</x:v>
      </x:c>
      <x:c r="B341" s="16" t="n">
        <x:v>46235</x:v>
      </x:c>
      <x:c r="C341" t="n">
        <x:v>1</x:v>
      </x:c>
      <x:c r="D341" t="n">
        <x:v>29</x:v>
      </x:c>
      <x:c r="E341" s="18" t="n">
        <x:v>2503.01</x:v>
      </x:c>
      <x:c r="F341" s="18" t="n">
        <x:v>0</x:v>
      </x:c>
      <x:c r="G341" s="18" t="n">
        <x:v>11.26</x:v>
      </x:c>
      <x:c r="H341" s="18" t="n">
        <x:v>5.5</x:v>
      </x:c>
      <x:c r="I341" s="18" t="n">
        <x:v>16.76</x:v>
      </x:c>
      <x:c r="J341" t="n">
        <x:f>IF(A341=A340,IFERROR(IF(B341=EDATE(B340,1),C340,0),0),0)</x:f>
        <x:v>1</x:v>
      </x:c>
      <x:c r="K341" t="n">
        <x:f>IF(AND(J341=1,C341=0),1,0)</x:f>
        <x:v>0</x:v>
      </x:c>
      <x:c r="L341" t="str">
        <x:f>IFERROR(INDEX(Customers!$C$2:$C$451,MATCH(A341,Customers!$A$2:$A$451,0)),"Unknown")</x:f>
        <x:v>Standard</x:v>
      </x:c>
    </x:row>
    <x:row r="342">
      <x:c r="A342" t="n">
        <x:v>60</x:v>
      </x:c>
      <x:c r="B342" s="16" t="n">
        <x:v>46266</x:v>
      </x:c>
      <x:c r="C342" t="n">
        <x:v>0</x:v>
      </x:c>
      <x:c r="D342" t="n">
        <x:v>0</x:v>
      </x:c>
      <x:c r="E342" s="18" t="n">
        <x:v>0</x:v>
      </x:c>
      <x:c r="F342" s="18" t="n">
        <x:v>0</x:v>
      </x:c>
      <x:c r="G342" s="18" t="n">
        <x:v>0</x:v>
      </x:c>
      <x:c r="H342" s="18" t="n">
        <x:v>0</x:v>
      </x:c>
      <x:c r="I342" s="18" t="n">
        <x:v>0</x:v>
      </x:c>
      <x:c r="J342" t="n">
        <x:f>IF(A342=A341,IFERROR(IF(B342=EDATE(B341,1),C341,0),0),0)</x:f>
        <x:v>1</x:v>
      </x:c>
      <x:c r="K342" t="n">
        <x:f>IF(AND(J342=1,C342=0),1,0)</x:f>
        <x:v>1</x:v>
      </x:c>
      <x:c r="L342" t="str">
        <x:f>IFERROR(INDEX(Customers!$C$2:$C$451,MATCH(A342,Customers!$A$2:$A$451,0)),"Unknown")</x:f>
        <x:v>Standard</x:v>
      </x:c>
    </x:row>
    <x:row r="343">
      <x:c r="A343" t="n">
        <x:v>61</x:v>
      </x:c>
      <x:c r="B343" s="16" t="n">
        <x:v>46113</x:v>
      </x:c>
      <x:c r="C343" t="n">
        <x:v>1</x:v>
      </x:c>
      <x:c r="D343" t="n">
        <x:v>26</x:v>
      </x:c>
      <x:c r="E343" s="18" t="n">
        <x:v>2920.71</x:v>
      </x:c>
      <x:c r="F343" s="18" t="n">
        <x:v>0</x:v>
      </x:c>
      <x:c r="G343" s="18" t="n">
        <x:v>13.14</x:v>
      </x:c>
      <x:c r="H343" s="18" t="n">
        <x:v>8</x:v>
      </x:c>
      <x:c r="I343" s="18" t="n">
        <x:v>21.14</x:v>
      </x:c>
      <x:c r="J343" t="n">
        <x:f>IF(A343=A342,IFERROR(IF(B343=EDATE(B342,1),C342,0),0),0)</x:f>
        <x:v>0</x:v>
      </x:c>
      <x:c r="K343" t="n">
        <x:f>IF(AND(J343=1,C343=0),1,0)</x:f>
        <x:v>0</x:v>
      </x:c>
      <x:c r="L343" t="str">
        <x:f>IFERROR(INDEX(Customers!$C$2:$C$451,MATCH(A343,Customers!$A$2:$A$451,0)),"Unknown")</x:f>
        <x:v>Standard</x:v>
      </x:c>
    </x:row>
    <x:row r="344">
      <x:c r="A344" t="n">
        <x:v>61</x:v>
      </x:c>
      <x:c r="B344" s="16" t="n">
        <x:v>46143</x:v>
      </x:c>
      <x:c r="C344" t="n">
        <x:v>1</x:v>
      </x:c>
      <x:c r="D344" t="n">
        <x:v>28</x:v>
      </x:c>
      <x:c r="E344" s="18" t="n">
        <x:v>1907.92</x:v>
      </x:c>
      <x:c r="F344" s="18" t="n">
        <x:v>0</x:v>
      </x:c>
      <x:c r="G344" s="18" t="n">
        <x:v>8.59</x:v>
      </x:c>
      <x:c r="H344" s="18" t="n">
        <x:v>7.22</x:v>
      </x:c>
      <x:c r="I344" s="18" t="n">
        <x:v>15.81</x:v>
      </x:c>
      <x:c r="J344" t="n">
        <x:f>IF(A344=A343,IFERROR(IF(B344=EDATE(B343,1),C343,0),0),0)</x:f>
        <x:v>1</x:v>
      </x:c>
      <x:c r="K344" t="n">
        <x:f>IF(AND(J344=1,C344=0),1,0)</x:f>
        <x:v>0</x:v>
      </x:c>
      <x:c r="L344" t="str">
        <x:f>IFERROR(INDEX(Customers!$C$2:$C$451,MATCH(A344,Customers!$A$2:$A$451,0)),"Unknown")</x:f>
        <x:v>Standard</x:v>
      </x:c>
    </x:row>
    <x:row r="345">
      <x:c r="A345" t="n">
        <x:v>61</x:v>
      </x:c>
      <x:c r="B345" s="16" t="n">
        <x:v>46174</x:v>
      </x:c>
      <x:c r="C345" t="n">
        <x:v>1</x:v>
      </x:c>
      <x:c r="D345" t="n">
        <x:v>6</x:v>
      </x:c>
      <x:c r="E345" s="18" t="n">
        <x:v>734.19</x:v>
      </x:c>
      <x:c r="F345" s="18" t="n">
        <x:v>0</x:v>
      </x:c>
      <x:c r="G345" s="18" t="n">
        <x:v>3.3</x:v>
      </x:c>
      <x:c r="H345" s="18" t="n">
        <x:v>2.77</x:v>
      </x:c>
      <x:c r="I345" s="18" t="n">
        <x:v>6.07</x:v>
      </x:c>
      <x:c r="J345" t="n">
        <x:f>IF(A345=A344,IFERROR(IF(B345=EDATE(B344,1),C344,0),0),0)</x:f>
        <x:v>1</x:v>
      </x:c>
      <x:c r="K345" t="n">
        <x:f>IF(AND(J345=1,C345=0),1,0)</x:f>
        <x:v>0</x:v>
      </x:c>
      <x:c r="L345" t="str">
        <x:f>IFERROR(INDEX(Customers!$C$2:$C$451,MATCH(A345,Customers!$A$2:$A$451,0)),"Unknown")</x:f>
        <x:v>Standard</x:v>
      </x:c>
    </x:row>
    <x:row r="346">
      <x:c r="A346" t="n">
        <x:v>61</x:v>
      </x:c>
      <x:c r="B346" s="16" t="n">
        <x:v>46204</x:v>
      </x:c>
      <x:c r="C346" t="n">
        <x:v>1</x:v>
      </x:c>
      <x:c r="D346" t="n">
        <x:v>4</x:v>
      </x:c>
      <x:c r="E346" s="18" t="n">
        <x:v>319.54</x:v>
      </x:c>
      <x:c r="F346" s="18" t="n">
        <x:v>0</x:v>
      </x:c>
      <x:c r="G346" s="18" t="n">
        <x:v>1.44</x:v>
      </x:c>
      <x:c r="H346" s="18" t="n">
        <x:v>1.08</x:v>
      </x:c>
      <x:c r="I346" s="18" t="n">
        <x:v>2.52</x:v>
      </x:c>
      <x:c r="J346" t="n">
        <x:f>IF(A346=A345,IFERROR(IF(B346=EDATE(B345,1),C345,0),0),0)</x:f>
        <x:v>1</x:v>
      </x:c>
      <x:c r="K346" t="n">
        <x:f>IF(AND(J346=1,C346=0),1,0)</x:f>
        <x:v>0</x:v>
      </x:c>
      <x:c r="L346" t="str">
        <x:f>IFERROR(INDEX(Customers!$C$2:$C$451,MATCH(A346,Customers!$A$2:$A$451,0)),"Unknown")</x:f>
        <x:v>Standard</x:v>
      </x:c>
    </x:row>
    <x:row r="347">
      <x:c r="A347" t="n">
        <x:v>61</x:v>
      </x:c>
      <x:c r="B347" s="16" t="n">
        <x:v>46235</x:v>
      </x:c>
      <x:c r="C347" t="n">
        <x:v>0</x:v>
      </x:c>
      <x:c r="D347" t="n">
        <x:v>0</x:v>
      </x:c>
      <x:c r="E347" s="18" t="n">
        <x:v>0</x:v>
      </x:c>
      <x:c r="F347" s="18" t="n">
        <x:v>0</x:v>
      </x:c>
      <x:c r="G347" s="18" t="n">
        <x:v>0</x:v>
      </x:c>
      <x:c r="H347" s="18" t="n">
        <x:v>0</x:v>
      </x:c>
      <x:c r="I347" s="18" t="n">
        <x:v>0</x:v>
      </x:c>
      <x:c r="J347" t="n">
        <x:f>IF(A347=A346,IFERROR(IF(B347=EDATE(B346,1),C346,0),0),0)</x:f>
        <x:v>1</x:v>
      </x:c>
      <x:c r="K347" t="n">
        <x:f>IF(AND(J347=1,C347=0),1,0)</x:f>
        <x:v>1</x:v>
      </x:c>
      <x:c r="L347" t="str">
        <x:f>IFERROR(INDEX(Customers!$C$2:$C$451,MATCH(A347,Customers!$A$2:$A$451,0)),"Unknown")</x:f>
        <x:v>Standard</x:v>
      </x:c>
    </x:row>
    <x:row r="348">
      <x:c r="A348" t="n">
        <x:v>61</x:v>
      </x:c>
      <x:c r="B348" s="16" t="n">
        <x:v>46266</x:v>
      </x:c>
      <x:c r="C348" t="n">
        <x:v>1</x:v>
      </x:c>
      <x:c r="D348" t="n">
        <x:v>12</x:v>
      </x:c>
      <x:c r="E348" s="18" t="n">
        <x:v>1551.52</x:v>
      </x:c>
      <x:c r="F348" s="18" t="n">
        <x:v>0</x:v>
      </x:c>
      <x:c r="G348" s="18" t="n">
        <x:v>6.98</x:v>
      </x:c>
      <x:c r="H348" s="18" t="n">
        <x:v>3.05</x:v>
      </x:c>
      <x:c r="I348" s="18" t="n">
        <x:v>10.03</x:v>
      </x:c>
      <x:c r="J348" t="n">
        <x:f>IF(A348=A347,IFERROR(IF(B348=EDATE(B347,1),C347,0),0),0)</x:f>
        <x:v>0</x:v>
      </x:c>
      <x:c r="K348" t="n">
        <x:f>IF(AND(J348=1,C348=0),1,0)</x:f>
        <x:v>0</x:v>
      </x:c>
      <x:c r="L348" t="str">
        <x:f>IFERROR(INDEX(Customers!$C$2:$C$451,MATCH(A348,Customers!$A$2:$A$451,0)),"Unknown")</x:f>
        <x:v>Standard</x:v>
      </x:c>
    </x:row>
    <x:row r="349">
      <x:c r="A349" t="n">
        <x:v>62</x:v>
      </x:c>
      <x:c r="B349" s="16" t="n">
        <x:v>46174</x:v>
      </x:c>
      <x:c r="C349" t="n">
        <x:v>1</x:v>
      </x:c>
      <x:c r="D349" t="n">
        <x:v>15</x:v>
      </x:c>
      <x:c r="E349" s="18" t="n">
        <x:v>2094.15</x:v>
      </x:c>
      <x:c r="F349" s="18" t="n">
        <x:v>0</x:v>
      </x:c>
      <x:c r="G349" s="18" t="n">
        <x:v>9.42</x:v>
      </x:c>
      <x:c r="H349" s="18" t="n">
        <x:v>3.15</x:v>
      </x:c>
      <x:c r="I349" s="18" t="n">
        <x:v>12.57</x:v>
      </x:c>
      <x:c r="J349" t="n">
        <x:f>IF(A349=A348,IFERROR(IF(B349=EDATE(B348,1),C348,0),0),0)</x:f>
        <x:v>0</x:v>
      </x:c>
      <x:c r="K349" t="n">
        <x:f>IF(AND(J349=1,C349=0),1,0)</x:f>
        <x:v>0</x:v>
      </x:c>
      <x:c r="L349" t="str">
        <x:f>IFERROR(INDEX(Customers!$C$2:$C$451,MATCH(A349,Customers!$A$2:$A$451,0)),"Unknown")</x:f>
        <x:v>Standard</x:v>
      </x:c>
    </x:row>
    <x:row r="350">
      <x:c r="A350" t="n">
        <x:v>62</x:v>
      </x:c>
      <x:c r="B350" s="16" t="n">
        <x:v>46204</x:v>
      </x:c>
      <x:c r="C350" t="n">
        <x:v>1</x:v>
      </x:c>
      <x:c r="D350" t="n">
        <x:v>34</x:v>
      </x:c>
      <x:c r="E350" s="18" t="n">
        <x:v>2489.26</x:v>
      </x:c>
      <x:c r="F350" s="18" t="n">
        <x:v>0</x:v>
      </x:c>
      <x:c r="G350" s="18" t="n">
        <x:v>11.2</x:v>
      </x:c>
      <x:c r="H350" s="18" t="n">
        <x:v>6.01</x:v>
      </x:c>
      <x:c r="I350" s="18" t="n">
        <x:v>17.21</x:v>
      </x:c>
      <x:c r="J350" t="n">
        <x:f>IF(A350=A349,IFERROR(IF(B350=EDATE(B349,1),C349,0),0),0)</x:f>
        <x:v>1</x:v>
      </x:c>
      <x:c r="K350" t="n">
        <x:f>IF(AND(J350=1,C350=0),1,0)</x:f>
        <x:v>0</x:v>
      </x:c>
      <x:c r="L350" t="str">
        <x:f>IFERROR(INDEX(Customers!$C$2:$C$451,MATCH(A350,Customers!$A$2:$A$451,0)),"Unknown")</x:f>
        <x:v>Standard</x:v>
      </x:c>
    </x:row>
    <x:row r="351">
      <x:c r="A351" t="n">
        <x:v>62</x:v>
      </x:c>
      <x:c r="B351" s="16" t="n">
        <x:v>46235</x:v>
      </x:c>
      <x:c r="C351" t="n">
        <x:v>1</x:v>
      </x:c>
      <x:c r="D351" t="n">
        <x:v>16</x:v>
      </x:c>
      <x:c r="E351" s="18" t="n">
        <x:v>661.61</x:v>
      </x:c>
      <x:c r="F351" s="18" t="n">
        <x:v>0</x:v>
      </x:c>
      <x:c r="G351" s="18" t="n">
        <x:v>2.98</x:v>
      </x:c>
      <x:c r="H351" s="18" t="n">
        <x:v>1.98</x:v>
      </x:c>
      <x:c r="I351" s="18" t="n">
        <x:v>4.96</x:v>
      </x:c>
      <x:c r="J351" t="n">
        <x:f>IF(A351=A350,IFERROR(IF(B351=EDATE(B350,1),C350,0),0),0)</x:f>
        <x:v>1</x:v>
      </x:c>
      <x:c r="K351" t="n">
        <x:f>IF(AND(J351=1,C351=0),1,0)</x:f>
        <x:v>0</x:v>
      </x:c>
      <x:c r="L351" t="str">
        <x:f>IFERROR(INDEX(Customers!$C$2:$C$451,MATCH(A351,Customers!$A$2:$A$451,0)),"Unknown")</x:f>
        <x:v>Standard</x:v>
      </x:c>
    </x:row>
    <x:row r="352">
      <x:c r="A352" t="n">
        <x:v>62</x:v>
      </x:c>
      <x:c r="B352" s="16" t="n">
        <x:v>46266</x:v>
      </x:c>
      <x:c r="C352" t="n">
        <x:v>0</x:v>
      </x:c>
      <x:c r="D352" t="n">
        <x:v>0</x:v>
      </x:c>
      <x:c r="E352" s="18" t="n">
        <x:v>0</x:v>
      </x:c>
      <x:c r="F352" s="18" t="n">
        <x:v>0</x:v>
      </x:c>
      <x:c r="G352" s="18" t="n">
        <x:v>0</x:v>
      </x:c>
      <x:c r="H352" s="18" t="n">
        <x:v>0</x:v>
      </x:c>
      <x:c r="I352" s="18" t="n">
        <x:v>0</x:v>
      </x:c>
      <x:c r="J352" t="n">
        <x:f>IF(A352=A351,IFERROR(IF(B352=EDATE(B351,1),C351,0),0),0)</x:f>
        <x:v>1</x:v>
      </x:c>
      <x:c r="K352" t="n">
        <x:f>IF(AND(J352=1,C352=0),1,0)</x:f>
        <x:v>1</x:v>
      </x:c>
      <x:c r="L352" t="str">
        <x:f>IFERROR(INDEX(Customers!$C$2:$C$451,MATCH(A352,Customers!$A$2:$A$451,0)),"Unknown")</x:f>
        <x:v>Standard</x:v>
      </x:c>
    </x:row>
    <x:row r="353">
      <x:c r="A353" t="n">
        <x:v>63</x:v>
      </x:c>
      <x:c r="B353" s="16" t="n">
        <x:v>46113</x:v>
      </x:c>
      <x:c r="C353" t="n">
        <x:v>1</x:v>
      </x:c>
      <x:c r="D353" t="n">
        <x:v>29</x:v>
      </x:c>
      <x:c r="E353" s="18" t="n">
        <x:v>2946.96</x:v>
      </x:c>
      <x:c r="F353" s="18" t="n">
        <x:v>0</x:v>
      </x:c>
      <x:c r="G353" s="18" t="n">
        <x:v>13.26</x:v>
      </x:c>
      <x:c r="H353" s="18" t="n">
        <x:v>4.39</x:v>
      </x:c>
      <x:c r="I353" s="18" t="n">
        <x:v>17.65</x:v>
      </x:c>
      <x:c r="J353" t="n">
        <x:f>IF(A353=A352,IFERROR(IF(B353=EDATE(B352,1),C352,0),0),0)</x:f>
        <x:v>0</x:v>
      </x:c>
      <x:c r="K353" t="n">
        <x:f>IF(AND(J353=1,C353=0),1,0)</x:f>
        <x:v>0</x:v>
      </x:c>
      <x:c r="L353" t="str">
        <x:f>IFERROR(INDEX(Customers!$C$2:$C$451,MATCH(A353,Customers!$A$2:$A$451,0)),"Unknown")</x:f>
        <x:v>Standard</x:v>
      </x:c>
    </x:row>
    <x:row r="354">
      <x:c r="A354" t="n">
        <x:v>63</x:v>
      </x:c>
      <x:c r="B354" s="16" t="n">
        <x:v>46143</x:v>
      </x:c>
      <x:c r="C354" t="n">
        <x:v>1</x:v>
      </x:c>
      <x:c r="D354" t="n">
        <x:v>7</x:v>
      </x:c>
      <x:c r="E354" s="18" t="n">
        <x:v>329.37</x:v>
      </x:c>
      <x:c r="F354" s="18" t="n">
        <x:v>0</x:v>
      </x:c>
      <x:c r="G354" s="18" t="n">
        <x:v>1.48</x:v>
      </x:c>
      <x:c r="H354" s="18" t="n">
        <x:v>1.07</x:v>
      </x:c>
      <x:c r="I354" s="18" t="n">
        <x:v>2.55</x:v>
      </x:c>
      <x:c r="J354" t="n">
        <x:f>IF(A354=A353,IFERROR(IF(B354=EDATE(B353,1),C353,0),0),0)</x:f>
        <x:v>1</x:v>
      </x:c>
      <x:c r="K354" t="n">
        <x:f>IF(AND(J354=1,C354=0),1,0)</x:f>
        <x:v>0</x:v>
      </x:c>
      <x:c r="L354" t="str">
        <x:f>IFERROR(INDEX(Customers!$C$2:$C$451,MATCH(A354,Customers!$A$2:$A$451,0)),"Unknown")</x:f>
        <x:v>Standard</x:v>
      </x:c>
    </x:row>
    <x:row r="355">
      <x:c r="A355" t="n">
        <x:v>63</x:v>
      </x:c>
      <x:c r="B355" s="16" t="n">
        <x:v>46174</x:v>
      </x:c>
      <x:c r="C355" t="n">
        <x:v>1</x:v>
      </x:c>
      <x:c r="D355" t="n">
        <x:v>35</x:v>
      </x:c>
      <x:c r="E355" s="18" t="n">
        <x:v>1556.03</x:v>
      </x:c>
      <x:c r="F355" s="18" t="n">
        <x:v>0</x:v>
      </x:c>
      <x:c r="G355" s="18" t="n">
        <x:v>7</x:v>
      </x:c>
      <x:c r="H355" s="18" t="n">
        <x:v>4.1</x:v>
      </x:c>
      <x:c r="I355" s="18" t="n">
        <x:v>11.1</x:v>
      </x:c>
      <x:c r="J355" t="n">
        <x:f>IF(A355=A354,IFERROR(IF(B355=EDATE(B354,1),C354,0),0),0)</x:f>
        <x:v>1</x:v>
      </x:c>
      <x:c r="K355" t="n">
        <x:f>IF(AND(J355=1,C355=0),1,0)</x:f>
        <x:v>0</x:v>
      </x:c>
      <x:c r="L355" t="str">
        <x:f>IFERROR(INDEX(Customers!$C$2:$C$451,MATCH(A355,Customers!$A$2:$A$451,0)),"Unknown")</x:f>
        <x:v>Standard</x:v>
      </x:c>
    </x:row>
    <x:row r="356">
      <x:c r="A356" t="n">
        <x:v>63</x:v>
      </x:c>
      <x:c r="B356" s="16" t="n">
        <x:v>46204</x:v>
      </x:c>
      <x:c r="C356" t="n">
        <x:v>1</x:v>
      </x:c>
      <x:c r="D356" t="n">
        <x:v>30</x:v>
      </x:c>
      <x:c r="E356" s="18" t="n">
        <x:v>1665.89</x:v>
      </x:c>
      <x:c r="F356" s="18" t="n">
        <x:v>0</x:v>
      </x:c>
      <x:c r="G356" s="18" t="n">
        <x:v>7.5</x:v>
      </x:c>
      <x:c r="H356" s="18" t="n">
        <x:v>4.6</x:v>
      </x:c>
      <x:c r="I356" s="18" t="n">
        <x:v>12.1</x:v>
      </x:c>
      <x:c r="J356" t="n">
        <x:f>IF(A356=A355,IFERROR(IF(B356=EDATE(B355,1),C355,0),0),0)</x:f>
        <x:v>1</x:v>
      </x:c>
      <x:c r="K356" t="n">
        <x:f>IF(AND(J356=1,C356=0),1,0)</x:f>
        <x:v>0</x:v>
      </x:c>
      <x:c r="L356" t="str">
        <x:f>IFERROR(INDEX(Customers!$C$2:$C$451,MATCH(A356,Customers!$A$2:$A$451,0)),"Unknown")</x:f>
        <x:v>Standard</x:v>
      </x:c>
    </x:row>
    <x:row r="357">
      <x:c r="A357" t="n">
        <x:v>63</x:v>
      </x:c>
      <x:c r="B357" s="16" t="n">
        <x:v>46235</x:v>
      </x:c>
      <x:c r="C357" t="n">
        <x:v>0</x:v>
      </x:c>
      <x:c r="D357" t="n">
        <x:v>0</x:v>
      </x:c>
      <x:c r="E357" s="18" t="n">
        <x:v>0</x:v>
      </x:c>
      <x:c r="F357" s="18" t="n">
        <x:v>0</x:v>
      </x:c>
      <x:c r="G357" s="18" t="n">
        <x:v>0</x:v>
      </x:c>
      <x:c r="H357" s="18" t="n">
        <x:v>0</x:v>
      </x:c>
      <x:c r="I357" s="18" t="n">
        <x:v>0</x:v>
      </x:c>
      <x:c r="J357" t="n">
        <x:f>IF(A357=A356,IFERROR(IF(B357=EDATE(B356,1),C356,0),0),0)</x:f>
        <x:v>1</x:v>
      </x:c>
      <x:c r="K357" t="n">
        <x:f>IF(AND(J357=1,C357=0),1,0)</x:f>
        <x:v>1</x:v>
      </x:c>
      <x:c r="L357" t="str">
        <x:f>IFERROR(INDEX(Customers!$C$2:$C$451,MATCH(A357,Customers!$A$2:$A$451,0)),"Unknown")</x:f>
        <x:v>Standard</x:v>
      </x:c>
    </x:row>
    <x:row r="358">
      <x:c r="A358" t="n">
        <x:v>63</x:v>
      </x:c>
      <x:c r="B358" s="16" t="n">
        <x:v>46266</x:v>
      </x:c>
      <x:c r="C358" t="n">
        <x:v>1</x:v>
      </x:c>
      <x:c r="D358" t="n">
        <x:v>17</x:v>
      </x:c>
      <x:c r="E358" s="18" t="n">
        <x:v>1051.81</x:v>
      </x:c>
      <x:c r="F358" s="18" t="n">
        <x:v>0</x:v>
      </x:c>
      <x:c r="G358" s="18" t="n">
        <x:v>4.73</x:v>
      </x:c>
      <x:c r="H358" s="18" t="n">
        <x:v>3.38</x:v>
      </x:c>
      <x:c r="I358" s="18" t="n">
        <x:v>8.11</x:v>
      </x:c>
      <x:c r="J358" t="n">
        <x:f>IF(A358=A357,IFERROR(IF(B358=EDATE(B357,1),C357,0),0),0)</x:f>
        <x:v>0</x:v>
      </x:c>
      <x:c r="K358" t="n">
        <x:f>IF(AND(J358=1,C358=0),1,0)</x:f>
        <x:v>0</x:v>
      </x:c>
      <x:c r="L358" t="str">
        <x:f>IFERROR(INDEX(Customers!$C$2:$C$451,MATCH(A358,Customers!$A$2:$A$451,0)),"Unknown")</x:f>
        <x:v>Standard</x:v>
      </x:c>
    </x:row>
    <x:row r="359">
      <x:c r="A359" t="n">
        <x:v>64</x:v>
      </x:c>
      <x:c r="B359" s="16" t="n">
        <x:v>46113</x:v>
      </x:c>
      <x:c r="C359" t="n">
        <x:v>1</x:v>
      </x:c>
      <x:c r="D359" t="n">
        <x:v>35</x:v>
      </x:c>
      <x:c r="E359" s="18" t="n">
        <x:v>3244.8</x:v>
      </x:c>
      <x:c r="F359" s="18" t="n">
        <x:v>0</x:v>
      </x:c>
      <x:c r="G359" s="18" t="n">
        <x:v>14.6</x:v>
      </x:c>
      <x:c r="H359" s="18" t="n">
        <x:v>5.81</x:v>
      </x:c>
      <x:c r="I359" s="18" t="n">
        <x:v>20.41</x:v>
      </x:c>
      <x:c r="J359" t="n">
        <x:f>IF(A359=A358,IFERROR(IF(B359=EDATE(B358,1),C358,0),0),0)</x:f>
        <x:v>0</x:v>
      </x:c>
      <x:c r="K359" t="n">
        <x:f>IF(AND(J359=1,C359=0),1,0)</x:f>
        <x:v>0</x:v>
      </x:c>
      <x:c r="L359" t="str">
        <x:f>IFERROR(INDEX(Customers!$C$2:$C$451,MATCH(A359,Customers!$A$2:$A$451,0)),"Unknown")</x:f>
        <x:v>Standard</x:v>
      </x:c>
    </x:row>
    <x:row r="360">
      <x:c r="A360" t="n">
        <x:v>64</x:v>
      </x:c>
      <x:c r="B360" s="16" t="n">
        <x:v>46143</x:v>
      </x:c>
      <x:c r="C360" t="n">
        <x:v>1</x:v>
      </x:c>
      <x:c r="D360" t="n">
        <x:v>30</x:v>
      </x:c>
      <x:c r="E360" s="18" t="n">
        <x:v>2820.32</x:v>
      </x:c>
      <x:c r="F360" s="18" t="n">
        <x:v>0</x:v>
      </x:c>
      <x:c r="G360" s="18" t="n">
        <x:v>12.69</x:v>
      </x:c>
      <x:c r="H360" s="18" t="n">
        <x:v>7.48</x:v>
      </x:c>
      <x:c r="I360" s="18" t="n">
        <x:v>20.17</x:v>
      </x:c>
      <x:c r="J360" t="n">
        <x:f>IF(A360=A359,IFERROR(IF(B360=EDATE(B359,1),C359,0),0),0)</x:f>
        <x:v>1</x:v>
      </x:c>
      <x:c r="K360" t="n">
        <x:f>IF(AND(J360=1,C360=0),1,0)</x:f>
        <x:v>0</x:v>
      </x:c>
      <x:c r="L360" t="str">
        <x:f>IFERROR(INDEX(Customers!$C$2:$C$451,MATCH(A360,Customers!$A$2:$A$451,0)),"Unknown")</x:f>
        <x:v>Standard</x:v>
      </x:c>
    </x:row>
    <x:row r="361">
      <x:c r="A361" t="n">
        <x:v>64</x:v>
      </x:c>
      <x:c r="B361" s="16" t="n">
        <x:v>46174</x:v>
      </x:c>
      <x:c r="C361" t="n">
        <x:v>1</x:v>
      </x:c>
      <x:c r="D361" t="n">
        <x:v>6</x:v>
      </x:c>
      <x:c r="E361" s="18" t="n">
        <x:v>812.46</x:v>
      </x:c>
      <x:c r="F361" s="18" t="n">
        <x:v>0</x:v>
      </x:c>
      <x:c r="G361" s="18" t="n">
        <x:v>3.66</x:v>
      </x:c>
      <x:c r="H361" s="18" t="n">
        <x:v>1.66</x:v>
      </x:c>
      <x:c r="I361" s="18" t="n">
        <x:v>5.32</x:v>
      </x:c>
      <x:c r="J361" t="n">
        <x:f>IF(A361=A360,IFERROR(IF(B361=EDATE(B360,1),C360,0),0),0)</x:f>
        <x:v>1</x:v>
      </x:c>
      <x:c r="K361" t="n">
        <x:f>IF(AND(J361=1,C361=0),1,0)</x:f>
        <x:v>0</x:v>
      </x:c>
      <x:c r="L361" t="str">
        <x:f>IFERROR(INDEX(Customers!$C$2:$C$451,MATCH(A361,Customers!$A$2:$A$451,0)),"Unknown")</x:f>
        <x:v>Standard</x:v>
      </x:c>
    </x:row>
    <x:row r="362">
      <x:c r="A362" t="n">
        <x:v>64</x:v>
      </x:c>
      <x:c r="B362" s="16" t="n">
        <x:v>46204</x:v>
      </x:c>
      <x:c r="C362" t="n">
        <x:v>1</x:v>
      </x:c>
      <x:c r="D362" t="n">
        <x:v>21</x:v>
      </x:c>
      <x:c r="E362" s="18" t="n">
        <x:v>1726.71</x:v>
      </x:c>
      <x:c r="F362" s="18" t="n">
        <x:v>0</x:v>
      </x:c>
      <x:c r="G362" s="18" t="n">
        <x:v>7.77</x:v>
      </x:c>
      <x:c r="H362" s="18" t="n">
        <x:v>3.38</x:v>
      </x:c>
      <x:c r="I362" s="18" t="n">
        <x:v>11.15</x:v>
      </x:c>
      <x:c r="J362" t="n">
        <x:f>IF(A362=A361,IFERROR(IF(B362=EDATE(B361,1),C361,0),0),0)</x:f>
        <x:v>1</x:v>
      </x:c>
      <x:c r="K362" t="n">
        <x:f>IF(AND(J362=1,C362=0),1,0)</x:f>
        <x:v>0</x:v>
      </x:c>
      <x:c r="L362" t="str">
        <x:f>IFERROR(INDEX(Customers!$C$2:$C$451,MATCH(A362,Customers!$A$2:$A$451,0)),"Unknown")</x:f>
        <x:v>Standard</x:v>
      </x:c>
    </x:row>
    <x:row r="363">
      <x:c r="A363" t="n">
        <x:v>64</x:v>
      </x:c>
      <x:c r="B363" s="16" t="n">
        <x:v>46235</x:v>
      </x:c>
      <x:c r="C363" t="n">
        <x:v>0</x:v>
      </x:c>
      <x:c r="D363" t="n">
        <x:v>0</x:v>
      </x:c>
      <x:c r="E363" s="18" t="n">
        <x:v>0</x:v>
      </x:c>
      <x:c r="F363" s="18" t="n">
        <x:v>0</x:v>
      </x:c>
      <x:c r="G363" s="18" t="n">
        <x:v>0</x:v>
      </x:c>
      <x:c r="H363" s="18" t="n">
        <x:v>0</x:v>
      </x:c>
      <x:c r="I363" s="18" t="n">
        <x:v>0</x:v>
      </x:c>
      <x:c r="J363" t="n">
        <x:f>IF(A363=A362,IFERROR(IF(B363=EDATE(B362,1),C362,0),0),0)</x:f>
        <x:v>1</x:v>
      </x:c>
      <x:c r="K363" t="n">
        <x:f>IF(AND(J363=1,C363=0),1,0)</x:f>
        <x:v>1</x:v>
      </x:c>
      <x:c r="L363" t="str">
        <x:f>IFERROR(INDEX(Customers!$C$2:$C$451,MATCH(A363,Customers!$A$2:$A$451,0)),"Unknown")</x:f>
        <x:v>Standard</x:v>
      </x:c>
    </x:row>
    <x:row r="364">
      <x:c r="A364" t="n">
        <x:v>64</x:v>
      </x:c>
      <x:c r="B364" s="16" t="n">
        <x:v>46266</x:v>
      </x:c>
      <x:c r="C364" t="n">
        <x:v>1</x:v>
      </x:c>
      <x:c r="D364" t="n">
        <x:v>21</x:v>
      </x:c>
      <x:c r="E364" s="18" t="n">
        <x:v>857.24</x:v>
      </x:c>
      <x:c r="F364" s="18" t="n">
        <x:v>0</x:v>
      </x:c>
      <x:c r="G364" s="18" t="n">
        <x:v>3.86</x:v>
      </x:c>
      <x:c r="H364" s="18" t="n">
        <x:v>2.96</x:v>
      </x:c>
      <x:c r="I364" s="18" t="n">
        <x:v>6.82</x:v>
      </x:c>
      <x:c r="J364" t="n">
        <x:f>IF(A364=A363,IFERROR(IF(B364=EDATE(B363,1),C363,0),0),0)</x:f>
        <x:v>0</x:v>
      </x:c>
      <x:c r="K364" t="n">
        <x:f>IF(AND(J364=1,C364=0),1,0)</x:f>
        <x:v>0</x:v>
      </x:c>
      <x:c r="L364" t="str">
        <x:f>IFERROR(INDEX(Customers!$C$2:$C$451,MATCH(A364,Customers!$A$2:$A$451,0)),"Unknown")</x:f>
        <x:v>Standard</x:v>
      </x:c>
    </x:row>
    <x:row r="365">
      <x:c r="A365" t="n">
        <x:v>65</x:v>
      </x:c>
      <x:c r="B365" s="16" t="n">
        <x:v>46174</x:v>
      </x:c>
      <x:c r="C365" t="n">
        <x:v>1</x:v>
      </x:c>
      <x:c r="D365" t="n">
        <x:v>12</x:v>
      </x:c>
      <x:c r="E365" s="18" t="n">
        <x:v>1392.58</x:v>
      </x:c>
      <x:c r="F365" s="18" t="n">
        <x:v>17</x:v>
      </x:c>
      <x:c r="G365" s="18" t="n">
        <x:v>6.27</x:v>
      </x:c>
      <x:c r="H365" s="18" t="n">
        <x:v>3.87</x:v>
      </x:c>
      <x:c r="I365" s="18" t="n">
        <x:v>27.14</x:v>
      </x:c>
      <x:c r="J365" t="n">
        <x:f>IF(A365=A364,IFERROR(IF(B365=EDATE(B364,1),C364,0),0),0)</x:f>
        <x:v>0</x:v>
      </x:c>
      <x:c r="K365" t="n">
        <x:f>IF(AND(J365=1,C365=0),1,0)</x:f>
        <x:v>0</x:v>
      </x:c>
      <x:c r="L365" t="str">
        <x:f>IFERROR(INDEX(Customers!$C$2:$C$451,MATCH(A365,Customers!$A$2:$A$451,0)),"Unknown")</x:f>
        <x:v>Premium</x:v>
      </x:c>
    </x:row>
    <x:row r="366">
      <x:c r="A366" t="n">
        <x:v>65</x:v>
      </x:c>
      <x:c r="B366" s="16" t="n">
        <x:v>46204</x:v>
      </x:c>
      <x:c r="C366" t="n">
        <x:v>1</x:v>
      </x:c>
      <x:c r="D366" t="n">
        <x:v>36</x:v>
      </x:c>
      <x:c r="E366" s="18" t="n">
        <x:v>1652.14</x:v>
      </x:c>
      <x:c r="F366" s="18" t="n">
        <x:v>17</x:v>
      </x:c>
      <x:c r="G366" s="18" t="n">
        <x:v>7.43</x:v>
      </x:c>
      <x:c r="H366" s="18" t="n">
        <x:v>3.19</x:v>
      </x:c>
      <x:c r="I366" s="18" t="n">
        <x:v>27.62</x:v>
      </x:c>
      <x:c r="J366" t="n">
        <x:f>IF(A366=A365,IFERROR(IF(B366=EDATE(B365,1),C365,0),0),0)</x:f>
        <x:v>1</x:v>
      </x:c>
      <x:c r="K366" t="n">
        <x:f>IF(AND(J366=1,C366=0),1,0)</x:f>
        <x:v>0</x:v>
      </x:c>
      <x:c r="L366" t="str">
        <x:f>IFERROR(INDEX(Customers!$C$2:$C$451,MATCH(A366,Customers!$A$2:$A$451,0)),"Unknown")</x:f>
        <x:v>Premium</x:v>
      </x:c>
    </x:row>
    <x:row r="367">
      <x:c r="A367" t="n">
        <x:v>65</x:v>
      </x:c>
      <x:c r="B367" s="16" t="n">
        <x:v>46235</x:v>
      </x:c>
      <x:c r="C367" t="n">
        <x:v>1</x:v>
      </x:c>
      <x:c r="D367" t="n">
        <x:v>14</x:v>
      </x:c>
      <x:c r="E367" s="18" t="n">
        <x:v>1390.54</x:v>
      </x:c>
      <x:c r="F367" s="18" t="n">
        <x:v>17</x:v>
      </x:c>
      <x:c r="G367" s="18" t="n">
        <x:v>6.26</x:v>
      </x:c>
      <x:c r="H367" s="18" t="n">
        <x:v>2.45</x:v>
      </x:c>
      <x:c r="I367" s="18" t="n">
        <x:v>25.71</x:v>
      </x:c>
      <x:c r="J367" t="n">
        <x:f>IF(A367=A366,IFERROR(IF(B367=EDATE(B366,1),C366,0),0),0)</x:f>
        <x:v>1</x:v>
      </x:c>
      <x:c r="K367" t="n">
        <x:f>IF(AND(J367=1,C367=0),1,0)</x:f>
        <x:v>0</x:v>
      </x:c>
      <x:c r="L367" t="str">
        <x:f>IFERROR(INDEX(Customers!$C$2:$C$451,MATCH(A367,Customers!$A$2:$A$451,0)),"Unknown")</x:f>
        <x:v>Premium</x:v>
      </x:c>
    </x:row>
    <x:row r="368">
      <x:c r="A368" t="n">
        <x:v>65</x:v>
      </x:c>
      <x:c r="B368" s="16" t="n">
        <x:v>46266</x:v>
      </x:c>
      <x:c r="C368" t="n">
        <x:v>1</x:v>
      </x:c>
      <x:c r="D368" t="n">
        <x:v>19</x:v>
      </x:c>
      <x:c r="E368" s="18" t="n">
        <x:v>1281.89</x:v>
      </x:c>
      <x:c r="F368" s="18" t="n">
        <x:v>17</x:v>
      </x:c>
      <x:c r="G368" s="18" t="n">
        <x:v>5.77</x:v>
      </x:c>
      <x:c r="H368" s="18" t="n">
        <x:v>4.31</x:v>
      </x:c>
      <x:c r="I368" s="18" t="n">
        <x:v>27.08</x:v>
      </x:c>
      <x:c r="J368" t="n">
        <x:f>IF(A368=A367,IFERROR(IF(B368=EDATE(B367,1),C367,0),0),0)</x:f>
        <x:v>1</x:v>
      </x:c>
      <x:c r="K368" t="n">
        <x:f>IF(AND(J368=1,C368=0),1,0)</x:f>
        <x:v>0</x:v>
      </x:c>
      <x:c r="L368" t="str">
        <x:f>IFERROR(INDEX(Customers!$C$2:$C$451,MATCH(A368,Customers!$A$2:$A$451,0)),"Unknown")</x:f>
        <x:v>Premium</x:v>
      </x:c>
    </x:row>
    <x:row r="369">
      <x:c r="A369" t="n">
        <x:v>66</x:v>
      </x:c>
      <x:c r="B369" s="16" t="n">
        <x:v>46113</x:v>
      </x:c>
      <x:c r="C369" t="n">
        <x:v>1</x:v>
      </x:c>
      <x:c r="D369" t="n">
        <x:v>15</x:v>
      </x:c>
      <x:c r="E369" s="18" t="n">
        <x:v>597.73</x:v>
      </x:c>
      <x:c r="F369" s="18" t="n">
        <x:v>0</x:v>
      </x:c>
      <x:c r="G369" s="18" t="n">
        <x:v>2.69</x:v>
      </x:c>
      <x:c r="H369" s="18" t="n">
        <x:v>0.96</x:v>
      </x:c>
      <x:c r="I369" s="18" t="n">
        <x:v>3.65</x:v>
      </x:c>
      <x:c r="J369" t="n">
        <x:f>IF(A369=A368,IFERROR(IF(B369=EDATE(B368,1),C368,0),0),0)</x:f>
        <x:v>0</x:v>
      </x:c>
      <x:c r="K369" t="n">
        <x:f>IF(AND(J369=1,C369=0),1,0)</x:f>
        <x:v>0</x:v>
      </x:c>
      <x:c r="L369" t="str">
        <x:f>IFERROR(INDEX(Customers!$C$2:$C$451,MATCH(A369,Customers!$A$2:$A$451,0)),"Unknown")</x:f>
        <x:v>Standard</x:v>
      </x:c>
    </x:row>
    <x:row r="370">
      <x:c r="A370" t="n">
        <x:v>66</x:v>
      </x:c>
      <x:c r="B370" s="16" t="n">
        <x:v>46143</x:v>
      </x:c>
      <x:c r="C370" t="n">
        <x:v>1</x:v>
      </x:c>
      <x:c r="D370" t="n">
        <x:v>22</x:v>
      </x:c>
      <x:c r="E370" s="18" t="n">
        <x:v>2958.24</x:v>
      </x:c>
      <x:c r="F370" s="18" t="n">
        <x:v>0</x:v>
      </x:c>
      <x:c r="G370" s="18" t="n">
        <x:v>13.31</x:v>
      </x:c>
      <x:c r="H370" s="18" t="n">
        <x:v>9.98</x:v>
      </x:c>
      <x:c r="I370" s="18" t="n">
        <x:v>23.29</x:v>
      </x:c>
      <x:c r="J370" t="n">
        <x:f>IF(A370=A369,IFERROR(IF(B370=EDATE(B369,1),C369,0),0),0)</x:f>
        <x:v>1</x:v>
      </x:c>
      <x:c r="K370" t="n">
        <x:f>IF(AND(J370=1,C370=0),1,0)</x:f>
        <x:v>0</x:v>
      </x:c>
      <x:c r="L370" t="str">
        <x:f>IFERROR(INDEX(Customers!$C$2:$C$451,MATCH(A370,Customers!$A$2:$A$451,0)),"Unknown")</x:f>
        <x:v>Standard</x:v>
      </x:c>
    </x:row>
    <x:row r="371">
      <x:c r="A371" t="n">
        <x:v>66</x:v>
      </x:c>
      <x:c r="B371" s="16" t="n">
        <x:v>46174</x:v>
      </x:c>
      <x:c r="C371" t="n">
        <x:v>1</x:v>
      </x:c>
      <x:c r="D371" t="n">
        <x:v>35</x:v>
      </x:c>
      <x:c r="E371" s="18" t="n">
        <x:v>1481.86</x:v>
      </x:c>
      <x:c r="F371" s="18" t="n">
        <x:v>0</x:v>
      </x:c>
      <x:c r="G371" s="18" t="n">
        <x:v>6.67</x:v>
      </x:c>
      <x:c r="H371" s="18" t="n">
        <x:v>2.26</x:v>
      </x:c>
      <x:c r="I371" s="18" t="n">
        <x:v>8.93</x:v>
      </x:c>
      <x:c r="J371" t="n">
        <x:f>IF(A371=A370,IFERROR(IF(B371=EDATE(B370,1),C370,0),0),0)</x:f>
        <x:v>1</x:v>
      </x:c>
      <x:c r="K371" t="n">
        <x:f>IF(AND(J371=1,C371=0),1,0)</x:f>
        <x:v>0</x:v>
      </x:c>
      <x:c r="L371" t="str">
        <x:f>IFERROR(INDEX(Customers!$C$2:$C$451,MATCH(A371,Customers!$A$2:$A$451,0)),"Unknown")</x:f>
        <x:v>Standard</x:v>
      </x:c>
    </x:row>
    <x:row r="372">
      <x:c r="A372" t="n">
        <x:v>66</x:v>
      </x:c>
      <x:c r="B372" s="16" t="n">
        <x:v>46204</x:v>
      </x:c>
      <x:c r="C372" t="n">
        <x:v>0</x:v>
      </x:c>
      <x:c r="D372" t="n">
        <x:v>0</x:v>
      </x:c>
      <x:c r="E372" s="18" t="n">
        <x:v>0</x:v>
      </x:c>
      <x:c r="F372" s="18" t="n">
        <x:v>0</x:v>
      </x:c>
      <x:c r="G372" s="18" t="n">
        <x:v>0</x:v>
      </x:c>
      <x:c r="H372" s="18" t="n">
        <x:v>0</x:v>
      </x:c>
      <x:c r="I372" s="18" t="n">
        <x:v>0</x:v>
      </x:c>
      <x:c r="J372" t="n">
        <x:f>IF(A372=A371,IFERROR(IF(B372=EDATE(B371,1),C371,0),0),0)</x:f>
        <x:v>1</x:v>
      </x:c>
      <x:c r="K372" t="n">
        <x:f>IF(AND(J372=1,C372=0),1,0)</x:f>
        <x:v>1</x:v>
      </x:c>
      <x:c r="L372" t="str">
        <x:f>IFERROR(INDEX(Customers!$C$2:$C$451,MATCH(A372,Customers!$A$2:$A$451,0)),"Unknown")</x:f>
        <x:v>Standard</x:v>
      </x:c>
    </x:row>
    <x:row r="373">
      <x:c r="A373" t="n">
        <x:v>66</x:v>
      </x:c>
      <x:c r="B373" s="16" t="n">
        <x:v>46235</x:v>
      </x:c>
      <x:c r="C373" t="n">
        <x:v>1</x:v>
      </x:c>
      <x:c r="D373" t="n">
        <x:v>31</x:v>
      </x:c>
      <x:c r="E373" s="18" t="n">
        <x:v>3544.11</x:v>
      </x:c>
      <x:c r="F373" s="18" t="n">
        <x:v>0</x:v>
      </x:c>
      <x:c r="G373" s="18" t="n">
        <x:v>15.95</x:v>
      </x:c>
      <x:c r="H373" s="18" t="n">
        <x:v>8.53</x:v>
      </x:c>
      <x:c r="I373" s="18" t="n">
        <x:v>24.48</x:v>
      </x:c>
      <x:c r="J373" t="n">
        <x:f>IF(A373=A372,IFERROR(IF(B373=EDATE(B372,1),C372,0),0),0)</x:f>
        <x:v>0</x:v>
      </x:c>
      <x:c r="K373" t="n">
        <x:f>IF(AND(J373=1,C373=0),1,0)</x:f>
        <x:v>0</x:v>
      </x:c>
      <x:c r="L373" t="str">
        <x:f>IFERROR(INDEX(Customers!$C$2:$C$451,MATCH(A373,Customers!$A$2:$A$451,0)),"Unknown")</x:f>
        <x:v>Standard</x:v>
      </x:c>
    </x:row>
    <x:row r="374">
      <x:c r="A374" t="n">
        <x:v>66</x:v>
      </x:c>
      <x:c r="B374" s="16" t="n">
        <x:v>46266</x:v>
      </x:c>
      <x:c r="C374" t="n">
        <x:v>1</x:v>
      </x:c>
      <x:c r="D374" t="n">
        <x:v>8</x:v>
      </x:c>
      <x:c r="E374" s="18" t="n">
        <x:v>590.64</x:v>
      </x:c>
      <x:c r="F374" s="18" t="n">
        <x:v>0</x:v>
      </x:c>
      <x:c r="G374" s="18" t="n">
        <x:v>2.66</x:v>
      </x:c>
      <x:c r="H374" s="18" t="n">
        <x:v>1.75</x:v>
      </x:c>
      <x:c r="I374" s="18" t="n">
        <x:v>4.41</x:v>
      </x:c>
      <x:c r="J374" t="n">
        <x:f>IF(A374=A373,IFERROR(IF(B374=EDATE(B373,1),C373,0),0),0)</x:f>
        <x:v>1</x:v>
      </x:c>
      <x:c r="K374" t="n">
        <x:f>IF(AND(J374=1,C374=0),1,0)</x:f>
        <x:v>0</x:v>
      </x:c>
      <x:c r="L374" t="str">
        <x:f>IFERROR(INDEX(Customers!$C$2:$C$451,MATCH(A374,Customers!$A$2:$A$451,0)),"Unknown")</x:f>
        <x:v>Standard</x:v>
      </x:c>
    </x:row>
    <x:row r="375">
      <x:c r="A375" t="n">
        <x:v>67</x:v>
      </x:c>
      <x:c r="B375" s="16" t="n">
        <x:v>46174</x:v>
      </x:c>
      <x:c r="C375" t="n">
        <x:v>1</x:v>
      </x:c>
      <x:c r="D375" t="n">
        <x:v>20</x:v>
      </x:c>
      <x:c r="E375" s="18" t="n">
        <x:v>2377.68</x:v>
      </x:c>
      <x:c r="F375" s="18" t="n">
        <x:v>8</x:v>
      </x:c>
      <x:c r="G375" s="18" t="n">
        <x:v>10.7</x:v>
      </x:c>
      <x:c r="H375" s="18" t="n">
        <x:v>5.31</x:v>
      </x:c>
      <x:c r="I375" s="18" t="n">
        <x:v>24.01</x:v>
      </x:c>
      <x:c r="J375" t="n">
        <x:f>IF(A375=A374,IFERROR(IF(B375=EDATE(B374,1),C374,0),0),0)</x:f>
        <x:v>0</x:v>
      </x:c>
      <x:c r="K375" t="n">
        <x:f>IF(AND(J375=1,C375=0),1,0)</x:f>
        <x:v>0</x:v>
      </x:c>
      <x:c r="L375" t="str">
        <x:f>IFERROR(INDEX(Customers!$C$2:$C$451,MATCH(A375,Customers!$A$2:$A$451,0)),"Unknown")</x:f>
        <x:v>Plus</x:v>
      </x:c>
    </x:row>
    <x:row r="376">
      <x:c r="A376" t="n">
        <x:v>67</x:v>
      </x:c>
      <x:c r="B376" s="16" t="n">
        <x:v>46204</x:v>
      </x:c>
      <x:c r="C376" t="n">
        <x:v>1</x:v>
      </x:c>
      <x:c r="D376" t="n">
        <x:v>10</x:v>
      </x:c>
      <x:c r="E376" s="18" t="n">
        <x:v>570.43</x:v>
      </x:c>
      <x:c r="F376" s="18" t="n">
        <x:v>8</x:v>
      </x:c>
      <x:c r="G376" s="18" t="n">
        <x:v>2.57</x:v>
      </x:c>
      <x:c r="H376" s="18" t="n">
        <x:v>1.59</x:v>
      </x:c>
      <x:c r="I376" s="18" t="n">
        <x:v>12.16</x:v>
      </x:c>
      <x:c r="J376" t="n">
        <x:f>IF(A376=A375,IFERROR(IF(B376=EDATE(B375,1),C375,0),0),0)</x:f>
        <x:v>1</x:v>
      </x:c>
      <x:c r="K376" t="n">
        <x:f>IF(AND(J376=1,C376=0),1,0)</x:f>
        <x:v>0</x:v>
      </x:c>
      <x:c r="L376" t="str">
        <x:f>IFERROR(INDEX(Customers!$C$2:$C$451,MATCH(A376,Customers!$A$2:$A$451,0)),"Unknown")</x:f>
        <x:v>Plus</x:v>
      </x:c>
    </x:row>
    <x:row r="377">
      <x:c r="A377" t="n">
        <x:v>67</x:v>
      </x:c>
      <x:c r="B377" s="16" t="n">
        <x:v>46235</x:v>
      </x:c>
      <x:c r="C377" t="n">
        <x:v>1</x:v>
      </x:c>
      <x:c r="D377" t="n">
        <x:v>14</x:v>
      </x:c>
      <x:c r="E377" s="18" t="n">
        <x:v>1263.37</x:v>
      </x:c>
      <x:c r="F377" s="18" t="n">
        <x:v>8</x:v>
      </x:c>
      <x:c r="G377" s="18" t="n">
        <x:v>5.69</x:v>
      </x:c>
      <x:c r="H377" s="18" t="n">
        <x:v>4.68</x:v>
      </x:c>
      <x:c r="I377" s="18" t="n">
        <x:v>18.37</x:v>
      </x:c>
      <x:c r="J377" t="n">
        <x:f>IF(A377=A376,IFERROR(IF(B377=EDATE(B376,1),C376,0),0),0)</x:f>
        <x:v>1</x:v>
      </x:c>
      <x:c r="K377" t="n">
        <x:f>IF(AND(J377=1,C377=0),1,0)</x:f>
        <x:v>0</x:v>
      </x:c>
      <x:c r="L377" t="str">
        <x:f>IFERROR(INDEX(Customers!$C$2:$C$451,MATCH(A377,Customers!$A$2:$A$451,0)),"Unknown")</x:f>
        <x:v>Plus</x:v>
      </x:c>
    </x:row>
    <x:row r="378">
      <x:c r="A378" t="n">
        <x:v>67</x:v>
      </x:c>
      <x:c r="B378" s="16" t="n">
        <x:v>46266</x:v>
      </x:c>
      <x:c r="C378" t="n">
        <x:v>1</x:v>
      </x:c>
      <x:c r="D378" t="n">
        <x:v>4</x:v>
      </x:c>
      <x:c r="E378" s="18" t="n">
        <x:v>513.85</x:v>
      </x:c>
      <x:c r="F378" s="18" t="n">
        <x:v>8</x:v>
      </x:c>
      <x:c r="G378" s="18" t="n">
        <x:v>2.31</x:v>
      </x:c>
      <x:c r="H378" s="18" t="n">
        <x:v>1.64</x:v>
      </x:c>
      <x:c r="I378" s="18" t="n">
        <x:v>11.95</x:v>
      </x:c>
      <x:c r="J378" t="n">
        <x:f>IF(A378=A377,IFERROR(IF(B378=EDATE(B377,1),C377,0),0),0)</x:f>
        <x:v>1</x:v>
      </x:c>
      <x:c r="K378" t="n">
        <x:f>IF(AND(J378=1,C378=0),1,0)</x:f>
        <x:v>0</x:v>
      </x:c>
      <x:c r="L378" t="str">
        <x:f>IFERROR(INDEX(Customers!$C$2:$C$451,MATCH(A378,Customers!$A$2:$A$451,0)),"Unknown")</x:f>
        <x:v>Plus</x:v>
      </x:c>
    </x:row>
    <x:row r="379">
      <x:c r="A379" t="n">
        <x:v>68</x:v>
      </x:c>
      <x:c r="B379" s="16" t="n">
        <x:v>46113</x:v>
      </x:c>
      <x:c r="C379" t="n">
        <x:v>0</x:v>
      </x:c>
      <x:c r="D379" t="n">
        <x:v>0</x:v>
      </x:c>
      <x:c r="E379" s="18" t="n">
        <x:v>0</x:v>
      </x:c>
      <x:c r="F379" s="18" t="n">
        <x:v>0</x:v>
      </x:c>
      <x:c r="G379" s="18" t="n">
        <x:v>0</x:v>
      </x:c>
      <x:c r="H379" s="18" t="n">
        <x:v>0</x:v>
      </x:c>
      <x:c r="I379" s="18" t="n">
        <x:v>0</x:v>
      </x:c>
      <x:c r="J379" t="n">
        <x:f>IF(A379=A378,IFERROR(IF(B379=EDATE(B378,1),C378,0),0),0)</x:f>
        <x:v>0</x:v>
      </x:c>
      <x:c r="K379" t="n">
        <x:f>IF(AND(J379=1,C379=0),1,0)</x:f>
        <x:v>0</x:v>
      </x:c>
      <x:c r="L379" t="str">
        <x:f>IFERROR(INDEX(Customers!$C$2:$C$451,MATCH(A379,Customers!$A$2:$A$451,0)),"Unknown")</x:f>
        <x:v>Standard</x:v>
      </x:c>
    </x:row>
    <x:row r="380">
      <x:c r="A380" t="n">
        <x:v>68</x:v>
      </x:c>
      <x:c r="B380" s="16" t="n">
        <x:v>46143</x:v>
      </x:c>
      <x:c r="C380" t="n">
        <x:v>1</x:v>
      </x:c>
      <x:c r="D380" t="n">
        <x:v>15</x:v>
      </x:c>
      <x:c r="E380" s="18" t="n">
        <x:v>1110.08</x:v>
      </x:c>
      <x:c r="F380" s="18" t="n">
        <x:v>0</x:v>
      </x:c>
      <x:c r="G380" s="18" t="n">
        <x:v>5</x:v>
      </x:c>
      <x:c r="H380" s="18" t="n">
        <x:v>1.76</x:v>
      </x:c>
      <x:c r="I380" s="18" t="n">
        <x:v>6.76</x:v>
      </x:c>
      <x:c r="J380" t="n">
        <x:f>IF(A380=A379,IFERROR(IF(B380=EDATE(B379,1),C379,0),0),0)</x:f>
        <x:v>0</x:v>
      </x:c>
      <x:c r="K380" t="n">
        <x:f>IF(AND(J380=1,C380=0),1,0)</x:f>
        <x:v>0</x:v>
      </x:c>
      <x:c r="L380" t="str">
        <x:f>IFERROR(INDEX(Customers!$C$2:$C$451,MATCH(A380,Customers!$A$2:$A$451,0)),"Unknown")</x:f>
        <x:v>Standard</x:v>
      </x:c>
    </x:row>
    <x:row r="381">
      <x:c r="A381" t="n">
        <x:v>68</x:v>
      </x:c>
      <x:c r="B381" s="16" t="n">
        <x:v>46174</x:v>
      </x:c>
      <x:c r="C381" t="n">
        <x:v>1</x:v>
      </x:c>
      <x:c r="D381" t="n">
        <x:v>15</x:v>
      </x:c>
      <x:c r="E381" s="18" t="n">
        <x:v>1423.52</x:v>
      </x:c>
      <x:c r="F381" s="18" t="n">
        <x:v>0</x:v>
      </x:c>
      <x:c r="G381" s="18" t="n">
        <x:v>6.41</x:v>
      </x:c>
      <x:c r="H381" s="18" t="n">
        <x:v>2.4</x:v>
      </x:c>
      <x:c r="I381" s="18" t="n">
        <x:v>8.81</x:v>
      </x:c>
      <x:c r="J381" t="n">
        <x:f>IF(A381=A380,IFERROR(IF(B381=EDATE(B380,1),C380,0),0),0)</x:f>
        <x:v>1</x:v>
      </x:c>
      <x:c r="K381" t="n">
        <x:f>IF(AND(J381=1,C381=0),1,0)</x:f>
        <x:v>0</x:v>
      </x:c>
      <x:c r="L381" t="str">
        <x:f>IFERROR(INDEX(Customers!$C$2:$C$451,MATCH(A381,Customers!$A$2:$A$451,0)),"Unknown")</x:f>
        <x:v>Standard</x:v>
      </x:c>
    </x:row>
    <x:row r="382">
      <x:c r="A382" t="n">
        <x:v>68</x:v>
      </x:c>
      <x:c r="B382" s="16" t="n">
        <x:v>46204</x:v>
      </x:c>
      <x:c r="C382" t="n">
        <x:v>1</x:v>
      </x:c>
      <x:c r="D382" t="n">
        <x:v>6</x:v>
      </x:c>
      <x:c r="E382" s="18" t="n">
        <x:v>575.46</x:v>
      </x:c>
      <x:c r="F382" s="18" t="n">
        <x:v>0</x:v>
      </x:c>
      <x:c r="G382" s="18" t="n">
        <x:v>2.59</x:v>
      </x:c>
      <x:c r="H382" s="18" t="n">
        <x:v>0.58</x:v>
      </x:c>
      <x:c r="I382" s="18" t="n">
        <x:v>3.17</x:v>
      </x:c>
      <x:c r="J382" t="n">
        <x:f>IF(A382=A381,IFERROR(IF(B382=EDATE(B381,1),C381,0),0),0)</x:f>
        <x:v>1</x:v>
      </x:c>
      <x:c r="K382" t="n">
        <x:f>IF(AND(J382=1,C382=0),1,0)</x:f>
        <x:v>0</x:v>
      </x:c>
      <x:c r="L382" t="str">
        <x:f>IFERROR(INDEX(Customers!$C$2:$C$451,MATCH(A382,Customers!$A$2:$A$451,0)),"Unknown")</x:f>
        <x:v>Standard</x:v>
      </x:c>
    </x:row>
    <x:row r="383">
      <x:c r="A383" t="n">
        <x:v>68</x:v>
      </x:c>
      <x:c r="B383" s="16" t="n">
        <x:v>46235</x:v>
      </x:c>
      <x:c r="C383" t="n">
        <x:v>1</x:v>
      </x:c>
      <x:c r="D383" t="n">
        <x:v>22</x:v>
      </x:c>
      <x:c r="E383" s="18" t="n">
        <x:v>2575.89</x:v>
      </x:c>
      <x:c r="F383" s="18" t="n">
        <x:v>0</x:v>
      </x:c>
      <x:c r="G383" s="18" t="n">
        <x:v>11.59</x:v>
      </x:c>
      <x:c r="H383" s="18" t="n">
        <x:v>7.28</x:v>
      </x:c>
      <x:c r="I383" s="18" t="n">
        <x:v>18.87</x:v>
      </x:c>
      <x:c r="J383" t="n">
        <x:f>IF(A383=A382,IFERROR(IF(B383=EDATE(B382,1),C382,0),0),0)</x:f>
        <x:v>1</x:v>
      </x:c>
      <x:c r="K383" t="n">
        <x:f>IF(AND(J383=1,C383=0),1,0)</x:f>
        <x:v>0</x:v>
      </x:c>
      <x:c r="L383" t="str">
        <x:f>IFERROR(INDEX(Customers!$C$2:$C$451,MATCH(A383,Customers!$A$2:$A$451,0)),"Unknown")</x:f>
        <x:v>Standard</x:v>
      </x:c>
    </x:row>
    <x:row r="384">
      <x:c r="A384" t="n">
        <x:v>68</x:v>
      </x:c>
      <x:c r="B384" s="16" t="n">
        <x:v>46266</x:v>
      </x:c>
      <x:c r="C384" t="n">
        <x:v>1</x:v>
      </x:c>
      <x:c r="D384" t="n">
        <x:v>28</x:v>
      </x:c>
      <x:c r="E384" s="18" t="n">
        <x:v>2973.27</x:v>
      </x:c>
      <x:c r="F384" s="18" t="n">
        <x:v>0</x:v>
      </x:c>
      <x:c r="G384" s="18" t="n">
        <x:v>13.38</x:v>
      </x:c>
      <x:c r="H384" s="18" t="n">
        <x:v>9.33</x:v>
      </x:c>
      <x:c r="I384" s="18" t="n">
        <x:v>22.71</x:v>
      </x:c>
      <x:c r="J384" t="n">
        <x:f>IF(A384=A383,IFERROR(IF(B384=EDATE(B383,1),C383,0),0),0)</x:f>
        <x:v>1</x:v>
      </x:c>
      <x:c r="K384" t="n">
        <x:f>IF(AND(J384=1,C384=0),1,0)</x:f>
        <x:v>0</x:v>
      </x:c>
      <x:c r="L384" t="str">
        <x:f>IFERROR(INDEX(Customers!$C$2:$C$451,MATCH(A384,Customers!$A$2:$A$451,0)),"Unknown")</x:f>
        <x:v>Standard</x:v>
      </x:c>
    </x:row>
    <x:row r="385">
      <x:c r="A385" t="n">
        <x:v>69</x:v>
      </x:c>
      <x:c r="B385" s="16" t="n">
        <x:v>46113</x:v>
      </x:c>
      <x:c r="C385" t="n">
        <x:v>1</x:v>
      </x:c>
      <x:c r="D385" t="n">
        <x:v>6</x:v>
      </x:c>
      <x:c r="E385" s="18" t="n">
        <x:v>338.86</x:v>
      </x:c>
      <x:c r="F385" s="18" t="n">
        <x:v>0</x:v>
      </x:c>
      <x:c r="G385" s="18" t="n">
        <x:v>1.52</x:v>
      </x:c>
      <x:c r="H385" s="18" t="n">
        <x:v>1.25</x:v>
      </x:c>
      <x:c r="I385" s="18" t="n">
        <x:v>2.77</x:v>
      </x:c>
      <x:c r="J385" t="n">
        <x:f>IF(A385=A384,IFERROR(IF(B385=EDATE(B384,1),C384,0),0),0)</x:f>
        <x:v>0</x:v>
      </x:c>
      <x:c r="K385" t="n">
        <x:f>IF(AND(J385=1,C385=0),1,0)</x:f>
        <x:v>0</x:v>
      </x:c>
      <x:c r="L385" t="str">
        <x:f>IFERROR(INDEX(Customers!$C$2:$C$451,MATCH(A385,Customers!$A$2:$A$451,0)),"Unknown")</x:f>
        <x:v>Standard</x:v>
      </x:c>
    </x:row>
    <x:row r="386">
      <x:c r="A386" t="n">
        <x:v>69</x:v>
      </x:c>
      <x:c r="B386" s="16" t="n">
        <x:v>46143</x:v>
      </x:c>
      <x:c r="C386" t="n">
        <x:v>1</x:v>
      </x:c>
      <x:c r="D386" t="n">
        <x:v>26</x:v>
      </x:c>
      <x:c r="E386" s="18" t="n">
        <x:v>3206.75</x:v>
      </x:c>
      <x:c r="F386" s="18" t="n">
        <x:v>0</x:v>
      </x:c>
      <x:c r="G386" s="18" t="n">
        <x:v>14.43</x:v>
      </x:c>
      <x:c r="H386" s="18" t="n">
        <x:v>7.18</x:v>
      </x:c>
      <x:c r="I386" s="18" t="n">
        <x:v>21.61</x:v>
      </x:c>
      <x:c r="J386" t="n">
        <x:f>IF(A386=A385,IFERROR(IF(B386=EDATE(B385,1),C385,0),0),0)</x:f>
        <x:v>1</x:v>
      </x:c>
      <x:c r="K386" t="n">
        <x:f>IF(AND(J386=1,C386=0),1,0)</x:f>
        <x:v>0</x:v>
      </x:c>
      <x:c r="L386" t="str">
        <x:f>IFERROR(INDEX(Customers!$C$2:$C$451,MATCH(A386,Customers!$A$2:$A$451,0)),"Unknown")</x:f>
        <x:v>Standard</x:v>
      </x:c>
    </x:row>
    <x:row r="387">
      <x:c r="A387" t="n">
        <x:v>69</x:v>
      </x:c>
      <x:c r="B387" s="16" t="n">
        <x:v>46174</x:v>
      </x:c>
      <x:c r="C387" t="n">
        <x:v>0</x:v>
      </x:c>
      <x:c r="D387" t="n">
        <x:v>0</x:v>
      </x:c>
      <x:c r="E387" s="18" t="n">
        <x:v>0</x:v>
      </x:c>
      <x:c r="F387" s="18" t="n">
        <x:v>0</x:v>
      </x:c>
      <x:c r="G387" s="18" t="n">
        <x:v>0</x:v>
      </x:c>
      <x:c r="H387" s="18" t="n">
        <x:v>0</x:v>
      </x:c>
      <x:c r="I387" s="18" t="n">
        <x:v>0</x:v>
      </x:c>
      <x:c r="J387" t="n">
        <x:f>IF(A387=A386,IFERROR(IF(B387=EDATE(B386,1),C386,0),0),0)</x:f>
        <x:v>1</x:v>
      </x:c>
      <x:c r="K387" t="n">
        <x:f>IF(AND(J387=1,C387=0),1,0)</x:f>
        <x:v>1</x:v>
      </x:c>
      <x:c r="L387" t="str">
        <x:f>IFERROR(INDEX(Customers!$C$2:$C$451,MATCH(A387,Customers!$A$2:$A$451,0)),"Unknown")</x:f>
        <x:v>Standard</x:v>
      </x:c>
    </x:row>
    <x:row r="388">
      <x:c r="A388" t="n">
        <x:v>69</x:v>
      </x:c>
      <x:c r="B388" s="16" t="n">
        <x:v>46204</x:v>
      </x:c>
      <x:c r="C388" t="n">
        <x:v>1</x:v>
      </x:c>
      <x:c r="D388" t="n">
        <x:v>6</x:v>
      </x:c>
      <x:c r="E388" s="18" t="n">
        <x:v>233.56</x:v>
      </x:c>
      <x:c r="F388" s="18" t="n">
        <x:v>0</x:v>
      </x:c>
      <x:c r="G388" s="18" t="n">
        <x:v>1.05</x:v>
      </x:c>
      <x:c r="H388" s="18" t="n">
        <x:v>0.71</x:v>
      </x:c>
      <x:c r="I388" s="18" t="n">
        <x:v>1.76</x:v>
      </x:c>
      <x:c r="J388" t="n">
        <x:f>IF(A388=A387,IFERROR(IF(B388=EDATE(B387,1),C387,0),0),0)</x:f>
        <x:v>0</x:v>
      </x:c>
      <x:c r="K388" t="n">
        <x:f>IF(AND(J388=1,C388=0),1,0)</x:f>
        <x:v>0</x:v>
      </x:c>
      <x:c r="L388" t="str">
        <x:f>IFERROR(INDEX(Customers!$C$2:$C$451,MATCH(A388,Customers!$A$2:$A$451,0)),"Unknown")</x:f>
        <x:v>Standard</x:v>
      </x:c>
    </x:row>
    <x:row r="389">
      <x:c r="A389" t="n">
        <x:v>69</x:v>
      </x:c>
      <x:c r="B389" s="16" t="n">
        <x:v>46235</x:v>
      </x:c>
      <x:c r="C389" t="n">
        <x:v>1</x:v>
      </x:c>
      <x:c r="D389" t="n">
        <x:v>22</x:v>
      </x:c>
      <x:c r="E389" s="18" t="n">
        <x:v>2137.8</x:v>
      </x:c>
      <x:c r="F389" s="18" t="n">
        <x:v>0</x:v>
      </x:c>
      <x:c r="G389" s="18" t="n">
        <x:v>9.62</x:v>
      </x:c>
      <x:c r="H389" s="18" t="n">
        <x:v>3.52</x:v>
      </x:c>
      <x:c r="I389" s="18" t="n">
        <x:v>13.14</x:v>
      </x:c>
      <x:c r="J389" t="n">
        <x:f>IF(A389=A388,IFERROR(IF(B389=EDATE(B388,1),C388,0),0),0)</x:f>
        <x:v>1</x:v>
      </x:c>
      <x:c r="K389" t="n">
        <x:f>IF(AND(J389=1,C389=0),1,0)</x:f>
        <x:v>0</x:v>
      </x:c>
      <x:c r="L389" t="str">
        <x:f>IFERROR(INDEX(Customers!$C$2:$C$451,MATCH(A389,Customers!$A$2:$A$451,0)),"Unknown")</x:f>
        <x:v>Standard</x:v>
      </x:c>
    </x:row>
    <x:row r="390">
      <x:c r="A390" t="n">
        <x:v>69</x:v>
      </x:c>
      <x:c r="B390" s="16" t="n">
        <x:v>46266</x:v>
      </x:c>
      <x:c r="C390" t="n">
        <x:v>1</x:v>
      </x:c>
      <x:c r="D390" t="n">
        <x:v>22</x:v>
      </x:c>
      <x:c r="E390" s="18" t="n">
        <x:v>1073.63</x:v>
      </x:c>
      <x:c r="F390" s="18" t="n">
        <x:v>0</x:v>
      </x:c>
      <x:c r="G390" s="18" t="n">
        <x:v>4.83</x:v>
      </x:c>
      <x:c r="H390" s="18" t="n">
        <x:v>2.4</x:v>
      </x:c>
      <x:c r="I390" s="18" t="n">
        <x:v>7.23</x:v>
      </x:c>
      <x:c r="J390" t="n">
        <x:f>IF(A390=A389,IFERROR(IF(B390=EDATE(B389,1),C389,0),0),0)</x:f>
        <x:v>1</x:v>
      </x:c>
      <x:c r="K390" t="n">
        <x:f>IF(AND(J390=1,C390=0),1,0)</x:f>
        <x:v>0</x:v>
      </x:c>
      <x:c r="L390" t="str">
        <x:f>IFERROR(INDEX(Customers!$C$2:$C$451,MATCH(A390,Customers!$A$2:$A$451,0)),"Unknown")</x:f>
        <x:v>Standard</x:v>
      </x:c>
    </x:row>
    <x:row r="391">
      <x:c r="A391" t="n">
        <x:v>70</x:v>
      </x:c>
      <x:c r="B391" s="16" t="n">
        <x:v>46113</x:v>
      </x:c>
      <x:c r="C391" t="n">
        <x:v>0</x:v>
      </x:c>
      <x:c r="D391" t="n">
        <x:v>0</x:v>
      </x:c>
      <x:c r="E391" s="18" t="n">
        <x:v>0</x:v>
      </x:c>
      <x:c r="F391" s="18" t="n">
        <x:v>0</x:v>
      </x:c>
      <x:c r="G391" s="18" t="n">
        <x:v>0</x:v>
      </x:c>
      <x:c r="H391" s="18" t="n">
        <x:v>0</x:v>
      </x:c>
      <x:c r="I391" s="18" t="n">
        <x:v>0</x:v>
      </x:c>
      <x:c r="J391" t="n">
        <x:f>IF(A391=A390,IFERROR(IF(B391=EDATE(B390,1),C390,0),0),0)</x:f>
        <x:v>0</x:v>
      </x:c>
      <x:c r="K391" t="n">
        <x:f>IF(AND(J391=1,C391=0),1,0)</x:f>
        <x:v>0</x:v>
      </x:c>
      <x:c r="L391" t="str">
        <x:f>IFERROR(INDEX(Customers!$C$2:$C$451,MATCH(A391,Customers!$A$2:$A$451,0)),"Unknown")</x:f>
        <x:v>Standard</x:v>
      </x:c>
    </x:row>
    <x:row r="392">
      <x:c r="A392" t="n">
        <x:v>70</x:v>
      </x:c>
      <x:c r="B392" s="16" t="n">
        <x:v>46143</x:v>
      </x:c>
      <x:c r="C392" t="n">
        <x:v>0</x:v>
      </x:c>
      <x:c r="D392" t="n">
        <x:v>0</x:v>
      </x:c>
      <x:c r="E392" s="18" t="n">
        <x:v>0</x:v>
      </x:c>
      <x:c r="F392" s="18" t="n">
        <x:v>0</x:v>
      </x:c>
      <x:c r="G392" s="18" t="n">
        <x:v>0</x:v>
      </x:c>
      <x:c r="H392" s="18" t="n">
        <x:v>0</x:v>
      </x:c>
      <x:c r="I392" s="18" t="n">
        <x:v>0</x:v>
      </x:c>
      <x:c r="J392" t="n">
        <x:f>IF(A392=A391,IFERROR(IF(B392=EDATE(B391,1),C391,0),0),0)</x:f>
        <x:v>0</x:v>
      </x:c>
      <x:c r="K392" t="n">
        <x:f>IF(AND(J392=1,C392=0),1,0)</x:f>
        <x:v>0</x:v>
      </x:c>
      <x:c r="L392" t="str">
        <x:f>IFERROR(INDEX(Customers!$C$2:$C$451,MATCH(A392,Customers!$A$2:$A$451,0)),"Unknown")</x:f>
        <x:v>Standard</x:v>
      </x:c>
    </x:row>
    <x:row r="393">
      <x:c r="A393" t="n">
        <x:v>70</x:v>
      </x:c>
      <x:c r="B393" s="16" t="n">
        <x:v>46174</x:v>
      </x:c>
      <x:c r="C393" t="n">
        <x:v>0</x:v>
      </x:c>
      <x:c r="D393" t="n">
        <x:v>0</x:v>
      </x:c>
      <x:c r="E393" s="18" t="n">
        <x:v>0</x:v>
      </x:c>
      <x:c r="F393" s="18" t="n">
        <x:v>0</x:v>
      </x:c>
      <x:c r="G393" s="18" t="n">
        <x:v>0</x:v>
      </x:c>
      <x:c r="H393" s="18" t="n">
        <x:v>0</x:v>
      </x:c>
      <x:c r="I393" s="18" t="n">
        <x:v>0</x:v>
      </x:c>
      <x:c r="J393" t="n">
        <x:f>IF(A393=A392,IFERROR(IF(B393=EDATE(B392,1),C392,0),0),0)</x:f>
        <x:v>0</x:v>
      </x:c>
      <x:c r="K393" t="n">
        <x:f>IF(AND(J393=1,C393=0),1,0)</x:f>
        <x:v>0</x:v>
      </x:c>
      <x:c r="L393" t="str">
        <x:f>IFERROR(INDEX(Customers!$C$2:$C$451,MATCH(A393,Customers!$A$2:$A$451,0)),"Unknown")</x:f>
        <x:v>Standard</x:v>
      </x:c>
    </x:row>
    <x:row r="394">
      <x:c r="A394" t="n">
        <x:v>70</x:v>
      </x:c>
      <x:c r="B394" s="16" t="n">
        <x:v>46204</x:v>
      </x:c>
      <x:c r="C394" t="n">
        <x:v>1</x:v>
      </x:c>
      <x:c r="D394" t="n">
        <x:v>12</x:v>
      </x:c>
      <x:c r="E394" s="18" t="n">
        <x:v>1135.74</x:v>
      </x:c>
      <x:c r="F394" s="18" t="n">
        <x:v>0</x:v>
      </x:c>
      <x:c r="G394" s="18" t="n">
        <x:v>5.11</x:v>
      </x:c>
      <x:c r="H394" s="18" t="n">
        <x:v>4.27</x:v>
      </x:c>
      <x:c r="I394" s="18" t="n">
        <x:v>9.38</x:v>
      </x:c>
      <x:c r="J394" t="n">
        <x:f>IF(A394=A393,IFERROR(IF(B394=EDATE(B393,1),C393,0),0),0)</x:f>
        <x:v>0</x:v>
      </x:c>
      <x:c r="K394" t="n">
        <x:f>IF(AND(J394=1,C394=0),1,0)</x:f>
        <x:v>0</x:v>
      </x:c>
      <x:c r="L394" t="str">
        <x:f>IFERROR(INDEX(Customers!$C$2:$C$451,MATCH(A394,Customers!$A$2:$A$451,0)),"Unknown")</x:f>
        <x:v>Standard</x:v>
      </x:c>
    </x:row>
    <x:row r="395">
      <x:c r="A395" t="n">
        <x:v>70</x:v>
      </x:c>
      <x:c r="B395" s="16" t="n">
        <x:v>46235</x:v>
      </x:c>
      <x:c r="C395" t="n">
        <x:v>1</x:v>
      </x:c>
      <x:c r="D395" t="n">
        <x:v>6</x:v>
      </x:c>
      <x:c r="E395" s="18" t="n">
        <x:v>752.38</x:v>
      </x:c>
      <x:c r="F395" s="18" t="n">
        <x:v>0</x:v>
      </x:c>
      <x:c r="G395" s="18" t="n">
        <x:v>3.39</x:v>
      </x:c>
      <x:c r="H395" s="18" t="n">
        <x:v>1.99</x:v>
      </x:c>
      <x:c r="I395" s="18" t="n">
        <x:v>5.38</x:v>
      </x:c>
      <x:c r="J395" t="n">
        <x:f>IF(A395=A394,IFERROR(IF(B395=EDATE(B394,1),C394,0),0),0)</x:f>
        <x:v>1</x:v>
      </x:c>
      <x:c r="K395" t="n">
        <x:f>IF(AND(J395=1,C395=0),1,0)</x:f>
        <x:v>0</x:v>
      </x:c>
      <x:c r="L395" t="str">
        <x:f>IFERROR(INDEX(Customers!$C$2:$C$451,MATCH(A395,Customers!$A$2:$A$451,0)),"Unknown")</x:f>
        <x:v>Standard</x:v>
      </x:c>
    </x:row>
    <x:row r="396">
      <x:c r="A396" t="n">
        <x:v>70</x:v>
      </x:c>
      <x:c r="B396" s="16" t="n">
        <x:v>46266</x:v>
      </x:c>
      <x:c r="C396" t="n">
        <x:v>0</x:v>
      </x:c>
      <x:c r="D396" t="n">
        <x:v>0</x:v>
      </x:c>
      <x:c r="E396" s="18" t="n">
        <x:v>0</x:v>
      </x:c>
      <x:c r="F396" s="18" t="n">
        <x:v>0</x:v>
      </x:c>
      <x:c r="G396" s="18" t="n">
        <x:v>0</x:v>
      </x:c>
      <x:c r="H396" s="18" t="n">
        <x:v>0</x:v>
      </x:c>
      <x:c r="I396" s="18" t="n">
        <x:v>0</x:v>
      </x:c>
      <x:c r="J396" t="n">
        <x:f>IF(A396=A395,IFERROR(IF(B396=EDATE(B395,1),C395,0),0),0)</x:f>
        <x:v>1</x:v>
      </x:c>
      <x:c r="K396" t="n">
        <x:f>IF(AND(J396=1,C396=0),1,0)</x:f>
        <x:v>1</x:v>
      </x:c>
      <x:c r="L396" t="str">
        <x:f>IFERROR(INDEX(Customers!$C$2:$C$451,MATCH(A396,Customers!$A$2:$A$451,0)),"Unknown")</x:f>
        <x:v>Standard</x:v>
      </x:c>
    </x:row>
    <x:row r="397">
      <x:c r="A397" t="n">
        <x:v>71</x:v>
      </x:c>
      <x:c r="B397" s="16" t="n">
        <x:v>46113</x:v>
      </x:c>
      <x:c r="C397" t="n">
        <x:v>0</x:v>
      </x:c>
      <x:c r="D397" t="n">
        <x:v>0</x:v>
      </x:c>
      <x:c r="E397" s="18" t="n">
        <x:v>0</x:v>
      </x:c>
      <x:c r="F397" s="18" t="n">
        <x:v>0</x:v>
      </x:c>
      <x:c r="G397" s="18" t="n">
        <x:v>0</x:v>
      </x:c>
      <x:c r="H397" s="18" t="n">
        <x:v>0</x:v>
      </x:c>
      <x:c r="I397" s="18" t="n">
        <x:v>0</x:v>
      </x:c>
      <x:c r="J397" t="n">
        <x:f>IF(A397=A396,IFERROR(IF(B397=EDATE(B396,1),C396,0),0),0)</x:f>
        <x:v>0</x:v>
      </x:c>
      <x:c r="K397" t="n">
        <x:f>IF(AND(J397=1,C397=0),1,0)</x:f>
        <x:v>0</x:v>
      </x:c>
      <x:c r="L397" t="str">
        <x:f>IFERROR(INDEX(Customers!$C$2:$C$451,MATCH(A397,Customers!$A$2:$A$451,0)),"Unknown")</x:f>
        <x:v>Standard</x:v>
      </x:c>
    </x:row>
    <x:row r="398">
      <x:c r="A398" t="n">
        <x:v>71</x:v>
      </x:c>
      <x:c r="B398" s="16" t="n">
        <x:v>46143</x:v>
      </x:c>
      <x:c r="C398" t="n">
        <x:v>1</x:v>
      </x:c>
      <x:c r="D398" t="n">
        <x:v>22</x:v>
      </x:c>
      <x:c r="E398" s="18" t="n">
        <x:v>2455.75</x:v>
      </x:c>
      <x:c r="F398" s="18" t="n">
        <x:v>0</x:v>
      </x:c>
      <x:c r="G398" s="18" t="n">
        <x:v>11.05</x:v>
      </x:c>
      <x:c r="H398" s="18" t="n">
        <x:v>7.78</x:v>
      </x:c>
      <x:c r="I398" s="18" t="n">
        <x:v>18.83</x:v>
      </x:c>
      <x:c r="J398" t="n">
        <x:f>IF(A398=A397,IFERROR(IF(B398=EDATE(B397,1),C397,0),0),0)</x:f>
        <x:v>0</x:v>
      </x:c>
      <x:c r="K398" t="n">
        <x:f>IF(AND(J398=1,C398=0),1,0)</x:f>
        <x:v>0</x:v>
      </x:c>
      <x:c r="L398" t="str">
        <x:f>IFERROR(INDEX(Customers!$C$2:$C$451,MATCH(A398,Customers!$A$2:$A$451,0)),"Unknown")</x:f>
        <x:v>Standard</x:v>
      </x:c>
    </x:row>
    <x:row r="399">
      <x:c r="A399" t="n">
        <x:v>71</x:v>
      </x:c>
      <x:c r="B399" s="16" t="n">
        <x:v>46174</x:v>
      </x:c>
      <x:c r="C399" t="n">
        <x:v>1</x:v>
      </x:c>
      <x:c r="D399" t="n">
        <x:v>35</x:v>
      </x:c>
      <x:c r="E399" s="18" t="n">
        <x:v>1455.94</x:v>
      </x:c>
      <x:c r="F399" s="18" t="n">
        <x:v>0</x:v>
      </x:c>
      <x:c r="G399" s="18" t="n">
        <x:v>6.55</x:v>
      </x:c>
      <x:c r="H399" s="18" t="n">
        <x:v>2.14</x:v>
      </x:c>
      <x:c r="I399" s="18" t="n">
        <x:v>8.69</x:v>
      </x:c>
      <x:c r="J399" t="n">
        <x:f>IF(A399=A398,IFERROR(IF(B399=EDATE(B398,1),C398,0),0),0)</x:f>
        <x:v>1</x:v>
      </x:c>
      <x:c r="K399" t="n">
        <x:f>IF(AND(J399=1,C399=0),1,0)</x:f>
        <x:v>0</x:v>
      </x:c>
      <x:c r="L399" t="str">
        <x:f>IFERROR(INDEX(Customers!$C$2:$C$451,MATCH(A399,Customers!$A$2:$A$451,0)),"Unknown")</x:f>
        <x:v>Standard</x:v>
      </x:c>
    </x:row>
    <x:row r="400">
      <x:c r="A400" t="n">
        <x:v>71</x:v>
      </x:c>
      <x:c r="B400" s="16" t="n">
        <x:v>46204</x:v>
      </x:c>
      <x:c r="C400" t="n">
        <x:v>1</x:v>
      </x:c>
      <x:c r="D400" t="n">
        <x:v>24</x:v>
      </x:c>
      <x:c r="E400" s="18" t="n">
        <x:v>2079.56</x:v>
      </x:c>
      <x:c r="F400" s="18" t="n">
        <x:v>0</x:v>
      </x:c>
      <x:c r="G400" s="18" t="n">
        <x:v>9.36</x:v>
      </x:c>
      <x:c r="H400" s="18" t="n">
        <x:v>7.84</x:v>
      </x:c>
      <x:c r="I400" s="18" t="n">
        <x:v>17.2</x:v>
      </x:c>
      <x:c r="J400" t="n">
        <x:f>IF(A400=A399,IFERROR(IF(B400=EDATE(B399,1),C399,0),0),0)</x:f>
        <x:v>1</x:v>
      </x:c>
      <x:c r="K400" t="n">
        <x:f>IF(AND(J400=1,C400=0),1,0)</x:f>
        <x:v>0</x:v>
      </x:c>
      <x:c r="L400" t="str">
        <x:f>IFERROR(INDEX(Customers!$C$2:$C$451,MATCH(A400,Customers!$A$2:$A$451,0)),"Unknown")</x:f>
        <x:v>Standard</x:v>
      </x:c>
    </x:row>
    <x:row r="401">
      <x:c r="A401" t="n">
        <x:v>71</x:v>
      </x:c>
      <x:c r="B401" s="16" t="n">
        <x:v>46235</x:v>
      </x:c>
      <x:c r="C401" t="n">
        <x:v>1</x:v>
      </x:c>
      <x:c r="D401" t="n">
        <x:v>5</x:v>
      </x:c>
      <x:c r="E401" s="18" t="n">
        <x:v>572.32</x:v>
      </x:c>
      <x:c r="F401" s="18" t="n">
        <x:v>0</x:v>
      </x:c>
      <x:c r="G401" s="18" t="n">
        <x:v>2.58</x:v>
      </x:c>
      <x:c r="H401" s="18" t="n">
        <x:v>2.01</x:v>
      </x:c>
      <x:c r="I401" s="18" t="n">
        <x:v>4.59</x:v>
      </x:c>
      <x:c r="J401" t="n">
        <x:f>IF(A401=A400,IFERROR(IF(B401=EDATE(B400,1),C400,0),0),0)</x:f>
        <x:v>1</x:v>
      </x:c>
      <x:c r="K401" t="n">
        <x:f>IF(AND(J401=1,C401=0),1,0)</x:f>
        <x:v>0</x:v>
      </x:c>
      <x:c r="L401" t="str">
        <x:f>IFERROR(INDEX(Customers!$C$2:$C$451,MATCH(A401,Customers!$A$2:$A$451,0)),"Unknown")</x:f>
        <x:v>Standard</x:v>
      </x:c>
    </x:row>
    <x:row r="402">
      <x:c r="A402" t="n">
        <x:v>71</x:v>
      </x:c>
      <x:c r="B402" s="16" t="n">
        <x:v>46266</x:v>
      </x:c>
      <x:c r="C402" t="n">
        <x:v>1</x:v>
      </x:c>
      <x:c r="D402" t="n">
        <x:v>32</x:v>
      </x:c>
      <x:c r="E402" s="18" t="n">
        <x:v>3291.21</x:v>
      </x:c>
      <x:c r="F402" s="18" t="n">
        <x:v>0</x:v>
      </x:c>
      <x:c r="G402" s="18" t="n">
        <x:v>14.81</x:v>
      </x:c>
      <x:c r="H402" s="18" t="n">
        <x:v>12.29</x:v>
      </x:c>
      <x:c r="I402" s="18" t="n">
        <x:v>27.1</x:v>
      </x:c>
      <x:c r="J402" t="n">
        <x:f>IF(A402=A401,IFERROR(IF(B402=EDATE(B401,1),C401,0),0),0)</x:f>
        <x:v>1</x:v>
      </x:c>
      <x:c r="K402" t="n">
        <x:f>IF(AND(J402=1,C402=0),1,0)</x:f>
        <x:v>0</x:v>
      </x:c>
      <x:c r="L402" t="str">
        <x:f>IFERROR(INDEX(Customers!$C$2:$C$451,MATCH(A402,Customers!$A$2:$A$451,0)),"Unknown")</x:f>
        <x:v>Standard</x:v>
      </x:c>
    </x:row>
    <x:row r="403">
      <x:c r="A403" t="n">
        <x:v>72</x:v>
      </x:c>
      <x:c r="B403" s="16" t="n">
        <x:v>46174</x:v>
      </x:c>
      <x:c r="C403" t="n">
        <x:v>1</x:v>
      </x:c>
      <x:c r="D403" t="n">
        <x:v>18</x:v>
      </x:c>
      <x:c r="E403" s="18" t="n">
        <x:v>792.78</x:v>
      </x:c>
      <x:c r="F403" s="18" t="n">
        <x:v>8</x:v>
      </x:c>
      <x:c r="G403" s="18" t="n">
        <x:v>3.57</x:v>
      </x:c>
      <x:c r="H403" s="18" t="n">
        <x:v>2.75</x:v>
      </x:c>
      <x:c r="I403" s="18" t="n">
        <x:v>14.32</x:v>
      </x:c>
      <x:c r="J403" t="n">
        <x:f>IF(A403=A402,IFERROR(IF(B403=EDATE(B402,1),C402,0),0),0)</x:f>
        <x:v>0</x:v>
      </x:c>
      <x:c r="K403" t="n">
        <x:f>IF(AND(J403=1,C403=0),1,0)</x:f>
        <x:v>0</x:v>
      </x:c>
      <x:c r="L403" t="str">
        <x:f>IFERROR(INDEX(Customers!$C$2:$C$451,MATCH(A403,Customers!$A$2:$A$451,0)),"Unknown")</x:f>
        <x:v>Plus</x:v>
      </x:c>
    </x:row>
    <x:row r="404">
      <x:c r="A404" t="n">
        <x:v>72</x:v>
      </x:c>
      <x:c r="B404" s="16" t="n">
        <x:v>46204</x:v>
      </x:c>
      <x:c r="C404" t="n">
        <x:v>0</x:v>
      </x:c>
      <x:c r="D404" t="n">
        <x:v>0</x:v>
      </x:c>
      <x:c r="E404" s="18" t="n">
        <x:v>0</x:v>
      </x:c>
      <x:c r="F404" s="18" t="n">
        <x:v>0</x:v>
      </x:c>
      <x:c r="G404" s="18" t="n">
        <x:v>0</x:v>
      </x:c>
      <x:c r="H404" s="18" t="n">
        <x:v>0</x:v>
      </x:c>
      <x:c r="I404" s="18" t="n">
        <x:v>0</x:v>
      </x:c>
      <x:c r="J404" t="n">
        <x:f>IF(A404=A403,IFERROR(IF(B404=EDATE(B403,1),C403,0),0),0)</x:f>
        <x:v>1</x:v>
      </x:c>
      <x:c r="K404" t="n">
        <x:f>IF(AND(J404=1,C404=0),1,0)</x:f>
        <x:v>1</x:v>
      </x:c>
      <x:c r="L404" t="str">
        <x:f>IFERROR(INDEX(Customers!$C$2:$C$451,MATCH(A404,Customers!$A$2:$A$451,0)),"Unknown")</x:f>
        <x:v>Plus</x:v>
      </x:c>
    </x:row>
    <x:row r="405">
      <x:c r="A405" t="n">
        <x:v>72</x:v>
      </x:c>
      <x:c r="B405" s="16" t="n">
        <x:v>46235</x:v>
      </x:c>
      <x:c r="C405" t="n">
        <x:v>1</x:v>
      </x:c>
      <x:c r="D405" t="n">
        <x:v>21</x:v>
      </x:c>
      <x:c r="E405" s="18" t="n">
        <x:v>2290.51</x:v>
      </x:c>
      <x:c r="F405" s="18" t="n">
        <x:v>8</x:v>
      </x:c>
      <x:c r="G405" s="18" t="n">
        <x:v>10.31</x:v>
      </x:c>
      <x:c r="H405" s="18" t="n">
        <x:v>5.61</x:v>
      </x:c>
      <x:c r="I405" s="18" t="n">
        <x:v>23.92</x:v>
      </x:c>
      <x:c r="J405" t="n">
        <x:f>IF(A405=A404,IFERROR(IF(B405=EDATE(B404,1),C404,0),0),0)</x:f>
        <x:v>0</x:v>
      </x:c>
      <x:c r="K405" t="n">
        <x:f>IF(AND(J405=1,C405=0),1,0)</x:f>
        <x:v>0</x:v>
      </x:c>
      <x:c r="L405" t="str">
        <x:f>IFERROR(INDEX(Customers!$C$2:$C$451,MATCH(A405,Customers!$A$2:$A$451,0)),"Unknown")</x:f>
        <x:v>Plus</x:v>
      </x:c>
    </x:row>
    <x:row r="406">
      <x:c r="A406" t="n">
        <x:v>72</x:v>
      </x:c>
      <x:c r="B406" s="16" t="n">
        <x:v>46266</x:v>
      </x:c>
      <x:c r="C406" t="n">
        <x:v>0</x:v>
      </x:c>
      <x:c r="D406" t="n">
        <x:v>0</x:v>
      </x:c>
      <x:c r="E406" s="18" t="n">
        <x:v>0</x:v>
      </x:c>
      <x:c r="F406" s="18" t="n">
        <x:v>0</x:v>
      </x:c>
      <x:c r="G406" s="18" t="n">
        <x:v>0</x:v>
      </x:c>
      <x:c r="H406" s="18" t="n">
        <x:v>0</x:v>
      </x:c>
      <x:c r="I406" s="18" t="n">
        <x:v>0</x:v>
      </x:c>
      <x:c r="J406" t="n">
        <x:f>IF(A406=A405,IFERROR(IF(B406=EDATE(B405,1),C405,0),0),0)</x:f>
        <x:v>1</x:v>
      </x:c>
      <x:c r="K406" t="n">
        <x:f>IF(AND(J406=1,C406=0),1,0)</x:f>
        <x:v>1</x:v>
      </x:c>
      <x:c r="L406" t="str">
        <x:f>IFERROR(INDEX(Customers!$C$2:$C$451,MATCH(A406,Customers!$A$2:$A$451,0)),"Unknown")</x:f>
        <x:v>Plus</x:v>
      </x:c>
    </x:row>
    <x:row r="407">
      <x:c r="A407" t="n">
        <x:v>73</x:v>
      </x:c>
      <x:c r="B407" s="16" t="n">
        <x:v>46113</x:v>
      </x:c>
      <x:c r="C407" t="n">
        <x:v>0</x:v>
      </x:c>
      <x:c r="D407" t="n">
        <x:v>0</x:v>
      </x:c>
      <x:c r="E407" s="18" t="n">
        <x:v>0</x:v>
      </x:c>
      <x:c r="F407" s="18" t="n">
        <x:v>0</x:v>
      </x:c>
      <x:c r="G407" s="18" t="n">
        <x:v>0</x:v>
      </x:c>
      <x:c r="H407" s="18" t="n">
        <x:v>0</x:v>
      </x:c>
      <x:c r="I407" s="18" t="n">
        <x:v>0</x:v>
      </x:c>
      <x:c r="J407" t="n">
        <x:f>IF(A407=A406,IFERROR(IF(B407=EDATE(B406,1),C406,0),0),0)</x:f>
        <x:v>0</x:v>
      </x:c>
      <x:c r="K407" t="n">
        <x:f>IF(AND(J407=1,C407=0),1,0)</x:f>
        <x:v>0</x:v>
      </x:c>
      <x:c r="L407" t="str">
        <x:f>IFERROR(INDEX(Customers!$C$2:$C$451,MATCH(A407,Customers!$A$2:$A$451,0)),"Unknown")</x:f>
        <x:v>Premium</x:v>
      </x:c>
    </x:row>
    <x:row r="408">
      <x:c r="A408" t="n">
        <x:v>73</x:v>
      </x:c>
      <x:c r="B408" s="16" t="n">
        <x:v>46143</x:v>
      </x:c>
      <x:c r="C408" t="n">
        <x:v>1</x:v>
      </x:c>
      <x:c r="D408" t="n">
        <x:v>31</x:v>
      </x:c>
      <x:c r="E408" s="18" t="n">
        <x:v>2289.18</x:v>
      </x:c>
      <x:c r="F408" s="18" t="n">
        <x:v>17</x:v>
      </x:c>
      <x:c r="G408" s="18" t="n">
        <x:v>10.3</x:v>
      </x:c>
      <x:c r="H408" s="18" t="n">
        <x:v>2.37</x:v>
      </x:c>
      <x:c r="I408" s="18" t="n">
        <x:v>29.67</x:v>
      </x:c>
      <x:c r="J408" t="n">
        <x:f>IF(A408=A407,IFERROR(IF(B408=EDATE(B407,1),C407,0),0),0)</x:f>
        <x:v>0</x:v>
      </x:c>
      <x:c r="K408" t="n">
        <x:f>IF(AND(J408=1,C408=0),1,0)</x:f>
        <x:v>0</x:v>
      </x:c>
      <x:c r="L408" t="str">
        <x:f>IFERROR(INDEX(Customers!$C$2:$C$451,MATCH(A408,Customers!$A$2:$A$451,0)),"Unknown")</x:f>
        <x:v>Premium</x:v>
      </x:c>
    </x:row>
    <x:row r="409">
      <x:c r="A409" t="n">
        <x:v>73</x:v>
      </x:c>
      <x:c r="B409" s="16" t="n">
        <x:v>46174</x:v>
      </x:c>
      <x:c r="C409" t="n">
        <x:v>1</x:v>
      </x:c>
      <x:c r="D409" t="n">
        <x:v>5</x:v>
      </x:c>
      <x:c r="E409" s="18" t="n">
        <x:v>581.12</x:v>
      </x:c>
      <x:c r="F409" s="18" t="n">
        <x:v>17</x:v>
      </x:c>
      <x:c r="G409" s="18" t="n">
        <x:v>2.62</x:v>
      </x:c>
      <x:c r="H409" s="18" t="n">
        <x:v>1.82</x:v>
      </x:c>
      <x:c r="I409" s="18" t="n">
        <x:v>21.44</x:v>
      </x:c>
      <x:c r="J409" t="n">
        <x:f>IF(A409=A408,IFERROR(IF(B409=EDATE(B408,1),C408,0),0),0)</x:f>
        <x:v>1</x:v>
      </x:c>
      <x:c r="K409" t="n">
        <x:f>IF(AND(J409=1,C409=0),1,0)</x:f>
        <x:v>0</x:v>
      </x:c>
      <x:c r="L409" t="str">
        <x:f>IFERROR(INDEX(Customers!$C$2:$C$451,MATCH(A409,Customers!$A$2:$A$451,0)),"Unknown")</x:f>
        <x:v>Premium</x:v>
      </x:c>
    </x:row>
    <x:row r="410">
      <x:c r="A410" t="n">
        <x:v>73</x:v>
      </x:c>
      <x:c r="B410" s="16" t="n">
        <x:v>46204</x:v>
      </x:c>
      <x:c r="C410" t="n">
        <x:v>1</x:v>
      </x:c>
      <x:c r="D410" t="n">
        <x:v>5</x:v>
      </x:c>
      <x:c r="E410" s="18" t="n">
        <x:v>537.66</x:v>
      </x:c>
      <x:c r="F410" s="18" t="n">
        <x:v>17</x:v>
      </x:c>
      <x:c r="G410" s="18" t="n">
        <x:v>2.42</x:v>
      </x:c>
      <x:c r="H410" s="18" t="n">
        <x:v>0.7</x:v>
      </x:c>
      <x:c r="I410" s="18" t="n">
        <x:v>20.12</x:v>
      </x:c>
      <x:c r="J410" t="n">
        <x:f>IF(A410=A409,IFERROR(IF(B410=EDATE(B409,1),C409,0),0),0)</x:f>
        <x:v>1</x:v>
      </x:c>
      <x:c r="K410" t="n">
        <x:f>IF(AND(J410=1,C410=0),1,0)</x:f>
        <x:v>0</x:v>
      </x:c>
      <x:c r="L410" t="str">
        <x:f>IFERROR(INDEX(Customers!$C$2:$C$451,MATCH(A410,Customers!$A$2:$A$451,0)),"Unknown")</x:f>
        <x:v>Premium</x:v>
      </x:c>
    </x:row>
    <x:row r="411">
      <x:c r="A411" t="n">
        <x:v>73</x:v>
      </x:c>
      <x:c r="B411" s="16" t="n">
        <x:v>46235</x:v>
      </x:c>
      <x:c r="C411" t="n">
        <x:v>1</x:v>
      </x:c>
      <x:c r="D411" t="n">
        <x:v>29</x:v>
      </x:c>
      <x:c r="E411" s="18" t="n">
        <x:v>1804.43</x:v>
      </x:c>
      <x:c r="F411" s="18" t="n">
        <x:v>17</x:v>
      </x:c>
      <x:c r="G411" s="18" t="n">
        <x:v>8.12</x:v>
      </x:c>
      <x:c r="H411" s="18" t="n">
        <x:v>6.12</x:v>
      </x:c>
      <x:c r="I411" s="18" t="n">
        <x:v>31.24</x:v>
      </x:c>
      <x:c r="J411" t="n">
        <x:f>IF(A411=A410,IFERROR(IF(B411=EDATE(B410,1),C410,0),0),0)</x:f>
        <x:v>1</x:v>
      </x:c>
      <x:c r="K411" t="n">
        <x:f>IF(AND(J411=1,C411=0),1,0)</x:f>
        <x:v>0</x:v>
      </x:c>
      <x:c r="L411" t="str">
        <x:f>IFERROR(INDEX(Customers!$C$2:$C$451,MATCH(A411,Customers!$A$2:$A$451,0)),"Unknown")</x:f>
        <x:v>Premium</x:v>
      </x:c>
    </x:row>
    <x:row r="412">
      <x:c r="A412" t="n">
        <x:v>73</x:v>
      </x:c>
      <x:c r="B412" s="16" t="n">
        <x:v>46266</x:v>
      </x:c>
      <x:c r="C412" t="n">
        <x:v>1</x:v>
      </x:c>
      <x:c r="D412" t="n">
        <x:v>26</x:v>
      </x:c>
      <x:c r="E412" s="18" t="n">
        <x:v>1209.61</x:v>
      </x:c>
      <x:c r="F412" s="18" t="n">
        <x:v>17</x:v>
      </x:c>
      <x:c r="G412" s="18" t="n">
        <x:v>5.44</x:v>
      </x:c>
      <x:c r="H412" s="18" t="n">
        <x:v>2.48</x:v>
      </x:c>
      <x:c r="I412" s="18" t="n">
        <x:v>24.92</x:v>
      </x:c>
      <x:c r="J412" t="n">
        <x:f>IF(A412=A411,IFERROR(IF(B412=EDATE(B411,1),C411,0),0),0)</x:f>
        <x:v>1</x:v>
      </x:c>
      <x:c r="K412" t="n">
        <x:f>IF(AND(J412=1,C412=0),1,0)</x:f>
        <x:v>0</x:v>
      </x:c>
      <x:c r="L412" t="str">
        <x:f>IFERROR(INDEX(Customers!$C$2:$C$451,MATCH(A412,Customers!$A$2:$A$451,0)),"Unknown")</x:f>
        <x:v>Premium</x:v>
      </x:c>
    </x:row>
    <x:row r="413">
      <x:c r="A413" t="n">
        <x:v>74</x:v>
      </x:c>
      <x:c r="B413" s="16" t="n">
        <x:v>46143</x:v>
      </x:c>
      <x:c r="C413" t="n">
        <x:v>0</x:v>
      </x:c>
      <x:c r="D413" t="n">
        <x:v>0</x:v>
      </x:c>
      <x:c r="E413" s="18" t="n">
        <x:v>0</x:v>
      </x:c>
      <x:c r="F413" s="18" t="n">
        <x:v>0</x:v>
      </x:c>
      <x:c r="G413" s="18" t="n">
        <x:v>0</x:v>
      </x:c>
      <x:c r="H413" s="18" t="n">
        <x:v>0</x:v>
      </x:c>
      <x:c r="I413" s="18" t="n">
        <x:v>0</x:v>
      </x:c>
      <x:c r="J413" t="n">
        <x:f>IF(A413=A412,IFERROR(IF(B413=EDATE(B412,1),C412,0),0),0)</x:f>
        <x:v>0</x:v>
      </x:c>
      <x:c r="K413" t="n">
        <x:f>IF(AND(J413=1,C413=0),1,0)</x:f>
        <x:v>0</x:v>
      </x:c>
      <x:c r="L413" t="str">
        <x:f>IFERROR(INDEX(Customers!$C$2:$C$451,MATCH(A413,Customers!$A$2:$A$451,0)),"Unknown")</x:f>
        <x:v>Standard</x:v>
      </x:c>
    </x:row>
    <x:row r="414">
      <x:c r="A414" t="n">
        <x:v>74</x:v>
      </x:c>
      <x:c r="B414" s="16" t="n">
        <x:v>46174</x:v>
      </x:c>
      <x:c r="C414" t="n">
        <x:v>1</x:v>
      </x:c>
      <x:c r="D414" t="n">
        <x:v>13</x:v>
      </x:c>
      <x:c r="E414" s="18" t="n">
        <x:v>1185.56</x:v>
      </x:c>
      <x:c r="F414" s="18" t="n">
        <x:v>0</x:v>
      </x:c>
      <x:c r="G414" s="18" t="n">
        <x:v>5.34</x:v>
      </x:c>
      <x:c r="H414" s="18" t="n">
        <x:v>2.48</x:v>
      </x:c>
      <x:c r="I414" s="18" t="n">
        <x:v>7.82</x:v>
      </x:c>
      <x:c r="J414" t="n">
        <x:f>IF(A414=A413,IFERROR(IF(B414=EDATE(B413,1),C413,0),0),0)</x:f>
        <x:v>0</x:v>
      </x:c>
      <x:c r="K414" t="n">
        <x:f>IF(AND(J414=1,C414=0),1,0)</x:f>
        <x:v>0</x:v>
      </x:c>
      <x:c r="L414" t="str">
        <x:f>IFERROR(INDEX(Customers!$C$2:$C$451,MATCH(A414,Customers!$A$2:$A$451,0)),"Unknown")</x:f>
        <x:v>Standard</x:v>
      </x:c>
    </x:row>
    <x:row r="415">
      <x:c r="A415" t="n">
        <x:v>74</x:v>
      </x:c>
      <x:c r="B415" s="16" t="n">
        <x:v>46204</x:v>
      </x:c>
      <x:c r="C415" t="n">
        <x:v>1</x:v>
      </x:c>
      <x:c r="D415" t="n">
        <x:v>6</x:v>
      </x:c>
      <x:c r="E415" s="18" t="n">
        <x:v>357.38</x:v>
      </x:c>
      <x:c r="F415" s="18" t="n">
        <x:v>0</x:v>
      </x:c>
      <x:c r="G415" s="18" t="n">
        <x:v>1.61</x:v>
      </x:c>
      <x:c r="H415" s="18" t="n">
        <x:v>1.03</x:v>
      </x:c>
      <x:c r="I415" s="18" t="n">
        <x:v>2.64</x:v>
      </x:c>
      <x:c r="J415" t="n">
        <x:f>IF(A415=A414,IFERROR(IF(B415=EDATE(B414,1),C414,0),0),0)</x:f>
        <x:v>1</x:v>
      </x:c>
      <x:c r="K415" t="n">
        <x:f>IF(AND(J415=1,C415=0),1,0)</x:f>
        <x:v>0</x:v>
      </x:c>
      <x:c r="L415" t="str">
        <x:f>IFERROR(INDEX(Customers!$C$2:$C$451,MATCH(A415,Customers!$A$2:$A$451,0)),"Unknown")</x:f>
        <x:v>Standard</x:v>
      </x:c>
    </x:row>
    <x:row r="416">
      <x:c r="A416" t="n">
        <x:v>74</x:v>
      </x:c>
      <x:c r="B416" s="16" t="n">
        <x:v>46235</x:v>
      </x:c>
      <x:c r="C416" t="n">
        <x:v>1</x:v>
      </x:c>
      <x:c r="D416" t="n">
        <x:v>23</x:v>
      </x:c>
      <x:c r="E416" s="18" t="n">
        <x:v>2457.87</x:v>
      </x:c>
      <x:c r="F416" s="18" t="n">
        <x:v>0</x:v>
      </x:c>
      <x:c r="G416" s="18" t="n">
        <x:v>11.06</x:v>
      </x:c>
      <x:c r="H416" s="18" t="n">
        <x:v>9.31</x:v>
      </x:c>
      <x:c r="I416" s="18" t="n">
        <x:v>20.37</x:v>
      </x:c>
      <x:c r="J416" t="n">
        <x:f>IF(A416=A415,IFERROR(IF(B416=EDATE(B415,1),C415,0),0),0)</x:f>
        <x:v>1</x:v>
      </x:c>
      <x:c r="K416" t="n">
        <x:f>IF(AND(J416=1,C416=0),1,0)</x:f>
        <x:v>0</x:v>
      </x:c>
      <x:c r="L416" t="str">
        <x:f>IFERROR(INDEX(Customers!$C$2:$C$451,MATCH(A416,Customers!$A$2:$A$451,0)),"Unknown")</x:f>
        <x:v>Standard</x:v>
      </x:c>
    </x:row>
    <x:row r="417">
      <x:c r="A417" t="n">
        <x:v>74</x:v>
      </x:c>
      <x:c r="B417" s="16" t="n">
        <x:v>46266</x:v>
      </x:c>
      <x:c r="C417" t="n">
        <x:v>0</x:v>
      </x:c>
      <x:c r="D417" t="n">
        <x:v>0</x:v>
      </x:c>
      <x:c r="E417" s="18" t="n">
        <x:v>0</x:v>
      </x:c>
      <x:c r="F417" s="18" t="n">
        <x:v>0</x:v>
      </x:c>
      <x:c r="G417" s="18" t="n">
        <x:v>0</x:v>
      </x:c>
      <x:c r="H417" s="18" t="n">
        <x:v>0</x:v>
      </x:c>
      <x:c r="I417" s="18" t="n">
        <x:v>0</x:v>
      </x:c>
      <x:c r="J417" t="n">
        <x:f>IF(A417=A416,IFERROR(IF(B417=EDATE(B416,1),C416,0),0),0)</x:f>
        <x:v>1</x:v>
      </x:c>
      <x:c r="K417" t="n">
        <x:f>IF(AND(J417=1,C417=0),1,0)</x:f>
        <x:v>1</x:v>
      </x:c>
      <x:c r="L417" t="str">
        <x:f>IFERROR(INDEX(Customers!$C$2:$C$451,MATCH(A417,Customers!$A$2:$A$451,0)),"Unknown")</x:f>
        <x:v>Standard</x:v>
      </x:c>
    </x:row>
    <x:row r="418">
      <x:c r="A418" t="n">
        <x:v>75</x:v>
      </x:c>
      <x:c r="B418" s="16" t="n">
        <x:v>46113</x:v>
      </x:c>
      <x:c r="C418" t="n">
        <x:v>1</x:v>
      </x:c>
      <x:c r="D418" t="n">
        <x:v>26</x:v>
      </x:c>
      <x:c r="E418" s="18" t="n">
        <x:v>1845.75</x:v>
      </x:c>
      <x:c r="F418" s="18" t="n">
        <x:v>8</x:v>
      </x:c>
      <x:c r="G418" s="18" t="n">
        <x:v>8.31</x:v>
      </x:c>
      <x:c r="H418" s="18" t="n">
        <x:v>5.27</x:v>
      </x:c>
      <x:c r="I418" s="18" t="n">
        <x:v>21.58</x:v>
      </x:c>
      <x:c r="J418" t="n">
        <x:f>IF(A418=A417,IFERROR(IF(B418=EDATE(B417,1),C417,0),0),0)</x:f>
        <x:v>0</x:v>
      </x:c>
      <x:c r="K418" t="n">
        <x:f>IF(AND(J418=1,C418=0),1,0)</x:f>
        <x:v>0</x:v>
      </x:c>
      <x:c r="L418" t="str">
        <x:f>IFERROR(INDEX(Customers!$C$2:$C$451,MATCH(A418,Customers!$A$2:$A$451,0)),"Unknown")</x:f>
        <x:v>Plus</x:v>
      </x:c>
    </x:row>
    <x:row r="419">
      <x:c r="A419" t="n">
        <x:v>75</x:v>
      </x:c>
      <x:c r="B419" s="16" t="n">
        <x:v>46143</x:v>
      </x:c>
      <x:c r="C419" t="n">
        <x:v>1</x:v>
      </x:c>
      <x:c r="D419" t="n">
        <x:v>16</x:v>
      </x:c>
      <x:c r="E419" s="18" t="n">
        <x:v>942.3</x:v>
      </x:c>
      <x:c r="F419" s="18" t="n">
        <x:v>8</x:v>
      </x:c>
      <x:c r="G419" s="18" t="n">
        <x:v>4.24</x:v>
      </x:c>
      <x:c r="H419" s="18" t="n">
        <x:v>2.86</x:v>
      </x:c>
      <x:c r="I419" s="18" t="n">
        <x:v>15.1</x:v>
      </x:c>
      <x:c r="J419" t="n">
        <x:f>IF(A419=A418,IFERROR(IF(B419=EDATE(B418,1),C418,0),0),0)</x:f>
        <x:v>1</x:v>
      </x:c>
      <x:c r="K419" t="n">
        <x:f>IF(AND(J419=1,C419=0),1,0)</x:f>
        <x:v>0</x:v>
      </x:c>
      <x:c r="L419" t="str">
        <x:f>IFERROR(INDEX(Customers!$C$2:$C$451,MATCH(A419,Customers!$A$2:$A$451,0)),"Unknown")</x:f>
        <x:v>Plus</x:v>
      </x:c>
    </x:row>
    <x:row r="420">
      <x:c r="A420" t="n">
        <x:v>75</x:v>
      </x:c>
      <x:c r="B420" s="16" t="n">
        <x:v>46174</x:v>
      </x:c>
      <x:c r="C420" t="n">
        <x:v>0</x:v>
      </x:c>
      <x:c r="D420" t="n">
        <x:v>0</x:v>
      </x:c>
      <x:c r="E420" s="18" t="n">
        <x:v>0</x:v>
      </x:c>
      <x:c r="F420" s="18" t="n">
        <x:v>0</x:v>
      </x:c>
      <x:c r="G420" s="18" t="n">
        <x:v>0</x:v>
      </x:c>
      <x:c r="H420" s="18" t="n">
        <x:v>0</x:v>
      </x:c>
      <x:c r="I420" s="18" t="n">
        <x:v>0</x:v>
      </x:c>
      <x:c r="J420" t="n">
        <x:f>IF(A420=A419,IFERROR(IF(B420=EDATE(B419,1),C419,0),0),0)</x:f>
        <x:v>1</x:v>
      </x:c>
      <x:c r="K420" t="n">
        <x:f>IF(AND(J420=1,C420=0),1,0)</x:f>
        <x:v>1</x:v>
      </x:c>
      <x:c r="L420" t="str">
        <x:f>IFERROR(INDEX(Customers!$C$2:$C$451,MATCH(A420,Customers!$A$2:$A$451,0)),"Unknown")</x:f>
        <x:v>Plus</x:v>
      </x:c>
    </x:row>
    <x:row r="421">
      <x:c r="A421" t="n">
        <x:v>75</x:v>
      </x:c>
      <x:c r="B421" s="16" t="n">
        <x:v>46204</x:v>
      </x:c>
      <x:c r="C421" t="n">
        <x:v>1</x:v>
      </x:c>
      <x:c r="D421" t="n">
        <x:v>9</x:v>
      </x:c>
      <x:c r="E421" s="18" t="n">
        <x:v>852.66</x:v>
      </x:c>
      <x:c r="F421" s="18" t="n">
        <x:v>8</x:v>
      </x:c>
      <x:c r="G421" s="18" t="n">
        <x:v>3.84</x:v>
      </x:c>
      <x:c r="H421" s="18" t="n">
        <x:v>0.72</x:v>
      </x:c>
      <x:c r="I421" s="18" t="n">
        <x:v>12.56</x:v>
      </x:c>
      <x:c r="J421" t="n">
        <x:f>IF(A421=A420,IFERROR(IF(B421=EDATE(B420,1),C420,0),0),0)</x:f>
        <x:v>0</x:v>
      </x:c>
      <x:c r="K421" t="n">
        <x:f>IF(AND(J421=1,C421=0),1,0)</x:f>
        <x:v>0</x:v>
      </x:c>
      <x:c r="L421" t="str">
        <x:f>IFERROR(INDEX(Customers!$C$2:$C$451,MATCH(A421,Customers!$A$2:$A$451,0)),"Unknown")</x:f>
        <x:v>Plus</x:v>
      </x:c>
    </x:row>
    <x:row r="422">
      <x:c r="A422" t="n">
        <x:v>75</x:v>
      </x:c>
      <x:c r="B422" s="16" t="n">
        <x:v>46235</x:v>
      </x:c>
      <x:c r="C422" t="n">
        <x:v>1</x:v>
      </x:c>
      <x:c r="D422" t="n">
        <x:v>6</x:v>
      </x:c>
      <x:c r="E422" s="18" t="n">
        <x:v>620.71</x:v>
      </x:c>
      <x:c r="F422" s="18" t="n">
        <x:v>8</x:v>
      </x:c>
      <x:c r="G422" s="18" t="n">
        <x:v>2.79</x:v>
      </x:c>
      <x:c r="H422" s="18" t="n">
        <x:v>1.72</x:v>
      </x:c>
      <x:c r="I422" s="18" t="n">
        <x:v>12.51</x:v>
      </x:c>
      <x:c r="J422" t="n">
        <x:f>IF(A422=A421,IFERROR(IF(B422=EDATE(B421,1),C421,0),0),0)</x:f>
        <x:v>1</x:v>
      </x:c>
      <x:c r="K422" t="n">
        <x:f>IF(AND(J422=1,C422=0),1,0)</x:f>
        <x:v>0</x:v>
      </x:c>
      <x:c r="L422" t="str">
        <x:f>IFERROR(INDEX(Customers!$C$2:$C$451,MATCH(A422,Customers!$A$2:$A$451,0)),"Unknown")</x:f>
        <x:v>Plus</x:v>
      </x:c>
    </x:row>
    <x:row r="423">
      <x:c r="A423" t="n">
        <x:v>75</x:v>
      </x:c>
      <x:c r="B423" s="16" t="n">
        <x:v>46266</x:v>
      </x:c>
      <x:c r="C423" t="n">
        <x:v>0</x:v>
      </x:c>
      <x:c r="D423" t="n">
        <x:v>0</x:v>
      </x:c>
      <x:c r="E423" s="18" t="n">
        <x:v>0</x:v>
      </x:c>
      <x:c r="F423" s="18" t="n">
        <x:v>0</x:v>
      </x:c>
      <x:c r="G423" s="18" t="n">
        <x:v>0</x:v>
      </x:c>
      <x:c r="H423" s="18" t="n">
        <x:v>0</x:v>
      </x:c>
      <x:c r="I423" s="18" t="n">
        <x:v>0</x:v>
      </x:c>
      <x:c r="J423" t="n">
        <x:f>IF(A423=A422,IFERROR(IF(B423=EDATE(B422,1),C422,0),0),0)</x:f>
        <x:v>1</x:v>
      </x:c>
      <x:c r="K423" t="n">
        <x:f>IF(AND(J423=1,C423=0),1,0)</x:f>
        <x:v>1</x:v>
      </x:c>
      <x:c r="L423" t="str">
        <x:f>IFERROR(INDEX(Customers!$C$2:$C$451,MATCH(A423,Customers!$A$2:$A$451,0)),"Unknown")</x:f>
        <x:v>Plus</x:v>
      </x:c>
    </x:row>
    <x:row r="424">
      <x:c r="A424" t="n">
        <x:v>76</x:v>
      </x:c>
      <x:c r="B424" s="16" t="n">
        <x:v>46113</x:v>
      </x:c>
      <x:c r="C424" t="n">
        <x:v>1</x:v>
      </x:c>
      <x:c r="D424" t="n">
        <x:v>26</x:v>
      </x:c>
      <x:c r="E424" s="18" t="n">
        <x:v>2321.64</x:v>
      </x:c>
      <x:c r="F424" s="18" t="n">
        <x:v>17</x:v>
      </x:c>
      <x:c r="G424" s="18" t="n">
        <x:v>10.45</x:v>
      </x:c>
      <x:c r="H424" s="18" t="n">
        <x:v>6.63</x:v>
      </x:c>
      <x:c r="I424" s="18" t="n">
        <x:v>34.08</x:v>
      </x:c>
      <x:c r="J424" t="n">
        <x:f>IF(A424=A423,IFERROR(IF(B424=EDATE(B423,1),C423,0),0),0)</x:f>
        <x:v>0</x:v>
      </x:c>
      <x:c r="K424" t="n">
        <x:f>IF(AND(J424=1,C424=0),1,0)</x:f>
        <x:v>0</x:v>
      </x:c>
      <x:c r="L424" t="str">
        <x:f>IFERROR(INDEX(Customers!$C$2:$C$451,MATCH(A424,Customers!$A$2:$A$451,0)),"Unknown")</x:f>
        <x:v>Premium</x:v>
      </x:c>
    </x:row>
    <x:row r="425">
      <x:c r="A425" t="n">
        <x:v>76</x:v>
      </x:c>
      <x:c r="B425" s="16" t="n">
        <x:v>46143</x:v>
      </x:c>
      <x:c r="C425" t="n">
        <x:v>1</x:v>
      </x:c>
      <x:c r="D425" t="n">
        <x:v>6</x:v>
      </x:c>
      <x:c r="E425" s="18" t="n">
        <x:v>624.31</x:v>
      </x:c>
      <x:c r="F425" s="18" t="n">
        <x:v>17</x:v>
      </x:c>
      <x:c r="G425" s="18" t="n">
        <x:v>2.81</x:v>
      </x:c>
      <x:c r="H425" s="18" t="n">
        <x:v>1.48</x:v>
      </x:c>
      <x:c r="I425" s="18" t="n">
        <x:v>21.29</x:v>
      </x:c>
      <x:c r="J425" t="n">
        <x:f>IF(A425=A424,IFERROR(IF(B425=EDATE(B424,1),C424,0),0),0)</x:f>
        <x:v>1</x:v>
      </x:c>
      <x:c r="K425" t="n">
        <x:f>IF(AND(J425=1,C425=0),1,0)</x:f>
        <x:v>0</x:v>
      </x:c>
      <x:c r="L425" t="str">
        <x:f>IFERROR(INDEX(Customers!$C$2:$C$451,MATCH(A425,Customers!$A$2:$A$451,0)),"Unknown")</x:f>
        <x:v>Premium</x:v>
      </x:c>
    </x:row>
    <x:row r="426">
      <x:c r="A426" t="n">
        <x:v>76</x:v>
      </x:c>
      <x:c r="B426" s="16" t="n">
        <x:v>46174</x:v>
      </x:c>
      <x:c r="C426" t="n">
        <x:v>0</x:v>
      </x:c>
      <x:c r="D426" t="n">
        <x:v>0</x:v>
      </x:c>
      <x:c r="E426" s="18" t="n">
        <x:v>0</x:v>
      </x:c>
      <x:c r="F426" s="18" t="n">
        <x:v>0</x:v>
      </x:c>
      <x:c r="G426" s="18" t="n">
        <x:v>0</x:v>
      </x:c>
      <x:c r="H426" s="18" t="n">
        <x:v>0</x:v>
      </x:c>
      <x:c r="I426" s="18" t="n">
        <x:v>0</x:v>
      </x:c>
      <x:c r="J426" t="n">
        <x:f>IF(A426=A425,IFERROR(IF(B426=EDATE(B425,1),C425,0),0),0)</x:f>
        <x:v>1</x:v>
      </x:c>
      <x:c r="K426" t="n">
        <x:f>IF(AND(J426=1,C426=0),1,0)</x:f>
        <x:v>1</x:v>
      </x:c>
      <x:c r="L426" t="str">
        <x:f>IFERROR(INDEX(Customers!$C$2:$C$451,MATCH(A426,Customers!$A$2:$A$451,0)),"Unknown")</x:f>
        <x:v>Premium</x:v>
      </x:c>
    </x:row>
    <x:row r="427">
      <x:c r="A427" t="n">
        <x:v>76</x:v>
      </x:c>
      <x:c r="B427" s="16" t="n">
        <x:v>46204</x:v>
      </x:c>
      <x:c r="C427" t="n">
        <x:v>1</x:v>
      </x:c>
      <x:c r="D427" t="n">
        <x:v>25</x:v>
      </x:c>
      <x:c r="E427" s="18" t="n">
        <x:v>3188.38</x:v>
      </x:c>
      <x:c r="F427" s="18" t="n">
        <x:v>17</x:v>
      </x:c>
      <x:c r="G427" s="18" t="n">
        <x:v>14.35</x:v>
      </x:c>
      <x:c r="H427" s="18" t="n">
        <x:v>8.44</x:v>
      </x:c>
      <x:c r="I427" s="18" t="n">
        <x:v>39.79</x:v>
      </x:c>
      <x:c r="J427" t="n">
        <x:f>IF(A427=A426,IFERROR(IF(B427=EDATE(B426,1),C426,0),0),0)</x:f>
        <x:v>0</x:v>
      </x:c>
      <x:c r="K427" t="n">
        <x:f>IF(AND(J427=1,C427=0),1,0)</x:f>
        <x:v>0</x:v>
      </x:c>
      <x:c r="L427" t="str">
        <x:f>IFERROR(INDEX(Customers!$C$2:$C$451,MATCH(A427,Customers!$A$2:$A$451,0)),"Unknown")</x:f>
        <x:v>Premium</x:v>
      </x:c>
    </x:row>
    <x:row r="428">
      <x:c r="A428" t="n">
        <x:v>76</x:v>
      </x:c>
      <x:c r="B428" s="16" t="n">
        <x:v>46235</x:v>
      </x:c>
      <x:c r="C428" t="n">
        <x:v>0</x:v>
      </x:c>
      <x:c r="D428" t="n">
        <x:v>0</x:v>
      </x:c>
      <x:c r="E428" s="18" t="n">
        <x:v>0</x:v>
      </x:c>
      <x:c r="F428" s="18" t="n">
        <x:v>0</x:v>
      </x:c>
      <x:c r="G428" s="18" t="n">
        <x:v>0</x:v>
      </x:c>
      <x:c r="H428" s="18" t="n">
        <x:v>0</x:v>
      </x:c>
      <x:c r="I428" s="18" t="n">
        <x:v>0</x:v>
      </x:c>
      <x:c r="J428" t="n">
        <x:f>IF(A428=A427,IFERROR(IF(B428=EDATE(B427,1),C427,0),0),0)</x:f>
        <x:v>1</x:v>
      </x:c>
      <x:c r="K428" t="n">
        <x:f>IF(AND(J428=1,C428=0),1,0)</x:f>
        <x:v>1</x:v>
      </x:c>
      <x:c r="L428" t="str">
        <x:f>IFERROR(INDEX(Customers!$C$2:$C$451,MATCH(A428,Customers!$A$2:$A$451,0)),"Unknown")</x:f>
        <x:v>Premium</x:v>
      </x:c>
    </x:row>
    <x:row r="429">
      <x:c r="A429" t="n">
        <x:v>76</x:v>
      </x:c>
      <x:c r="B429" s="16" t="n">
        <x:v>46266</x:v>
      </x:c>
      <x:c r="C429" t="n">
        <x:v>1</x:v>
      </x:c>
      <x:c r="D429" t="n">
        <x:v>28</x:v>
      </x:c>
      <x:c r="E429" s="18" t="n">
        <x:v>2962.42</x:v>
      </x:c>
      <x:c r="F429" s="18" t="n">
        <x:v>17</x:v>
      </x:c>
      <x:c r="G429" s="18" t="n">
        <x:v>13.33</x:v>
      </x:c>
      <x:c r="H429" s="18" t="n">
        <x:v>6.35</x:v>
      </x:c>
      <x:c r="I429" s="18" t="n">
        <x:v>36.68</x:v>
      </x:c>
      <x:c r="J429" t="n">
        <x:f>IF(A429=A428,IFERROR(IF(B429=EDATE(B428,1),C428,0),0),0)</x:f>
        <x:v>0</x:v>
      </x:c>
      <x:c r="K429" t="n">
        <x:f>IF(AND(J429=1,C429=0),1,0)</x:f>
        <x:v>0</x:v>
      </x:c>
      <x:c r="L429" t="str">
        <x:f>IFERROR(INDEX(Customers!$C$2:$C$451,MATCH(A429,Customers!$A$2:$A$451,0)),"Unknown")</x:f>
        <x:v>Premium</x:v>
      </x:c>
    </x:row>
    <x:row r="430">
      <x:c r="A430" t="n">
        <x:v>77</x:v>
      </x:c>
      <x:c r="B430" s="16" t="n">
        <x:v>46143</x:v>
      </x:c>
      <x:c r="C430" t="n">
        <x:v>1</x:v>
      </x:c>
      <x:c r="D430" t="n">
        <x:v>6</x:v>
      </x:c>
      <x:c r="E430" s="18" t="n">
        <x:v>406.48</x:v>
      </x:c>
      <x:c r="F430" s="18" t="n">
        <x:v>17</x:v>
      </x:c>
      <x:c r="G430" s="18" t="n">
        <x:v>1.83</x:v>
      </x:c>
      <x:c r="H430" s="18" t="n">
        <x:v>1.18</x:v>
      </x:c>
      <x:c r="I430" s="18" t="n">
        <x:v>20.01</x:v>
      </x:c>
      <x:c r="J430" t="n">
        <x:f>IF(A430=A429,IFERROR(IF(B430=EDATE(B429,1),C429,0),0),0)</x:f>
        <x:v>0</x:v>
      </x:c>
      <x:c r="K430" t="n">
        <x:f>IF(AND(J430=1,C430=0),1,0)</x:f>
        <x:v>0</x:v>
      </x:c>
      <x:c r="L430" t="str">
        <x:f>IFERROR(INDEX(Customers!$C$2:$C$451,MATCH(A430,Customers!$A$2:$A$451,0)),"Unknown")</x:f>
        <x:v>Premium</x:v>
      </x:c>
    </x:row>
    <x:row r="431">
      <x:c r="A431" t="n">
        <x:v>77</x:v>
      </x:c>
      <x:c r="B431" s="16" t="n">
        <x:v>46174</x:v>
      </x:c>
      <x:c r="C431" t="n">
        <x:v>1</x:v>
      </x:c>
      <x:c r="D431" t="n">
        <x:v>33</x:v>
      </x:c>
      <x:c r="E431" s="18" t="n">
        <x:v>4365.19</x:v>
      </x:c>
      <x:c r="F431" s="18" t="n">
        <x:v>17</x:v>
      </x:c>
      <x:c r="G431" s="18" t="n">
        <x:v>19.64</x:v>
      </x:c>
      <x:c r="H431" s="18" t="n">
        <x:v>13.35</x:v>
      </x:c>
      <x:c r="I431" s="18" t="n">
        <x:v>49.99</x:v>
      </x:c>
      <x:c r="J431" t="n">
        <x:f>IF(A431=A430,IFERROR(IF(B431=EDATE(B430,1),C430,0),0),0)</x:f>
        <x:v>1</x:v>
      </x:c>
      <x:c r="K431" t="n">
        <x:f>IF(AND(J431=1,C431=0),1,0)</x:f>
        <x:v>0</x:v>
      </x:c>
      <x:c r="L431" t="str">
        <x:f>IFERROR(INDEX(Customers!$C$2:$C$451,MATCH(A431,Customers!$A$2:$A$451,0)),"Unknown")</x:f>
        <x:v>Premium</x:v>
      </x:c>
    </x:row>
    <x:row r="432">
      <x:c r="A432" t="n">
        <x:v>77</x:v>
      </x:c>
      <x:c r="B432" s="16" t="n">
        <x:v>46204</x:v>
      </x:c>
      <x:c r="C432" t="n">
        <x:v>1</x:v>
      </x:c>
      <x:c r="D432" t="n">
        <x:v>22</x:v>
      </x:c>
      <x:c r="E432" s="18" t="n">
        <x:v>2749.27</x:v>
      </x:c>
      <x:c r="F432" s="18" t="n">
        <x:v>17</x:v>
      </x:c>
      <x:c r="G432" s="18" t="n">
        <x:v>12.37</x:v>
      </x:c>
      <x:c r="H432" s="18" t="n">
        <x:v>10.32</x:v>
      </x:c>
      <x:c r="I432" s="18" t="n">
        <x:v>39.69</x:v>
      </x:c>
      <x:c r="J432" t="n">
        <x:f>IF(A432=A431,IFERROR(IF(B432=EDATE(B431,1),C431,0),0),0)</x:f>
        <x:v>1</x:v>
      </x:c>
      <x:c r="K432" t="n">
        <x:f>IF(AND(J432=1,C432=0),1,0)</x:f>
        <x:v>0</x:v>
      </x:c>
      <x:c r="L432" t="str">
        <x:f>IFERROR(INDEX(Customers!$C$2:$C$451,MATCH(A432,Customers!$A$2:$A$451,0)),"Unknown")</x:f>
        <x:v>Premium</x:v>
      </x:c>
    </x:row>
    <x:row r="433">
      <x:c r="A433" t="n">
        <x:v>77</x:v>
      </x:c>
      <x:c r="B433" s="16" t="n">
        <x:v>46235</x:v>
      </x:c>
      <x:c r="C433" t="n">
        <x:v>1</x:v>
      </x:c>
      <x:c r="D433" t="n">
        <x:v>13</x:v>
      </x:c>
      <x:c r="E433" s="18" t="n">
        <x:v>1766.29</x:v>
      </x:c>
      <x:c r="F433" s="18" t="n">
        <x:v>17</x:v>
      </x:c>
      <x:c r="G433" s="18" t="n">
        <x:v>7.95</x:v>
      </x:c>
      <x:c r="H433" s="18" t="n">
        <x:v>6.21</x:v>
      </x:c>
      <x:c r="I433" s="18" t="n">
        <x:v>31.16</x:v>
      </x:c>
      <x:c r="J433" t="n">
        <x:f>IF(A433=A432,IFERROR(IF(B433=EDATE(B432,1),C432,0),0),0)</x:f>
        <x:v>1</x:v>
      </x:c>
      <x:c r="K433" t="n">
        <x:f>IF(AND(J433=1,C433=0),1,0)</x:f>
        <x:v>0</x:v>
      </x:c>
      <x:c r="L433" t="str">
        <x:f>IFERROR(INDEX(Customers!$C$2:$C$451,MATCH(A433,Customers!$A$2:$A$451,0)),"Unknown")</x:f>
        <x:v>Premium</x:v>
      </x:c>
    </x:row>
    <x:row r="434">
      <x:c r="A434" t="n">
        <x:v>77</x:v>
      </x:c>
      <x:c r="B434" s="16" t="n">
        <x:v>46266</x:v>
      </x:c>
      <x:c r="C434" t="n">
        <x:v>1</x:v>
      </x:c>
      <x:c r="D434" t="n">
        <x:v>33</x:v>
      </x:c>
      <x:c r="E434" s="18" t="n">
        <x:v>3407.6</x:v>
      </x:c>
      <x:c r="F434" s="18" t="n">
        <x:v>17</x:v>
      </x:c>
      <x:c r="G434" s="18" t="n">
        <x:v>15.33</x:v>
      </x:c>
      <x:c r="H434" s="18" t="n">
        <x:v>5.37</x:v>
      </x:c>
      <x:c r="I434" s="18" t="n">
        <x:v>37.7</x:v>
      </x:c>
      <x:c r="J434" t="n">
        <x:f>IF(A434=A433,IFERROR(IF(B434=EDATE(B433,1),C433,0),0),0)</x:f>
        <x:v>1</x:v>
      </x:c>
      <x:c r="K434" t="n">
        <x:f>IF(AND(J434=1,C434=0),1,0)</x:f>
        <x:v>0</x:v>
      </x:c>
      <x:c r="L434" t="str">
        <x:f>IFERROR(INDEX(Customers!$C$2:$C$451,MATCH(A434,Customers!$A$2:$A$451,0)),"Unknown")</x:f>
        <x:v>Premium</x:v>
      </x:c>
    </x:row>
    <x:row r="435">
      <x:c r="A435" t="n">
        <x:v>78</x:v>
      </x:c>
      <x:c r="B435" s="16" t="n">
        <x:v>46174</x:v>
      </x:c>
      <x:c r="C435" t="n">
        <x:v>1</x:v>
      </x:c>
      <x:c r="D435" t="n">
        <x:v>27</x:v>
      </x:c>
      <x:c r="E435" s="18" t="n">
        <x:v>1255.93</x:v>
      </x:c>
      <x:c r="F435" s="18" t="n">
        <x:v>0</x:v>
      </x:c>
      <x:c r="G435" s="18" t="n">
        <x:v>5.65</x:v>
      </x:c>
      <x:c r="H435" s="18" t="n">
        <x:v>1.55</x:v>
      </x:c>
      <x:c r="I435" s="18" t="n">
        <x:v>7.2</x:v>
      </x:c>
      <x:c r="J435" t="n">
        <x:f>IF(A435=A434,IFERROR(IF(B435=EDATE(B434,1),C434,0),0),0)</x:f>
        <x:v>0</x:v>
      </x:c>
      <x:c r="K435" t="n">
        <x:f>IF(AND(J435=1,C435=0),1,0)</x:f>
        <x:v>0</x:v>
      </x:c>
      <x:c r="L435" t="str">
        <x:f>IFERROR(INDEX(Customers!$C$2:$C$451,MATCH(A435,Customers!$A$2:$A$451,0)),"Unknown")</x:f>
        <x:v>Standard</x:v>
      </x:c>
    </x:row>
    <x:row r="436">
      <x:c r="A436" t="n">
        <x:v>78</x:v>
      </x:c>
      <x:c r="B436" s="16" t="n">
        <x:v>46204</x:v>
      </x:c>
      <x:c r="C436" t="n">
        <x:v>1</x:v>
      </x:c>
      <x:c r="D436" t="n">
        <x:v>25</x:v>
      </x:c>
      <x:c r="E436" s="18" t="n">
        <x:v>2999.33</x:v>
      </x:c>
      <x:c r="F436" s="18" t="n">
        <x:v>0</x:v>
      </x:c>
      <x:c r="G436" s="18" t="n">
        <x:v>13.5</x:v>
      </x:c>
      <x:c r="H436" s="18" t="n">
        <x:v>3.69</x:v>
      </x:c>
      <x:c r="I436" s="18" t="n">
        <x:v>17.19</x:v>
      </x:c>
      <x:c r="J436" t="n">
        <x:f>IF(A436=A435,IFERROR(IF(B436=EDATE(B435,1),C435,0),0),0)</x:f>
        <x:v>1</x:v>
      </x:c>
      <x:c r="K436" t="n">
        <x:f>IF(AND(J436=1,C436=0),1,0)</x:f>
        <x:v>0</x:v>
      </x:c>
      <x:c r="L436" t="str">
        <x:f>IFERROR(INDEX(Customers!$C$2:$C$451,MATCH(A436,Customers!$A$2:$A$451,0)),"Unknown")</x:f>
        <x:v>Standard</x:v>
      </x:c>
    </x:row>
    <x:row r="437">
      <x:c r="A437" t="n">
        <x:v>78</x:v>
      </x:c>
      <x:c r="B437" s="16" t="n">
        <x:v>46235</x:v>
      </x:c>
      <x:c r="C437" t="n">
        <x:v>1</x:v>
      </x:c>
      <x:c r="D437" t="n">
        <x:v>10</x:v>
      </x:c>
      <x:c r="E437" s="18" t="n">
        <x:v>1203.31</x:v>
      </x:c>
      <x:c r="F437" s="18" t="n">
        <x:v>0</x:v>
      </x:c>
      <x:c r="G437" s="18" t="n">
        <x:v>5.41</x:v>
      </x:c>
      <x:c r="H437" s="18" t="n">
        <x:v>2.3</x:v>
      </x:c>
      <x:c r="I437" s="18" t="n">
        <x:v>7.71</x:v>
      </x:c>
      <x:c r="J437" t="n">
        <x:f>IF(A437=A436,IFERROR(IF(B437=EDATE(B436,1),C436,0),0),0)</x:f>
        <x:v>1</x:v>
      </x:c>
      <x:c r="K437" t="n">
        <x:f>IF(AND(J437=1,C437=0),1,0)</x:f>
        <x:v>0</x:v>
      </x:c>
      <x:c r="L437" t="str">
        <x:f>IFERROR(INDEX(Customers!$C$2:$C$451,MATCH(A437,Customers!$A$2:$A$451,0)),"Unknown")</x:f>
        <x:v>Standard</x:v>
      </x:c>
    </x:row>
    <x:row r="438">
      <x:c r="A438" t="n">
        <x:v>78</x:v>
      </x:c>
      <x:c r="B438" s="16" t="n">
        <x:v>46266</x:v>
      </x:c>
      <x:c r="C438" t="n">
        <x:v>1</x:v>
      </x:c>
      <x:c r="D438" t="n">
        <x:v>31</x:v>
      </x:c>
      <x:c r="E438" s="18" t="n">
        <x:v>1359.79</x:v>
      </x:c>
      <x:c r="F438" s="18" t="n">
        <x:v>0</x:v>
      </x:c>
      <x:c r="G438" s="18" t="n">
        <x:v>6.12</x:v>
      </x:c>
      <x:c r="H438" s="18" t="n">
        <x:v>3.47</x:v>
      </x:c>
      <x:c r="I438" s="18" t="n">
        <x:v>9.59</x:v>
      </x:c>
      <x:c r="J438" t="n">
        <x:f>IF(A438=A437,IFERROR(IF(B438=EDATE(B437,1),C437,0),0),0)</x:f>
        <x:v>1</x:v>
      </x:c>
      <x:c r="K438" t="n">
        <x:f>IF(AND(J438=1,C438=0),1,0)</x:f>
        <x:v>0</x:v>
      </x:c>
      <x:c r="L438" t="str">
        <x:f>IFERROR(INDEX(Customers!$C$2:$C$451,MATCH(A438,Customers!$A$2:$A$451,0)),"Unknown")</x:f>
        <x:v>Standard</x:v>
      </x:c>
    </x:row>
    <x:row r="439">
      <x:c r="A439" t="n">
        <x:v>79</x:v>
      </x:c>
      <x:c r="B439" s="16" t="n">
        <x:v>46113</x:v>
      </x:c>
      <x:c r="C439" t="n">
        <x:v>1</x:v>
      </x:c>
      <x:c r="D439" t="n">
        <x:v>25</x:v>
      </x:c>
      <x:c r="E439" s="18" t="n">
        <x:v>2310.16</x:v>
      </x:c>
      <x:c r="F439" s="18" t="n">
        <x:v>0</x:v>
      </x:c>
      <x:c r="G439" s="18" t="n">
        <x:v>10.4</x:v>
      </x:c>
      <x:c r="H439" s="18" t="n">
        <x:v>5.56</x:v>
      </x:c>
      <x:c r="I439" s="18" t="n">
        <x:v>15.96</x:v>
      </x:c>
      <x:c r="J439" t="n">
        <x:f>IF(A439=A438,IFERROR(IF(B439=EDATE(B438,1),C438,0),0),0)</x:f>
        <x:v>0</x:v>
      </x:c>
      <x:c r="K439" t="n">
        <x:f>IF(AND(J439=1,C439=0),1,0)</x:f>
        <x:v>0</x:v>
      </x:c>
      <x:c r="L439" t="str">
        <x:f>IFERROR(INDEX(Customers!$C$2:$C$451,MATCH(A439,Customers!$A$2:$A$451,0)),"Unknown")</x:f>
        <x:v>Standard</x:v>
      </x:c>
    </x:row>
    <x:row r="440">
      <x:c r="A440" t="n">
        <x:v>79</x:v>
      </x:c>
      <x:c r="B440" s="16" t="n">
        <x:v>46143</x:v>
      </x:c>
      <x:c r="C440" t="n">
        <x:v>1</x:v>
      </x:c>
      <x:c r="D440" t="n">
        <x:v>9</x:v>
      </x:c>
      <x:c r="E440" s="18" t="n">
        <x:v>1232.07</x:v>
      </x:c>
      <x:c r="F440" s="18" t="n">
        <x:v>0</x:v>
      </x:c>
      <x:c r="G440" s="18" t="n">
        <x:v>5.54</x:v>
      </x:c>
      <x:c r="H440" s="18" t="n">
        <x:v>4.52</x:v>
      </x:c>
      <x:c r="I440" s="18" t="n">
        <x:v>10.06</x:v>
      </x:c>
      <x:c r="J440" t="n">
        <x:f>IF(A440=A439,IFERROR(IF(B440=EDATE(B439,1),C439,0),0),0)</x:f>
        <x:v>1</x:v>
      </x:c>
      <x:c r="K440" t="n">
        <x:f>IF(AND(J440=1,C440=0),1,0)</x:f>
        <x:v>0</x:v>
      </x:c>
      <x:c r="L440" t="str">
        <x:f>IFERROR(INDEX(Customers!$C$2:$C$451,MATCH(A440,Customers!$A$2:$A$451,0)),"Unknown")</x:f>
        <x:v>Standard</x:v>
      </x:c>
    </x:row>
    <x:row r="441">
      <x:c r="A441" t="n">
        <x:v>79</x:v>
      </x:c>
      <x:c r="B441" s="16" t="n">
        <x:v>46174</x:v>
      </x:c>
      <x:c r="C441" t="n">
        <x:v>1</x:v>
      </x:c>
      <x:c r="D441" t="n">
        <x:v>21</x:v>
      </x:c>
      <x:c r="E441" s="18" t="n">
        <x:v>2769.26</x:v>
      </x:c>
      <x:c r="F441" s="18" t="n">
        <x:v>0</x:v>
      </x:c>
      <x:c r="G441" s="18" t="n">
        <x:v>12.46</x:v>
      </x:c>
      <x:c r="H441" s="18" t="n">
        <x:v>9.35</x:v>
      </x:c>
      <x:c r="I441" s="18" t="n">
        <x:v>21.81</x:v>
      </x:c>
      <x:c r="J441" t="n">
        <x:f>IF(A441=A440,IFERROR(IF(B441=EDATE(B440,1),C440,0),0),0)</x:f>
        <x:v>1</x:v>
      </x:c>
      <x:c r="K441" t="n">
        <x:f>IF(AND(J441=1,C441=0),1,0)</x:f>
        <x:v>0</x:v>
      </x:c>
      <x:c r="L441" t="str">
        <x:f>IFERROR(INDEX(Customers!$C$2:$C$451,MATCH(A441,Customers!$A$2:$A$451,0)),"Unknown")</x:f>
        <x:v>Standard</x:v>
      </x:c>
    </x:row>
    <x:row r="442">
      <x:c r="A442" t="n">
        <x:v>79</x:v>
      </x:c>
      <x:c r="B442" s="16" t="n">
        <x:v>46204</x:v>
      </x:c>
      <x:c r="C442" t="n">
        <x:v>1</x:v>
      </x:c>
      <x:c r="D442" t="n">
        <x:v>28</x:v>
      </x:c>
      <x:c r="E442" s="18" t="n">
        <x:v>1271.57</x:v>
      </x:c>
      <x:c r="F442" s="18" t="n">
        <x:v>0</x:v>
      </x:c>
      <x:c r="G442" s="18" t="n">
        <x:v>5.72</x:v>
      </x:c>
      <x:c r="H442" s="18" t="n">
        <x:v>1.48</x:v>
      </x:c>
      <x:c r="I442" s="18" t="n">
        <x:v>7.2</x:v>
      </x:c>
      <x:c r="J442" t="n">
        <x:f>IF(A442=A441,IFERROR(IF(B442=EDATE(B441,1),C441,0),0),0)</x:f>
        <x:v>1</x:v>
      </x:c>
      <x:c r="K442" t="n">
        <x:f>IF(AND(J442=1,C442=0),1,0)</x:f>
        <x:v>0</x:v>
      </x:c>
      <x:c r="L442" t="str">
        <x:f>IFERROR(INDEX(Customers!$C$2:$C$451,MATCH(A442,Customers!$A$2:$A$451,0)),"Unknown")</x:f>
        <x:v>Standard</x:v>
      </x:c>
    </x:row>
    <x:row r="443">
      <x:c r="A443" t="n">
        <x:v>79</x:v>
      </x:c>
      <x:c r="B443" s="16" t="n">
        <x:v>46235</x:v>
      </x:c>
      <x:c r="C443" t="n">
        <x:v>1</x:v>
      </x:c>
      <x:c r="D443" t="n">
        <x:v>32</x:v>
      </x:c>
      <x:c r="E443" s="18" t="n">
        <x:v>3778.04</x:v>
      </x:c>
      <x:c r="F443" s="18" t="n">
        <x:v>0</x:v>
      </x:c>
      <x:c r="G443" s="18" t="n">
        <x:v>17</x:v>
      </x:c>
      <x:c r="H443" s="18" t="n">
        <x:v>12.08</x:v>
      </x:c>
      <x:c r="I443" s="18" t="n">
        <x:v>29.08</x:v>
      </x:c>
      <x:c r="J443" t="n">
        <x:f>IF(A443=A442,IFERROR(IF(B443=EDATE(B442,1),C442,0),0),0)</x:f>
        <x:v>1</x:v>
      </x:c>
      <x:c r="K443" t="n">
        <x:f>IF(AND(J443=1,C443=0),1,0)</x:f>
        <x:v>0</x:v>
      </x:c>
      <x:c r="L443" t="str">
        <x:f>IFERROR(INDEX(Customers!$C$2:$C$451,MATCH(A443,Customers!$A$2:$A$451,0)),"Unknown")</x:f>
        <x:v>Standard</x:v>
      </x:c>
    </x:row>
    <x:row r="444">
      <x:c r="A444" t="n">
        <x:v>79</x:v>
      </x:c>
      <x:c r="B444" s="16" t="n">
        <x:v>46266</x:v>
      </x:c>
      <x:c r="C444" t="n">
        <x:v>1</x:v>
      </x:c>
      <x:c r="D444" t="n">
        <x:v>10</x:v>
      </x:c>
      <x:c r="E444" s="18" t="n">
        <x:v>1152.31</x:v>
      </x:c>
      <x:c r="F444" s="18" t="n">
        <x:v>0</x:v>
      </x:c>
      <x:c r="G444" s="18" t="n">
        <x:v>5.19</x:v>
      </x:c>
      <x:c r="H444" s="18" t="n">
        <x:v>2.88</x:v>
      </x:c>
      <x:c r="I444" s="18" t="n">
        <x:v>8.07</x:v>
      </x:c>
      <x:c r="J444" t="n">
        <x:f>IF(A444=A443,IFERROR(IF(B444=EDATE(B443,1),C443,0),0),0)</x:f>
        <x:v>1</x:v>
      </x:c>
      <x:c r="K444" t="n">
        <x:f>IF(AND(J444=1,C444=0),1,0)</x:f>
        <x:v>0</x:v>
      </x:c>
      <x:c r="L444" t="str">
        <x:f>IFERROR(INDEX(Customers!$C$2:$C$451,MATCH(A444,Customers!$A$2:$A$451,0)),"Unknown")</x:f>
        <x:v>Standard</x:v>
      </x:c>
    </x:row>
    <x:row r="445">
      <x:c r="A445" t="n">
        <x:v>80</x:v>
      </x:c>
      <x:c r="B445" s="16" t="n">
        <x:v>46113</x:v>
      </x:c>
      <x:c r="C445" t="n">
        <x:v>1</x:v>
      </x:c>
      <x:c r="D445" t="n">
        <x:v>5</x:v>
      </x:c>
      <x:c r="E445" s="18" t="n">
        <x:v>623.43</x:v>
      </x:c>
      <x:c r="F445" s="18" t="n">
        <x:v>17</x:v>
      </x:c>
      <x:c r="G445" s="18" t="n">
        <x:v>2.81</x:v>
      </x:c>
      <x:c r="H445" s="18" t="n">
        <x:v>1.87</x:v>
      </x:c>
      <x:c r="I445" s="18" t="n">
        <x:v>21.68</x:v>
      </x:c>
      <x:c r="J445" t="n">
        <x:f>IF(A445=A444,IFERROR(IF(B445=EDATE(B444,1),C444,0),0),0)</x:f>
        <x:v>0</x:v>
      </x:c>
      <x:c r="K445" t="n">
        <x:f>IF(AND(J445=1,C445=0),1,0)</x:f>
        <x:v>0</x:v>
      </x:c>
      <x:c r="L445" t="str">
        <x:f>IFERROR(INDEX(Customers!$C$2:$C$451,MATCH(A445,Customers!$A$2:$A$451,0)),"Unknown")</x:f>
        <x:v>Premium</x:v>
      </x:c>
    </x:row>
    <x:row r="446">
      <x:c r="A446" t="n">
        <x:v>80</x:v>
      </x:c>
      <x:c r="B446" s="16" t="n">
        <x:v>46143</x:v>
      </x:c>
      <x:c r="C446" t="n">
        <x:v>1</x:v>
      </x:c>
      <x:c r="D446" t="n">
        <x:v>29</x:v>
      </x:c>
      <x:c r="E446" s="18" t="n">
        <x:v>3732.5</x:v>
      </x:c>
      <x:c r="F446" s="18" t="n">
        <x:v>17</x:v>
      </x:c>
      <x:c r="G446" s="18" t="n">
        <x:v>16.8</x:v>
      </x:c>
      <x:c r="H446" s="18" t="n">
        <x:v>11.11</x:v>
      </x:c>
      <x:c r="I446" s="18" t="n">
        <x:v>44.91</x:v>
      </x:c>
      <x:c r="J446" t="n">
        <x:f>IF(A446=A445,IFERROR(IF(B446=EDATE(B445,1),C445,0),0),0)</x:f>
        <x:v>1</x:v>
      </x:c>
      <x:c r="K446" t="n">
        <x:f>IF(AND(J446=1,C446=0),1,0)</x:f>
        <x:v>0</x:v>
      </x:c>
      <x:c r="L446" t="str">
        <x:f>IFERROR(INDEX(Customers!$C$2:$C$451,MATCH(A446,Customers!$A$2:$A$451,0)),"Unknown")</x:f>
        <x:v>Premium</x:v>
      </x:c>
    </x:row>
    <x:row r="447">
      <x:c r="A447" t="n">
        <x:v>80</x:v>
      </x:c>
      <x:c r="B447" s="16" t="n">
        <x:v>46174</x:v>
      </x:c>
      <x:c r="C447" t="n">
        <x:v>1</x:v>
      </x:c>
      <x:c r="D447" t="n">
        <x:v>7</x:v>
      </x:c>
      <x:c r="E447" s="18" t="n">
        <x:v>660.95</x:v>
      </x:c>
      <x:c r="F447" s="18" t="n">
        <x:v>17</x:v>
      </x:c>
      <x:c r="G447" s="18" t="n">
        <x:v>2.97</x:v>
      </x:c>
      <x:c r="H447" s="18" t="n">
        <x:v>1.26</x:v>
      </x:c>
      <x:c r="I447" s="18" t="n">
        <x:v>21.23</x:v>
      </x:c>
      <x:c r="J447" t="n">
        <x:f>IF(A447=A446,IFERROR(IF(B447=EDATE(B446,1),C446,0),0),0)</x:f>
        <x:v>1</x:v>
      </x:c>
      <x:c r="K447" t="n">
        <x:f>IF(AND(J447=1,C447=0),1,0)</x:f>
        <x:v>0</x:v>
      </x:c>
      <x:c r="L447" t="str">
        <x:f>IFERROR(INDEX(Customers!$C$2:$C$451,MATCH(A447,Customers!$A$2:$A$451,0)),"Unknown")</x:f>
        <x:v>Premium</x:v>
      </x:c>
    </x:row>
    <x:row r="448">
      <x:c r="A448" t="n">
        <x:v>80</x:v>
      </x:c>
      <x:c r="B448" s="16" t="n">
        <x:v>46204</x:v>
      </x:c>
      <x:c r="C448" t="n">
        <x:v>1</x:v>
      </x:c>
      <x:c r="D448" t="n">
        <x:v>36</x:v>
      </x:c>
      <x:c r="E448" s="18" t="n">
        <x:v>1680.92</x:v>
      </x:c>
      <x:c r="F448" s="18" t="n">
        <x:v>17</x:v>
      </x:c>
      <x:c r="G448" s="18" t="n">
        <x:v>7.56</x:v>
      </x:c>
      <x:c r="H448" s="18" t="n">
        <x:v>1.46</x:v>
      </x:c>
      <x:c r="I448" s="18" t="n">
        <x:v>26.02</x:v>
      </x:c>
      <x:c r="J448" t="n">
        <x:f>IF(A448=A447,IFERROR(IF(B448=EDATE(B447,1),C447,0),0),0)</x:f>
        <x:v>1</x:v>
      </x:c>
      <x:c r="K448" t="n">
        <x:f>IF(AND(J448=1,C448=0),1,0)</x:f>
        <x:v>0</x:v>
      </x:c>
      <x:c r="L448" t="str">
        <x:f>IFERROR(INDEX(Customers!$C$2:$C$451,MATCH(A448,Customers!$A$2:$A$451,0)),"Unknown")</x:f>
        <x:v>Premium</x:v>
      </x:c>
    </x:row>
    <x:row r="449">
      <x:c r="A449" t="n">
        <x:v>80</x:v>
      </x:c>
      <x:c r="B449" s="16" t="n">
        <x:v>46235</x:v>
      </x:c>
      <x:c r="C449" t="n">
        <x:v>1</x:v>
      </x:c>
      <x:c r="D449" t="n">
        <x:v>13</x:v>
      </x:c>
      <x:c r="E449" s="18" t="n">
        <x:v>1695.22</x:v>
      </x:c>
      <x:c r="F449" s="18" t="n">
        <x:v>17</x:v>
      </x:c>
      <x:c r="G449" s="18" t="n">
        <x:v>7.63</x:v>
      </x:c>
      <x:c r="H449" s="18" t="n">
        <x:v>2.86</x:v>
      </x:c>
      <x:c r="I449" s="18" t="n">
        <x:v>27.49</x:v>
      </x:c>
      <x:c r="J449" t="n">
        <x:f>IF(A449=A448,IFERROR(IF(B449=EDATE(B448,1),C448,0),0),0)</x:f>
        <x:v>1</x:v>
      </x:c>
      <x:c r="K449" t="n">
        <x:f>IF(AND(J449=1,C449=0),1,0)</x:f>
        <x:v>0</x:v>
      </x:c>
      <x:c r="L449" t="str">
        <x:f>IFERROR(INDEX(Customers!$C$2:$C$451,MATCH(A449,Customers!$A$2:$A$451,0)),"Unknown")</x:f>
        <x:v>Premium</x:v>
      </x:c>
    </x:row>
    <x:row r="450">
      <x:c r="A450" t="n">
        <x:v>80</x:v>
      </x:c>
      <x:c r="B450" s="16" t="n">
        <x:v>46266</x:v>
      </x:c>
      <x:c r="C450" t="n">
        <x:v>0</x:v>
      </x:c>
      <x:c r="D450" t="n">
        <x:v>0</x:v>
      </x:c>
      <x:c r="E450" s="18" t="n">
        <x:v>0</x:v>
      </x:c>
      <x:c r="F450" s="18" t="n">
        <x:v>0</x:v>
      </x:c>
      <x:c r="G450" s="18" t="n">
        <x:v>0</x:v>
      </x:c>
      <x:c r="H450" s="18" t="n">
        <x:v>0</x:v>
      </x:c>
      <x:c r="I450" s="18" t="n">
        <x:v>0</x:v>
      </x:c>
      <x:c r="J450" t="n">
        <x:f>IF(A450=A449,IFERROR(IF(B450=EDATE(B449,1),C449,0),0),0)</x:f>
        <x:v>1</x:v>
      </x:c>
      <x:c r="K450" t="n">
        <x:f>IF(AND(J450=1,C450=0),1,0)</x:f>
        <x:v>1</x:v>
      </x:c>
      <x:c r="L450" t="str">
        <x:f>IFERROR(INDEX(Customers!$C$2:$C$451,MATCH(A450,Customers!$A$2:$A$451,0)),"Unknown")</x:f>
        <x:v>Premium</x:v>
      </x:c>
    </x:row>
    <x:row r="451">
      <x:c r="A451" t="n">
        <x:v>81</x:v>
      </x:c>
      <x:c r="B451" s="16" t="n">
        <x:v>46143</x:v>
      </x:c>
      <x:c r="C451" t="n">
        <x:v>0</x:v>
      </x:c>
      <x:c r="D451" t="n">
        <x:v>0</x:v>
      </x:c>
      <x:c r="E451" s="18" t="n">
        <x:v>0</x:v>
      </x:c>
      <x:c r="F451" s="18" t="n">
        <x:v>0</x:v>
      </x:c>
      <x:c r="G451" s="18" t="n">
        <x:v>0</x:v>
      </x:c>
      <x:c r="H451" s="18" t="n">
        <x:v>0</x:v>
      </x:c>
      <x:c r="I451" s="18" t="n">
        <x:v>0</x:v>
      </x:c>
      <x:c r="J451" t="n">
        <x:f>IF(A451=A450,IFERROR(IF(B451=EDATE(B450,1),C450,0),0),0)</x:f>
        <x:v>0</x:v>
      </x:c>
      <x:c r="K451" t="n">
        <x:f>IF(AND(J451=1,C451=0),1,0)</x:f>
        <x:v>0</x:v>
      </x:c>
      <x:c r="L451" t="str">
        <x:f>IFERROR(INDEX(Customers!$C$2:$C$451,MATCH(A451,Customers!$A$2:$A$451,0)),"Unknown")</x:f>
        <x:v>Standard</x:v>
      </x:c>
    </x:row>
    <x:row r="452">
      <x:c r="A452" t="n">
        <x:v>81</x:v>
      </x:c>
      <x:c r="B452" s="16" t="n">
        <x:v>46174</x:v>
      </x:c>
      <x:c r="C452" t="n">
        <x:v>1</x:v>
      </x:c>
      <x:c r="D452" t="n">
        <x:v>20</x:v>
      </x:c>
      <x:c r="E452" s="18" t="n">
        <x:v>1847.15</x:v>
      </x:c>
      <x:c r="F452" s="18" t="n">
        <x:v>0</x:v>
      </x:c>
      <x:c r="G452" s="18" t="n">
        <x:v>8.31</x:v>
      </x:c>
      <x:c r="H452" s="18" t="n">
        <x:v>3.03</x:v>
      </x:c>
      <x:c r="I452" s="18" t="n">
        <x:v>11.34</x:v>
      </x:c>
      <x:c r="J452" t="n">
        <x:f>IF(A452=A451,IFERROR(IF(B452=EDATE(B451,1),C451,0),0),0)</x:f>
        <x:v>0</x:v>
      </x:c>
      <x:c r="K452" t="n">
        <x:f>IF(AND(J452=1,C452=0),1,0)</x:f>
        <x:v>0</x:v>
      </x:c>
      <x:c r="L452" t="str">
        <x:f>IFERROR(INDEX(Customers!$C$2:$C$451,MATCH(A452,Customers!$A$2:$A$451,0)),"Unknown")</x:f>
        <x:v>Standard</x:v>
      </x:c>
    </x:row>
    <x:row r="453">
      <x:c r="A453" t="n">
        <x:v>81</x:v>
      </x:c>
      <x:c r="B453" s="16" t="n">
        <x:v>46204</x:v>
      </x:c>
      <x:c r="C453" t="n">
        <x:v>1</x:v>
      </x:c>
      <x:c r="D453" t="n">
        <x:v>35</x:v>
      </x:c>
      <x:c r="E453" s="18" t="n">
        <x:v>2989.09</x:v>
      </x:c>
      <x:c r="F453" s="18" t="n">
        <x:v>0</x:v>
      </x:c>
      <x:c r="G453" s="18" t="n">
        <x:v>13.45</x:v>
      </x:c>
      <x:c r="H453" s="18" t="n">
        <x:v>5.18</x:v>
      </x:c>
      <x:c r="I453" s="18" t="n">
        <x:v>18.63</x:v>
      </x:c>
      <x:c r="J453" t="n">
        <x:f>IF(A453=A452,IFERROR(IF(B453=EDATE(B452,1),C452,0),0),0)</x:f>
        <x:v>1</x:v>
      </x:c>
      <x:c r="K453" t="n">
        <x:f>IF(AND(J453=1,C453=0),1,0)</x:f>
        <x:v>0</x:v>
      </x:c>
      <x:c r="L453" t="str">
        <x:f>IFERROR(INDEX(Customers!$C$2:$C$451,MATCH(A453,Customers!$A$2:$A$451,0)),"Unknown")</x:f>
        <x:v>Standard</x:v>
      </x:c>
    </x:row>
    <x:row r="454">
      <x:c r="A454" t="n">
        <x:v>81</x:v>
      </x:c>
      <x:c r="B454" s="16" t="n">
        <x:v>46235</x:v>
      </x:c>
      <x:c r="C454" t="n">
        <x:v>1</x:v>
      </x:c>
      <x:c r="D454" t="n">
        <x:v>11</x:v>
      </x:c>
      <x:c r="E454" s="18" t="n">
        <x:v>1403.51</x:v>
      </x:c>
      <x:c r="F454" s="18" t="n">
        <x:v>0</x:v>
      </x:c>
      <x:c r="G454" s="18" t="n">
        <x:v>6.32</x:v>
      </x:c>
      <x:c r="H454" s="18" t="n">
        <x:v>4.93</x:v>
      </x:c>
      <x:c r="I454" s="18" t="n">
        <x:v>11.25</x:v>
      </x:c>
      <x:c r="J454" t="n">
        <x:f>IF(A454=A453,IFERROR(IF(B454=EDATE(B453,1),C453,0),0),0)</x:f>
        <x:v>1</x:v>
      </x:c>
      <x:c r="K454" t="n">
        <x:f>IF(AND(J454=1,C454=0),1,0)</x:f>
        <x:v>0</x:v>
      </x:c>
      <x:c r="L454" t="str">
        <x:f>IFERROR(INDEX(Customers!$C$2:$C$451,MATCH(A454,Customers!$A$2:$A$451,0)),"Unknown")</x:f>
        <x:v>Standard</x:v>
      </x:c>
    </x:row>
    <x:row r="455">
      <x:c r="A455" t="n">
        <x:v>81</x:v>
      </x:c>
      <x:c r="B455" s="16" t="n">
        <x:v>46266</x:v>
      </x:c>
      <x:c r="C455" t="n">
        <x:v>1</x:v>
      </x:c>
      <x:c r="D455" t="n">
        <x:v>17</x:v>
      </x:c>
      <x:c r="E455" s="18" t="n">
        <x:v>1573.5</x:v>
      </x:c>
      <x:c r="F455" s="18" t="n">
        <x:v>0</x:v>
      </x:c>
      <x:c r="G455" s="18" t="n">
        <x:v>7.08</x:v>
      </x:c>
      <x:c r="H455" s="18" t="n">
        <x:v>5.03</x:v>
      </x:c>
      <x:c r="I455" s="18" t="n">
        <x:v>12.11</x:v>
      </x:c>
      <x:c r="J455" t="n">
        <x:f>IF(A455=A454,IFERROR(IF(B455=EDATE(B454,1),C454,0),0),0)</x:f>
        <x:v>1</x:v>
      </x:c>
      <x:c r="K455" t="n">
        <x:f>IF(AND(J455=1,C455=0),1,0)</x:f>
        <x:v>0</x:v>
      </x:c>
      <x:c r="L455" t="str">
        <x:f>IFERROR(INDEX(Customers!$C$2:$C$451,MATCH(A455,Customers!$A$2:$A$451,0)),"Unknown")</x:f>
        <x:v>Standard</x:v>
      </x:c>
    </x:row>
    <x:row r="456">
      <x:c r="A456" t="n">
        <x:v>82</x:v>
      </x:c>
      <x:c r="B456" s="16" t="n">
        <x:v>46113</x:v>
      </x:c>
      <x:c r="C456" t="n">
        <x:v>1</x:v>
      </x:c>
      <x:c r="D456" t="n">
        <x:v>24</x:v>
      </x:c>
      <x:c r="E456" s="18" t="n">
        <x:v>3246.88</x:v>
      </x:c>
      <x:c r="F456" s="18" t="n">
        <x:v>34</x:v>
      </x:c>
      <x:c r="G456" s="18" t="n">
        <x:v>14.61</x:v>
      </x:c>
      <x:c r="H456" s="18" t="n">
        <x:v>3.91</x:v>
      </x:c>
      <x:c r="I456" s="18" t="n">
        <x:v>52.52</x:v>
      </x:c>
      <x:c r="J456" t="n">
        <x:f>IF(A456=A455,IFERROR(IF(B456=EDATE(B455,1),C455,0),0),0)</x:f>
        <x:v>0</x:v>
      </x:c>
      <x:c r="K456" t="n">
        <x:f>IF(AND(J456=1,C456=0),1,0)</x:f>
        <x:v>0</x:v>
      </x:c>
      <x:c r="L456" t="str">
        <x:f>IFERROR(INDEX(Customers!$C$2:$C$451,MATCH(A456,Customers!$A$2:$A$451,0)),"Unknown")</x:f>
        <x:v>Metal</x:v>
      </x:c>
    </x:row>
    <x:row r="457">
      <x:c r="A457" t="n">
        <x:v>82</x:v>
      </x:c>
      <x:c r="B457" s="16" t="n">
        <x:v>46143</x:v>
      </x:c>
      <x:c r="C457" t="n">
        <x:v>1</x:v>
      </x:c>
      <x:c r="D457" t="n">
        <x:v>22</x:v>
      </x:c>
      <x:c r="E457" s="18" t="n">
        <x:v>2788.1</x:v>
      </x:c>
      <x:c r="F457" s="18" t="n">
        <x:v>34</x:v>
      </x:c>
      <x:c r="G457" s="18" t="n">
        <x:v>12.55</x:v>
      </x:c>
      <x:c r="H457" s="18" t="n">
        <x:v>6.34</x:v>
      </x:c>
      <x:c r="I457" s="18" t="n">
        <x:v>52.89</x:v>
      </x:c>
      <x:c r="J457" t="n">
        <x:f>IF(A457=A456,IFERROR(IF(B457=EDATE(B456,1),C456,0),0),0)</x:f>
        <x:v>1</x:v>
      </x:c>
      <x:c r="K457" t="n">
        <x:f>IF(AND(J457=1,C457=0),1,0)</x:f>
        <x:v>0</x:v>
      </x:c>
      <x:c r="L457" t="str">
        <x:f>IFERROR(INDEX(Customers!$C$2:$C$451,MATCH(A457,Customers!$A$2:$A$451,0)),"Unknown")</x:f>
        <x:v>Metal</x:v>
      </x:c>
    </x:row>
    <x:row r="458">
      <x:c r="A458" t="n">
        <x:v>82</x:v>
      </x:c>
      <x:c r="B458" s="16" t="n">
        <x:v>46174</x:v>
      </x:c>
      <x:c r="C458" t="n">
        <x:v>0</x:v>
      </x:c>
      <x:c r="D458" t="n">
        <x:v>0</x:v>
      </x:c>
      <x:c r="E458" s="18" t="n">
        <x:v>0</x:v>
      </x:c>
      <x:c r="F458" s="18" t="n">
        <x:v>0</x:v>
      </x:c>
      <x:c r="G458" s="18" t="n">
        <x:v>0</x:v>
      </x:c>
      <x:c r="H458" s="18" t="n">
        <x:v>0</x:v>
      </x:c>
      <x:c r="I458" s="18" t="n">
        <x:v>0</x:v>
      </x:c>
      <x:c r="J458" t="n">
        <x:f>IF(A458=A457,IFERROR(IF(B458=EDATE(B457,1),C457,0),0),0)</x:f>
        <x:v>1</x:v>
      </x:c>
      <x:c r="K458" t="n">
        <x:f>IF(AND(J458=1,C458=0),1,0)</x:f>
        <x:v>1</x:v>
      </x:c>
      <x:c r="L458" t="str">
        <x:f>IFERROR(INDEX(Customers!$C$2:$C$451,MATCH(A458,Customers!$A$2:$A$451,0)),"Unknown")</x:f>
        <x:v>Metal</x:v>
      </x:c>
    </x:row>
    <x:row r="459">
      <x:c r="A459" t="n">
        <x:v>82</x:v>
      </x:c>
      <x:c r="B459" s="16" t="n">
        <x:v>46204</x:v>
      </x:c>
      <x:c r="C459" t="n">
        <x:v>1</x:v>
      </x:c>
      <x:c r="D459" t="n">
        <x:v>12</x:v>
      </x:c>
      <x:c r="E459" s="18" t="n">
        <x:v>1647.98</x:v>
      </x:c>
      <x:c r="F459" s="18" t="n">
        <x:v>34</x:v>
      </x:c>
      <x:c r="G459" s="18" t="n">
        <x:v>7.42</x:v>
      </x:c>
      <x:c r="H459" s="18" t="n">
        <x:v>5.21</x:v>
      </x:c>
      <x:c r="I459" s="18" t="n">
        <x:v>46.63</x:v>
      </x:c>
      <x:c r="J459" t="n">
        <x:f>IF(A459=A458,IFERROR(IF(B459=EDATE(B458,1),C458,0),0),0)</x:f>
        <x:v>0</x:v>
      </x:c>
      <x:c r="K459" t="n">
        <x:f>IF(AND(J459=1,C459=0),1,0)</x:f>
        <x:v>0</x:v>
      </x:c>
      <x:c r="L459" t="str">
        <x:f>IFERROR(INDEX(Customers!$C$2:$C$451,MATCH(A459,Customers!$A$2:$A$451,0)),"Unknown")</x:f>
        <x:v>Metal</x:v>
      </x:c>
    </x:row>
    <x:row r="460">
      <x:c r="A460" t="n">
        <x:v>82</x:v>
      </x:c>
      <x:c r="B460" s="16" t="n">
        <x:v>46235</x:v>
      </x:c>
      <x:c r="C460" t="n">
        <x:v>1</x:v>
      </x:c>
      <x:c r="D460" t="n">
        <x:v>16</x:v>
      </x:c>
      <x:c r="E460" s="18" t="n">
        <x:v>1420.19</x:v>
      </x:c>
      <x:c r="F460" s="18" t="n">
        <x:v>34</x:v>
      </x:c>
      <x:c r="G460" s="18" t="n">
        <x:v>6.39</x:v>
      </x:c>
      <x:c r="H460" s="18" t="n">
        <x:v>2.38</x:v>
      </x:c>
      <x:c r="I460" s="18" t="n">
        <x:v>42.77</x:v>
      </x:c>
      <x:c r="J460" t="n">
        <x:f>IF(A460=A459,IFERROR(IF(B460=EDATE(B459,1),C459,0),0),0)</x:f>
        <x:v>1</x:v>
      </x:c>
      <x:c r="K460" t="n">
        <x:f>IF(AND(J460=1,C460=0),1,0)</x:f>
        <x:v>0</x:v>
      </x:c>
      <x:c r="L460" t="str">
        <x:f>IFERROR(INDEX(Customers!$C$2:$C$451,MATCH(A460,Customers!$A$2:$A$451,0)),"Unknown")</x:f>
        <x:v>Metal</x:v>
      </x:c>
    </x:row>
    <x:row r="461">
      <x:c r="A461" t="n">
        <x:v>82</x:v>
      </x:c>
      <x:c r="B461" s="16" t="n">
        <x:v>46266</x:v>
      </x:c>
      <x:c r="C461" t="n">
        <x:v>0</x:v>
      </x:c>
      <x:c r="D461" t="n">
        <x:v>0</x:v>
      </x:c>
      <x:c r="E461" s="18" t="n">
        <x:v>0</x:v>
      </x:c>
      <x:c r="F461" s="18" t="n">
        <x:v>0</x:v>
      </x:c>
      <x:c r="G461" s="18" t="n">
        <x:v>0</x:v>
      </x:c>
      <x:c r="H461" s="18" t="n">
        <x:v>0</x:v>
      </x:c>
      <x:c r="I461" s="18" t="n">
        <x:v>0</x:v>
      </x:c>
      <x:c r="J461" t="n">
        <x:f>IF(A461=A460,IFERROR(IF(B461=EDATE(B460,1),C460,0),0),0)</x:f>
        <x:v>1</x:v>
      </x:c>
      <x:c r="K461" t="n">
        <x:f>IF(AND(J461=1,C461=0),1,0)</x:f>
        <x:v>1</x:v>
      </x:c>
      <x:c r="L461" t="str">
        <x:f>IFERROR(INDEX(Customers!$C$2:$C$451,MATCH(A461,Customers!$A$2:$A$451,0)),"Unknown")</x:f>
        <x:v>Metal</x:v>
      </x:c>
    </x:row>
    <x:row r="462">
      <x:c r="A462" t="n">
        <x:v>83</x:v>
      </x:c>
      <x:c r="B462" s="16" t="n">
        <x:v>46113</x:v>
      </x:c>
      <x:c r="C462" t="n">
        <x:v>0</x:v>
      </x:c>
      <x:c r="D462" t="n">
        <x:v>0</x:v>
      </x:c>
      <x:c r="E462" s="18" t="n">
        <x:v>0</x:v>
      </x:c>
      <x:c r="F462" s="18" t="n">
        <x:v>0</x:v>
      </x:c>
      <x:c r="G462" s="18" t="n">
        <x:v>0</x:v>
      </x:c>
      <x:c r="H462" s="18" t="n">
        <x:v>0</x:v>
      </x:c>
      <x:c r="I462" s="18" t="n">
        <x:v>0</x:v>
      </x:c>
      <x:c r="J462" t="n">
        <x:f>IF(A462=A461,IFERROR(IF(B462=EDATE(B461,1),C461,0),0),0)</x:f>
        <x:v>0</x:v>
      </x:c>
      <x:c r="K462" t="n">
        <x:f>IF(AND(J462=1,C462=0),1,0)</x:f>
        <x:v>0</x:v>
      </x:c>
      <x:c r="L462" t="str">
        <x:f>IFERROR(INDEX(Customers!$C$2:$C$451,MATCH(A462,Customers!$A$2:$A$451,0)),"Unknown")</x:f>
        <x:v>Plus</x:v>
      </x:c>
    </x:row>
    <x:row r="463">
      <x:c r="A463" t="n">
        <x:v>83</x:v>
      </x:c>
      <x:c r="B463" s="16" t="n">
        <x:v>46143</x:v>
      </x:c>
      <x:c r="C463" t="n">
        <x:v>1</x:v>
      </x:c>
      <x:c r="D463" t="n">
        <x:v>31</x:v>
      </x:c>
      <x:c r="E463" s="18" t="n">
        <x:v>3038.78</x:v>
      </x:c>
      <x:c r="F463" s="18" t="n">
        <x:v>8</x:v>
      </x:c>
      <x:c r="G463" s="18" t="n">
        <x:v>13.67</x:v>
      </x:c>
      <x:c r="H463" s="18" t="n">
        <x:v>4.89</x:v>
      </x:c>
      <x:c r="I463" s="18" t="n">
        <x:v>26.56</x:v>
      </x:c>
      <x:c r="J463" t="n">
        <x:f>IF(A463=A462,IFERROR(IF(B463=EDATE(B462,1),C462,0),0),0)</x:f>
        <x:v>0</x:v>
      </x:c>
      <x:c r="K463" t="n">
        <x:f>IF(AND(J463=1,C463=0),1,0)</x:f>
        <x:v>0</x:v>
      </x:c>
      <x:c r="L463" t="str">
        <x:f>IFERROR(INDEX(Customers!$C$2:$C$451,MATCH(A463,Customers!$A$2:$A$451,0)),"Unknown")</x:f>
        <x:v>Plus</x:v>
      </x:c>
    </x:row>
    <x:row r="464">
      <x:c r="A464" t="n">
        <x:v>83</x:v>
      </x:c>
      <x:c r="B464" s="16" t="n">
        <x:v>46174</x:v>
      </x:c>
      <x:c r="C464" t="n">
        <x:v>1</x:v>
      </x:c>
      <x:c r="D464" t="n">
        <x:v>7</x:v>
      </x:c>
      <x:c r="E464" s="18" t="n">
        <x:v>963.7</x:v>
      </x:c>
      <x:c r="F464" s="18" t="n">
        <x:v>8</x:v>
      </x:c>
      <x:c r="G464" s="18" t="n">
        <x:v>4.34</x:v>
      </x:c>
      <x:c r="H464" s="18" t="n">
        <x:v>1.81</x:v>
      </x:c>
      <x:c r="I464" s="18" t="n">
        <x:v>14.15</x:v>
      </x:c>
      <x:c r="J464" t="n">
        <x:f>IF(A464=A463,IFERROR(IF(B464=EDATE(B463,1),C463,0),0),0)</x:f>
        <x:v>1</x:v>
      </x:c>
      <x:c r="K464" t="n">
        <x:f>IF(AND(J464=1,C464=0),1,0)</x:f>
        <x:v>0</x:v>
      </x:c>
      <x:c r="L464" t="str">
        <x:f>IFERROR(INDEX(Customers!$C$2:$C$451,MATCH(A464,Customers!$A$2:$A$451,0)),"Unknown")</x:f>
        <x:v>Plus</x:v>
      </x:c>
    </x:row>
    <x:row r="465">
      <x:c r="A465" t="n">
        <x:v>83</x:v>
      </x:c>
      <x:c r="B465" s="16" t="n">
        <x:v>46204</x:v>
      </x:c>
      <x:c r="C465" t="n">
        <x:v>1</x:v>
      </x:c>
      <x:c r="D465" t="n">
        <x:v>19</x:v>
      </x:c>
      <x:c r="E465" s="18" t="n">
        <x:v>1055.6</x:v>
      </x:c>
      <x:c r="F465" s="18" t="n">
        <x:v>8</x:v>
      </x:c>
      <x:c r="G465" s="18" t="n">
        <x:v>4.75</x:v>
      </x:c>
      <x:c r="H465" s="18" t="n">
        <x:v>3.63</x:v>
      </x:c>
      <x:c r="I465" s="18" t="n">
        <x:v>16.38</x:v>
      </x:c>
      <x:c r="J465" t="n">
        <x:f>IF(A465=A464,IFERROR(IF(B465=EDATE(B464,1),C464,0),0),0)</x:f>
        <x:v>1</x:v>
      </x:c>
      <x:c r="K465" t="n">
        <x:f>IF(AND(J465=1,C465=0),1,0)</x:f>
        <x:v>0</x:v>
      </x:c>
      <x:c r="L465" t="str">
        <x:f>IFERROR(INDEX(Customers!$C$2:$C$451,MATCH(A465,Customers!$A$2:$A$451,0)),"Unknown")</x:f>
        <x:v>Plus</x:v>
      </x:c>
    </x:row>
    <x:row r="466">
      <x:c r="A466" t="n">
        <x:v>83</x:v>
      </x:c>
      <x:c r="B466" s="16" t="n">
        <x:v>46235</x:v>
      </x:c>
      <x:c r="C466" t="n">
        <x:v>1</x:v>
      </x:c>
      <x:c r="D466" t="n">
        <x:v>5</x:v>
      </x:c>
      <x:c r="E466" s="18" t="n">
        <x:v>511.59</x:v>
      </x:c>
      <x:c r="F466" s="18" t="n">
        <x:v>8</x:v>
      </x:c>
      <x:c r="G466" s="18" t="n">
        <x:v>2.3</x:v>
      </x:c>
      <x:c r="H466" s="18" t="n">
        <x:v>0.45</x:v>
      </x:c>
      <x:c r="I466" s="18" t="n">
        <x:v>10.75</x:v>
      </x:c>
      <x:c r="J466" t="n">
        <x:f>IF(A466=A465,IFERROR(IF(B466=EDATE(B465,1),C465,0),0),0)</x:f>
        <x:v>1</x:v>
      </x:c>
      <x:c r="K466" t="n">
        <x:f>IF(AND(J466=1,C466=0),1,0)</x:f>
        <x:v>0</x:v>
      </x:c>
      <x:c r="L466" t="str">
        <x:f>IFERROR(INDEX(Customers!$C$2:$C$451,MATCH(A466,Customers!$A$2:$A$451,0)),"Unknown")</x:f>
        <x:v>Plus</x:v>
      </x:c>
    </x:row>
    <x:row r="467">
      <x:c r="A467" t="n">
        <x:v>83</x:v>
      </x:c>
      <x:c r="B467" s="16" t="n">
        <x:v>46266</x:v>
      </x:c>
      <x:c r="C467" t="n">
        <x:v>0</x:v>
      </x:c>
      <x:c r="D467" t="n">
        <x:v>0</x:v>
      </x:c>
      <x:c r="E467" s="18" t="n">
        <x:v>0</x:v>
      </x:c>
      <x:c r="F467" s="18" t="n">
        <x:v>0</x:v>
      </x:c>
      <x:c r="G467" s="18" t="n">
        <x:v>0</x:v>
      </x:c>
      <x:c r="H467" s="18" t="n">
        <x:v>0</x:v>
      </x:c>
      <x:c r="I467" s="18" t="n">
        <x:v>0</x:v>
      </x:c>
      <x:c r="J467" t="n">
        <x:f>IF(A467=A466,IFERROR(IF(B467=EDATE(B466,1),C466,0),0),0)</x:f>
        <x:v>1</x:v>
      </x:c>
      <x:c r="K467" t="n">
        <x:f>IF(AND(J467=1,C467=0),1,0)</x:f>
        <x:v>1</x:v>
      </x:c>
      <x:c r="L467" t="str">
        <x:f>IFERROR(INDEX(Customers!$C$2:$C$451,MATCH(A467,Customers!$A$2:$A$451,0)),"Unknown")</x:f>
        <x:v>Plus</x:v>
      </x:c>
    </x:row>
    <x:row r="468">
      <x:c r="A468" t="n">
        <x:v>84</x:v>
      </x:c>
      <x:c r="B468" s="16" t="n">
        <x:v>46113</x:v>
      </x:c>
      <x:c r="C468" t="n">
        <x:v>1</x:v>
      </x:c>
      <x:c r="D468" t="n">
        <x:v>28</x:v>
      </x:c>
      <x:c r="E468" s="18" t="n">
        <x:v>3796.05</x:v>
      </x:c>
      <x:c r="F468" s="18" t="n">
        <x:v>0</x:v>
      </x:c>
      <x:c r="G468" s="18" t="n">
        <x:v>17.08</x:v>
      </x:c>
      <x:c r="H468" s="18" t="n">
        <x:v>4.72</x:v>
      </x:c>
      <x:c r="I468" s="18" t="n">
        <x:v>21.8</x:v>
      </x:c>
      <x:c r="J468" t="n">
        <x:f>IF(A468=A467,IFERROR(IF(B468=EDATE(B467,1),C467,0),0),0)</x:f>
        <x:v>0</x:v>
      </x:c>
      <x:c r="K468" t="n">
        <x:f>IF(AND(J468=1,C468=0),1,0)</x:f>
        <x:v>0</x:v>
      </x:c>
      <x:c r="L468" t="str">
        <x:f>IFERROR(INDEX(Customers!$C$2:$C$451,MATCH(A468,Customers!$A$2:$A$451,0)),"Unknown")</x:f>
        <x:v>Standard</x:v>
      </x:c>
    </x:row>
    <x:row r="469">
      <x:c r="A469" t="n">
        <x:v>84</x:v>
      </x:c>
      <x:c r="B469" s="16" t="n">
        <x:v>46143</x:v>
      </x:c>
      <x:c r="C469" t="n">
        <x:v>1</x:v>
      </x:c>
      <x:c r="D469" t="n">
        <x:v>15</x:v>
      </x:c>
      <x:c r="E469" s="18" t="n">
        <x:v>1752.78</x:v>
      </x:c>
      <x:c r="F469" s="18" t="n">
        <x:v>0</x:v>
      </x:c>
      <x:c r="G469" s="18" t="n">
        <x:v>7.89</x:v>
      </x:c>
      <x:c r="H469" s="18" t="n">
        <x:v>4.46</x:v>
      </x:c>
      <x:c r="I469" s="18" t="n">
        <x:v>12.35</x:v>
      </x:c>
      <x:c r="J469" t="n">
        <x:f>IF(A469=A468,IFERROR(IF(B469=EDATE(B468,1),C468,0),0),0)</x:f>
        <x:v>1</x:v>
      </x:c>
      <x:c r="K469" t="n">
        <x:f>IF(AND(J469=1,C469=0),1,0)</x:f>
        <x:v>0</x:v>
      </x:c>
      <x:c r="L469" t="str">
        <x:f>IFERROR(INDEX(Customers!$C$2:$C$451,MATCH(A469,Customers!$A$2:$A$451,0)),"Unknown")</x:f>
        <x:v>Standard</x:v>
      </x:c>
    </x:row>
    <x:row r="470">
      <x:c r="A470" t="n">
        <x:v>84</x:v>
      </x:c>
      <x:c r="B470" s="16" t="n">
        <x:v>46174</x:v>
      </x:c>
      <x:c r="C470" t="n">
        <x:v>1</x:v>
      </x:c>
      <x:c r="D470" t="n">
        <x:v>15</x:v>
      </x:c>
      <x:c r="E470" s="18" t="n">
        <x:v>529.36</x:v>
      </x:c>
      <x:c r="F470" s="18" t="n">
        <x:v>0</x:v>
      </x:c>
      <x:c r="G470" s="18" t="n">
        <x:v>2.38</x:v>
      </x:c>
      <x:c r="H470" s="18" t="n">
        <x:v>1.91</x:v>
      </x:c>
      <x:c r="I470" s="18" t="n">
        <x:v>4.29</x:v>
      </x:c>
      <x:c r="J470" t="n">
        <x:f>IF(A470=A469,IFERROR(IF(B470=EDATE(B469,1),C469,0),0),0)</x:f>
        <x:v>1</x:v>
      </x:c>
      <x:c r="K470" t="n">
        <x:f>IF(AND(J470=1,C470=0),1,0)</x:f>
        <x:v>0</x:v>
      </x:c>
      <x:c r="L470" t="str">
        <x:f>IFERROR(INDEX(Customers!$C$2:$C$451,MATCH(A470,Customers!$A$2:$A$451,0)),"Unknown")</x:f>
        <x:v>Standard</x:v>
      </x:c>
    </x:row>
    <x:row r="471">
      <x:c r="A471" t="n">
        <x:v>84</x:v>
      </x:c>
      <x:c r="B471" s="16" t="n">
        <x:v>46204</x:v>
      </x:c>
      <x:c r="C471" t="n">
        <x:v>1</x:v>
      </x:c>
      <x:c r="D471" t="n">
        <x:v>34</x:v>
      </x:c>
      <x:c r="E471" s="18" t="n">
        <x:v>2316.07</x:v>
      </x:c>
      <x:c r="F471" s="18" t="n">
        <x:v>0</x:v>
      </x:c>
      <x:c r="G471" s="18" t="n">
        <x:v>10.42</x:v>
      </x:c>
      <x:c r="H471" s="18" t="n">
        <x:v>6.43</x:v>
      </x:c>
      <x:c r="I471" s="18" t="n">
        <x:v>16.85</x:v>
      </x:c>
      <x:c r="J471" t="n">
        <x:f>IF(A471=A470,IFERROR(IF(B471=EDATE(B470,1),C470,0),0),0)</x:f>
        <x:v>1</x:v>
      </x:c>
      <x:c r="K471" t="n">
        <x:f>IF(AND(J471=1,C471=0),1,0)</x:f>
        <x:v>0</x:v>
      </x:c>
      <x:c r="L471" t="str">
        <x:f>IFERROR(INDEX(Customers!$C$2:$C$451,MATCH(A471,Customers!$A$2:$A$451,0)),"Unknown")</x:f>
        <x:v>Standard</x:v>
      </x:c>
    </x:row>
    <x:row r="472">
      <x:c r="A472" t="n">
        <x:v>84</x:v>
      </x:c>
      <x:c r="B472" s="16" t="n">
        <x:v>46235</x:v>
      </x:c>
      <x:c r="C472" t="n">
        <x:v>1</x:v>
      </x:c>
      <x:c r="D472" t="n">
        <x:v>29</x:v>
      </x:c>
      <x:c r="E472" s="18" t="n">
        <x:v>3489.12</x:v>
      </x:c>
      <x:c r="F472" s="18" t="n">
        <x:v>0</x:v>
      </x:c>
      <x:c r="G472" s="18" t="n">
        <x:v>15.7</x:v>
      </x:c>
      <x:c r="H472" s="18" t="n">
        <x:v>13.03</x:v>
      </x:c>
      <x:c r="I472" s="18" t="n">
        <x:v>28.73</x:v>
      </x:c>
      <x:c r="J472" t="n">
        <x:f>IF(A472=A471,IFERROR(IF(B472=EDATE(B471,1),C471,0),0),0)</x:f>
        <x:v>1</x:v>
      </x:c>
      <x:c r="K472" t="n">
        <x:f>IF(AND(J472=1,C472=0),1,0)</x:f>
        <x:v>0</x:v>
      </x:c>
      <x:c r="L472" t="str">
        <x:f>IFERROR(INDEX(Customers!$C$2:$C$451,MATCH(A472,Customers!$A$2:$A$451,0)),"Unknown")</x:f>
        <x:v>Standard</x:v>
      </x:c>
    </x:row>
    <x:row r="473">
      <x:c r="A473" t="n">
        <x:v>84</x:v>
      </x:c>
      <x:c r="B473" s="16" t="n">
        <x:v>46266</x:v>
      </x:c>
      <x:c r="C473" t="n">
        <x:v>0</x:v>
      </x:c>
      <x:c r="D473" t="n">
        <x:v>0</x:v>
      </x:c>
      <x:c r="E473" s="18" t="n">
        <x:v>0</x:v>
      </x:c>
      <x:c r="F473" s="18" t="n">
        <x:v>0</x:v>
      </x:c>
      <x:c r="G473" s="18" t="n">
        <x:v>0</x:v>
      </x:c>
      <x:c r="H473" s="18" t="n">
        <x:v>0</x:v>
      </x:c>
      <x:c r="I473" s="18" t="n">
        <x:v>0</x:v>
      </x:c>
      <x:c r="J473" t="n">
        <x:f>IF(A473=A472,IFERROR(IF(B473=EDATE(B472,1),C472,0),0),0)</x:f>
        <x:v>1</x:v>
      </x:c>
      <x:c r="K473" t="n">
        <x:f>IF(AND(J473=1,C473=0),1,0)</x:f>
        <x:v>1</x:v>
      </x:c>
      <x:c r="L473" t="str">
        <x:f>IFERROR(INDEX(Customers!$C$2:$C$451,MATCH(A473,Customers!$A$2:$A$451,0)),"Unknown")</x:f>
        <x:v>Standard</x:v>
      </x:c>
    </x:row>
    <x:row r="474">
      <x:c r="A474" t="n">
        <x:v>85</x:v>
      </x:c>
      <x:c r="B474" s="16" t="n">
        <x:v>46113</x:v>
      </x:c>
      <x:c r="C474" t="n">
        <x:v>1</x:v>
      </x:c>
      <x:c r="D474" t="n">
        <x:v>31</x:v>
      </x:c>
      <x:c r="E474" s="18" t="n">
        <x:v>2755.62</x:v>
      </x:c>
      <x:c r="F474" s="18" t="n">
        <x:v>0</x:v>
      </x:c>
      <x:c r="G474" s="18" t="n">
        <x:v>12.4</x:v>
      </x:c>
      <x:c r="H474" s="18" t="n">
        <x:v>2.39</x:v>
      </x:c>
      <x:c r="I474" s="18" t="n">
        <x:v>14.79</x:v>
      </x:c>
      <x:c r="J474" t="n">
        <x:f>IF(A474=A473,IFERROR(IF(B474=EDATE(B473,1),C473,0),0),0)</x:f>
        <x:v>0</x:v>
      </x:c>
      <x:c r="K474" t="n">
        <x:f>IF(AND(J474=1,C474=0),1,0)</x:f>
        <x:v>0</x:v>
      </x:c>
      <x:c r="L474" t="str">
        <x:f>IFERROR(INDEX(Customers!$C$2:$C$451,MATCH(A474,Customers!$A$2:$A$451,0)),"Unknown")</x:f>
        <x:v>Standard</x:v>
      </x:c>
    </x:row>
    <x:row r="475">
      <x:c r="A475" t="n">
        <x:v>85</x:v>
      </x:c>
      <x:c r="B475" s="16" t="n">
        <x:v>46143</x:v>
      </x:c>
      <x:c r="C475" t="n">
        <x:v>1</x:v>
      </x:c>
      <x:c r="D475" t="n">
        <x:v>30</x:v>
      </x:c>
      <x:c r="E475" s="18" t="n">
        <x:v>1970.78</x:v>
      </x:c>
      <x:c r="F475" s="18" t="n">
        <x:v>0</x:v>
      </x:c>
      <x:c r="G475" s="18" t="n">
        <x:v>8.87</x:v>
      </x:c>
      <x:c r="H475" s="18" t="n">
        <x:v>3.99</x:v>
      </x:c>
      <x:c r="I475" s="18" t="n">
        <x:v>12.86</x:v>
      </x:c>
      <x:c r="J475" t="n">
        <x:f>IF(A475=A474,IFERROR(IF(B475=EDATE(B474,1),C474,0),0),0)</x:f>
        <x:v>1</x:v>
      </x:c>
      <x:c r="K475" t="n">
        <x:f>IF(AND(J475=1,C475=0),1,0)</x:f>
        <x:v>0</x:v>
      </x:c>
      <x:c r="L475" t="str">
        <x:f>IFERROR(INDEX(Customers!$C$2:$C$451,MATCH(A475,Customers!$A$2:$A$451,0)),"Unknown")</x:f>
        <x:v>Standard</x:v>
      </x:c>
    </x:row>
    <x:row r="476">
      <x:c r="A476" t="n">
        <x:v>85</x:v>
      </x:c>
      <x:c r="B476" s="16" t="n">
        <x:v>46174</x:v>
      </x:c>
      <x:c r="C476" t="n">
        <x:v>1</x:v>
      </x:c>
      <x:c r="D476" t="n">
        <x:v>32</x:v>
      </x:c>
      <x:c r="E476" s="18" t="n">
        <x:v>1772.03</x:v>
      </x:c>
      <x:c r="F476" s="18" t="n">
        <x:v>0</x:v>
      </x:c>
      <x:c r="G476" s="18" t="n">
        <x:v>7.97</x:v>
      </x:c>
      <x:c r="H476" s="18" t="n">
        <x:v>3.28</x:v>
      </x:c>
      <x:c r="I476" s="18" t="n">
        <x:v>11.25</x:v>
      </x:c>
      <x:c r="J476" t="n">
        <x:f>IF(A476=A475,IFERROR(IF(B476=EDATE(B475,1),C475,0),0),0)</x:f>
        <x:v>1</x:v>
      </x:c>
      <x:c r="K476" t="n">
        <x:f>IF(AND(J476=1,C476=0),1,0)</x:f>
        <x:v>0</x:v>
      </x:c>
      <x:c r="L476" t="str">
        <x:f>IFERROR(INDEX(Customers!$C$2:$C$451,MATCH(A476,Customers!$A$2:$A$451,0)),"Unknown")</x:f>
        <x:v>Standard</x:v>
      </x:c>
    </x:row>
    <x:row r="477">
      <x:c r="A477" t="n">
        <x:v>85</x:v>
      </x:c>
      <x:c r="B477" s="16" t="n">
        <x:v>46204</x:v>
      </x:c>
      <x:c r="C477" t="n">
        <x:v>1</x:v>
      </x:c>
      <x:c r="D477" t="n">
        <x:v>33</x:v>
      </x:c>
      <x:c r="E477" s="18" t="n">
        <x:v>2533.16</x:v>
      </x:c>
      <x:c r="F477" s="18" t="n">
        <x:v>0</x:v>
      </x:c>
      <x:c r="G477" s="18" t="n">
        <x:v>11.4</x:v>
      </x:c>
      <x:c r="H477" s="18" t="n">
        <x:v>3.99</x:v>
      </x:c>
      <x:c r="I477" s="18" t="n">
        <x:v>15.39</x:v>
      </x:c>
      <x:c r="J477" t="n">
        <x:f>IF(A477=A476,IFERROR(IF(B477=EDATE(B476,1),C476,0),0),0)</x:f>
        <x:v>1</x:v>
      </x:c>
      <x:c r="K477" t="n">
        <x:f>IF(AND(J477=1,C477=0),1,0)</x:f>
        <x:v>0</x:v>
      </x:c>
      <x:c r="L477" t="str">
        <x:f>IFERROR(INDEX(Customers!$C$2:$C$451,MATCH(A477,Customers!$A$2:$A$451,0)),"Unknown")</x:f>
        <x:v>Standard</x:v>
      </x:c>
    </x:row>
    <x:row r="478">
      <x:c r="A478" t="n">
        <x:v>85</x:v>
      </x:c>
      <x:c r="B478" s="16" t="n">
        <x:v>46235</x:v>
      </x:c>
      <x:c r="C478" t="n">
        <x:v>1</x:v>
      </x:c>
      <x:c r="D478" t="n">
        <x:v>20</x:v>
      </x:c>
      <x:c r="E478" s="18" t="n">
        <x:v>1052.38</x:v>
      </x:c>
      <x:c r="F478" s="18" t="n">
        <x:v>0</x:v>
      </x:c>
      <x:c r="G478" s="18" t="n">
        <x:v>4.74</x:v>
      </x:c>
      <x:c r="H478" s="18" t="n">
        <x:v>2.46</x:v>
      </x:c>
      <x:c r="I478" s="18" t="n">
        <x:v>7.2</x:v>
      </x:c>
      <x:c r="J478" t="n">
        <x:f>IF(A478=A477,IFERROR(IF(B478=EDATE(B477,1),C477,0),0),0)</x:f>
        <x:v>1</x:v>
      </x:c>
      <x:c r="K478" t="n">
        <x:f>IF(AND(J478=1,C478=0),1,0)</x:f>
        <x:v>0</x:v>
      </x:c>
      <x:c r="L478" t="str">
        <x:f>IFERROR(INDEX(Customers!$C$2:$C$451,MATCH(A478,Customers!$A$2:$A$451,0)),"Unknown")</x:f>
        <x:v>Standard</x:v>
      </x:c>
    </x:row>
    <x:row r="479">
      <x:c r="A479" t="n">
        <x:v>85</x:v>
      </x:c>
      <x:c r="B479" s="16" t="n">
        <x:v>46266</x:v>
      </x:c>
      <x:c r="C479" t="n">
        <x:v>1</x:v>
      </x:c>
      <x:c r="D479" t="n">
        <x:v>23</x:v>
      </x:c>
      <x:c r="E479" s="18" t="n">
        <x:v>2486.11</x:v>
      </x:c>
      <x:c r="F479" s="18" t="n">
        <x:v>0</x:v>
      </x:c>
      <x:c r="G479" s="18" t="n">
        <x:v>11.19</x:v>
      </x:c>
      <x:c r="H479" s="18" t="n">
        <x:v>8.03</x:v>
      </x:c>
      <x:c r="I479" s="18" t="n">
        <x:v>19.22</x:v>
      </x:c>
      <x:c r="J479" t="n">
        <x:f>IF(A479=A478,IFERROR(IF(B479=EDATE(B478,1),C478,0),0),0)</x:f>
        <x:v>1</x:v>
      </x:c>
      <x:c r="K479" t="n">
        <x:f>IF(AND(J479=1,C479=0),1,0)</x:f>
        <x:v>0</x:v>
      </x:c>
      <x:c r="L479" t="str">
        <x:f>IFERROR(INDEX(Customers!$C$2:$C$451,MATCH(A479,Customers!$A$2:$A$451,0)),"Unknown")</x:f>
        <x:v>Standard</x:v>
      </x:c>
    </x:row>
    <x:row r="480">
      <x:c r="A480" t="n">
        <x:v>86</x:v>
      </x:c>
      <x:c r="B480" s="16" t="n">
        <x:v>46113</x:v>
      </x:c>
      <x:c r="C480" t="n">
        <x:v>1</x:v>
      </x:c>
      <x:c r="D480" t="n">
        <x:v>24</x:v>
      </x:c>
      <x:c r="E480" s="18" t="n">
        <x:v>1516.34</x:v>
      </x:c>
      <x:c r="F480" s="18" t="n">
        <x:v>0</x:v>
      </x:c>
      <x:c r="G480" s="18" t="n">
        <x:v>6.82</x:v>
      </x:c>
      <x:c r="H480" s="18" t="n">
        <x:v>1.69</x:v>
      </x:c>
      <x:c r="I480" s="18" t="n">
        <x:v>8.51</x:v>
      </x:c>
      <x:c r="J480" t="n">
        <x:f>IF(A480=A479,IFERROR(IF(B480=EDATE(B479,1),C479,0),0),0)</x:f>
        <x:v>0</x:v>
      </x:c>
      <x:c r="K480" t="n">
        <x:f>IF(AND(J480=1,C480=0),1,0)</x:f>
        <x:v>0</x:v>
      </x:c>
      <x:c r="L480" t="str">
        <x:f>IFERROR(INDEX(Customers!$C$2:$C$451,MATCH(A480,Customers!$A$2:$A$451,0)),"Unknown")</x:f>
        <x:v>Standard</x:v>
      </x:c>
    </x:row>
    <x:row r="481">
      <x:c r="A481" t="n">
        <x:v>86</x:v>
      </x:c>
      <x:c r="B481" s="16" t="n">
        <x:v>46143</x:v>
      </x:c>
      <x:c r="C481" t="n">
        <x:v>1</x:v>
      </x:c>
      <x:c r="D481" t="n">
        <x:v>34</x:v>
      </x:c>
      <x:c r="E481" s="18" t="n">
        <x:v>2544.99</x:v>
      </x:c>
      <x:c r="F481" s="18" t="n">
        <x:v>0</x:v>
      </x:c>
      <x:c r="G481" s="18" t="n">
        <x:v>11.45</x:v>
      </x:c>
      <x:c r="H481" s="18" t="n">
        <x:v>8.76</x:v>
      </x:c>
      <x:c r="I481" s="18" t="n">
        <x:v>20.21</x:v>
      </x:c>
      <x:c r="J481" t="n">
        <x:f>IF(A481=A480,IFERROR(IF(B481=EDATE(B480,1),C480,0),0),0)</x:f>
        <x:v>1</x:v>
      </x:c>
      <x:c r="K481" t="n">
        <x:f>IF(AND(J481=1,C481=0),1,0)</x:f>
        <x:v>0</x:v>
      </x:c>
      <x:c r="L481" t="str">
        <x:f>IFERROR(INDEX(Customers!$C$2:$C$451,MATCH(A481,Customers!$A$2:$A$451,0)),"Unknown")</x:f>
        <x:v>Standard</x:v>
      </x:c>
    </x:row>
    <x:row r="482">
      <x:c r="A482" t="n">
        <x:v>86</x:v>
      </x:c>
      <x:c r="B482" s="16" t="n">
        <x:v>46174</x:v>
      </x:c>
      <x:c r="C482" t="n">
        <x:v>1</x:v>
      </x:c>
      <x:c r="D482" t="n">
        <x:v>15</x:v>
      </x:c>
      <x:c r="E482" s="18" t="n">
        <x:v>2002.16</x:v>
      </x:c>
      <x:c r="F482" s="18" t="n">
        <x:v>0</x:v>
      </x:c>
      <x:c r="G482" s="18" t="n">
        <x:v>9.01</x:v>
      </x:c>
      <x:c r="H482" s="18" t="n">
        <x:v>3.18</x:v>
      </x:c>
      <x:c r="I482" s="18" t="n">
        <x:v>12.19</x:v>
      </x:c>
      <x:c r="J482" t="n">
        <x:f>IF(A482=A481,IFERROR(IF(B482=EDATE(B481,1),C481,0),0),0)</x:f>
        <x:v>1</x:v>
      </x:c>
      <x:c r="K482" t="n">
        <x:f>IF(AND(J482=1,C482=0),1,0)</x:f>
        <x:v>0</x:v>
      </x:c>
      <x:c r="L482" t="str">
        <x:f>IFERROR(INDEX(Customers!$C$2:$C$451,MATCH(A482,Customers!$A$2:$A$451,0)),"Unknown")</x:f>
        <x:v>Standard</x:v>
      </x:c>
    </x:row>
    <x:row r="483">
      <x:c r="A483" t="n">
        <x:v>86</x:v>
      </x:c>
      <x:c r="B483" s="16" t="n">
        <x:v>46204</x:v>
      </x:c>
      <x:c r="C483" t="n">
        <x:v>1</x:v>
      </x:c>
      <x:c r="D483" t="n">
        <x:v>15</x:v>
      </x:c>
      <x:c r="E483" s="18" t="n">
        <x:v>793.08</x:v>
      </x:c>
      <x:c r="F483" s="18" t="n">
        <x:v>0</x:v>
      </x:c>
      <x:c r="G483" s="18" t="n">
        <x:v>3.57</x:v>
      </x:c>
      <x:c r="H483" s="18" t="n">
        <x:v>1.94</x:v>
      </x:c>
      <x:c r="I483" s="18" t="n">
        <x:v>5.51</x:v>
      </x:c>
      <x:c r="J483" t="n">
        <x:f>IF(A483=A482,IFERROR(IF(B483=EDATE(B482,1),C482,0),0),0)</x:f>
        <x:v>1</x:v>
      </x:c>
      <x:c r="K483" t="n">
        <x:f>IF(AND(J483=1,C483=0),1,0)</x:f>
        <x:v>0</x:v>
      </x:c>
      <x:c r="L483" t="str">
        <x:f>IFERROR(INDEX(Customers!$C$2:$C$451,MATCH(A483,Customers!$A$2:$A$451,0)),"Unknown")</x:f>
        <x:v>Standard</x:v>
      </x:c>
    </x:row>
    <x:row r="484">
      <x:c r="A484" t="n">
        <x:v>86</x:v>
      </x:c>
      <x:c r="B484" s="16" t="n">
        <x:v>46235</x:v>
      </x:c>
      <x:c r="C484" t="n">
        <x:v>1</x:v>
      </x:c>
      <x:c r="D484" t="n">
        <x:v>18</x:v>
      </x:c>
      <x:c r="E484" s="18" t="n">
        <x:v>651.27</x:v>
      </x:c>
      <x:c r="F484" s="18" t="n">
        <x:v>0</x:v>
      </x:c>
      <x:c r="G484" s="18" t="n">
        <x:v>2.93</x:v>
      </x:c>
      <x:c r="H484" s="18" t="n">
        <x:v>1.23</x:v>
      </x:c>
      <x:c r="I484" s="18" t="n">
        <x:v>4.16</x:v>
      </x:c>
      <x:c r="J484" t="n">
        <x:f>IF(A484=A483,IFERROR(IF(B484=EDATE(B483,1),C483,0),0),0)</x:f>
        <x:v>1</x:v>
      </x:c>
      <x:c r="K484" t="n">
        <x:f>IF(AND(J484=1,C484=0),1,0)</x:f>
        <x:v>0</x:v>
      </x:c>
      <x:c r="L484" t="str">
        <x:f>IFERROR(INDEX(Customers!$C$2:$C$451,MATCH(A484,Customers!$A$2:$A$451,0)),"Unknown")</x:f>
        <x:v>Standard</x:v>
      </x:c>
    </x:row>
    <x:row r="485">
      <x:c r="A485" t="n">
        <x:v>86</x:v>
      </x:c>
      <x:c r="B485" s="16" t="n">
        <x:v>46266</x:v>
      </x:c>
      <x:c r="C485" t="n">
        <x:v>1</x:v>
      </x:c>
      <x:c r="D485" t="n">
        <x:v>16</x:v>
      </x:c>
      <x:c r="E485" s="18" t="n">
        <x:v>783.48</x:v>
      </x:c>
      <x:c r="F485" s="18" t="n">
        <x:v>0</x:v>
      </x:c>
      <x:c r="G485" s="18" t="n">
        <x:v>3.53</x:v>
      </x:c>
      <x:c r="H485" s="18" t="n">
        <x:v>2.08</x:v>
      </x:c>
      <x:c r="I485" s="18" t="n">
        <x:v>5.61</x:v>
      </x:c>
      <x:c r="J485" t="n">
        <x:f>IF(A485=A484,IFERROR(IF(B485=EDATE(B484,1),C484,0),0),0)</x:f>
        <x:v>1</x:v>
      </x:c>
      <x:c r="K485" t="n">
        <x:f>IF(AND(J485=1,C485=0),1,0)</x:f>
        <x:v>0</x:v>
      </x:c>
      <x:c r="L485" t="str">
        <x:f>IFERROR(INDEX(Customers!$C$2:$C$451,MATCH(A485,Customers!$A$2:$A$451,0)),"Unknown")</x:f>
        <x:v>Standard</x:v>
      </x:c>
    </x:row>
    <x:row r="486">
      <x:c r="A486" t="n">
        <x:v>87</x:v>
      </x:c>
      <x:c r="B486" s="16" t="n">
        <x:v>46113</x:v>
      </x:c>
      <x:c r="C486" t="n">
        <x:v>1</x:v>
      </x:c>
      <x:c r="D486" t="n">
        <x:v>35</x:v>
      </x:c>
      <x:c r="E486" s="18" t="n">
        <x:v>3002.53</x:v>
      </x:c>
      <x:c r="F486" s="18" t="n">
        <x:v>0</x:v>
      </x:c>
      <x:c r="G486" s="18" t="n">
        <x:v>13.51</x:v>
      </x:c>
      <x:c r="H486" s="18" t="n">
        <x:v>8.92</x:v>
      </x:c>
      <x:c r="I486" s="18" t="n">
        <x:v>22.43</x:v>
      </x:c>
      <x:c r="J486" t="n">
        <x:f>IF(A486=A485,IFERROR(IF(B486=EDATE(B485,1),C485,0),0),0)</x:f>
        <x:v>0</x:v>
      </x:c>
      <x:c r="K486" t="n">
        <x:f>IF(AND(J486=1,C486=0),1,0)</x:f>
        <x:v>0</x:v>
      </x:c>
      <x:c r="L486" t="str">
        <x:f>IFERROR(INDEX(Customers!$C$2:$C$451,MATCH(A486,Customers!$A$2:$A$451,0)),"Unknown")</x:f>
        <x:v>Standard</x:v>
      </x:c>
    </x:row>
    <x:row r="487">
      <x:c r="A487" t="n">
        <x:v>87</x:v>
      </x:c>
      <x:c r="B487" s="16" t="n">
        <x:v>46143</x:v>
      </x:c>
      <x:c r="C487" t="n">
        <x:v>1</x:v>
      </x:c>
      <x:c r="D487" t="n">
        <x:v>36</x:v>
      </x:c>
      <x:c r="E487" s="18" t="n">
        <x:v>2088.65</x:v>
      </x:c>
      <x:c r="F487" s="18" t="n">
        <x:v>0</x:v>
      </x:c>
      <x:c r="G487" s="18" t="n">
        <x:v>9.4</x:v>
      </x:c>
      <x:c r="H487" s="18" t="n">
        <x:v>2.17</x:v>
      </x:c>
      <x:c r="I487" s="18" t="n">
        <x:v>11.57</x:v>
      </x:c>
      <x:c r="J487" t="n">
        <x:f>IF(A487=A486,IFERROR(IF(B487=EDATE(B486,1),C486,0),0),0)</x:f>
        <x:v>1</x:v>
      </x:c>
      <x:c r="K487" t="n">
        <x:f>IF(AND(J487=1,C487=0),1,0)</x:f>
        <x:v>0</x:v>
      </x:c>
      <x:c r="L487" t="str">
        <x:f>IFERROR(INDEX(Customers!$C$2:$C$451,MATCH(A487,Customers!$A$2:$A$451,0)),"Unknown")</x:f>
        <x:v>Standard</x:v>
      </x:c>
    </x:row>
    <x:row r="488">
      <x:c r="A488" t="n">
        <x:v>87</x:v>
      </x:c>
      <x:c r="B488" s="16" t="n">
        <x:v>46174</x:v>
      </x:c>
      <x:c r="C488" t="n">
        <x:v>1</x:v>
      </x:c>
      <x:c r="D488" t="n">
        <x:v>15</x:v>
      </x:c>
      <x:c r="E488" s="18" t="n">
        <x:v>1181.04</x:v>
      </x:c>
      <x:c r="F488" s="18" t="n">
        <x:v>0</x:v>
      </x:c>
      <x:c r="G488" s="18" t="n">
        <x:v>5.31</x:v>
      </x:c>
      <x:c r="H488" s="18" t="n">
        <x:v>4.01</x:v>
      </x:c>
      <x:c r="I488" s="18" t="n">
        <x:v>9.32</x:v>
      </x:c>
      <x:c r="J488" t="n">
        <x:f>IF(A488=A487,IFERROR(IF(B488=EDATE(B487,1),C487,0),0),0)</x:f>
        <x:v>1</x:v>
      </x:c>
      <x:c r="K488" t="n">
        <x:f>IF(AND(J488=1,C488=0),1,0)</x:f>
        <x:v>0</x:v>
      </x:c>
      <x:c r="L488" t="str">
        <x:f>IFERROR(INDEX(Customers!$C$2:$C$451,MATCH(A488,Customers!$A$2:$A$451,0)),"Unknown")</x:f>
        <x:v>Standard</x:v>
      </x:c>
    </x:row>
    <x:row r="489">
      <x:c r="A489" t="n">
        <x:v>87</x:v>
      </x:c>
      <x:c r="B489" s="16" t="n">
        <x:v>46204</x:v>
      </x:c>
      <x:c r="C489" t="n">
        <x:v>0</x:v>
      </x:c>
      <x:c r="D489" t="n">
        <x:v>0</x:v>
      </x:c>
      <x:c r="E489" s="18" t="n">
        <x:v>0</x:v>
      </x:c>
      <x:c r="F489" s="18" t="n">
        <x:v>0</x:v>
      </x:c>
      <x:c r="G489" s="18" t="n">
        <x:v>0</x:v>
      </x:c>
      <x:c r="H489" s="18" t="n">
        <x:v>0</x:v>
      </x:c>
      <x:c r="I489" s="18" t="n">
        <x:v>0</x:v>
      </x:c>
      <x:c r="J489" t="n">
        <x:f>IF(A489=A488,IFERROR(IF(B489=EDATE(B488,1),C488,0),0),0)</x:f>
        <x:v>1</x:v>
      </x:c>
      <x:c r="K489" t="n">
        <x:f>IF(AND(J489=1,C489=0),1,0)</x:f>
        <x:v>1</x:v>
      </x:c>
      <x:c r="L489" t="str">
        <x:f>IFERROR(INDEX(Customers!$C$2:$C$451,MATCH(A489,Customers!$A$2:$A$451,0)),"Unknown")</x:f>
        <x:v>Standard</x:v>
      </x:c>
    </x:row>
    <x:row r="490">
      <x:c r="A490" t="n">
        <x:v>87</x:v>
      </x:c>
      <x:c r="B490" s="16" t="n">
        <x:v>46235</x:v>
      </x:c>
      <x:c r="C490" t="n">
        <x:v>1</x:v>
      </x:c>
      <x:c r="D490" t="n">
        <x:v>30</x:v>
      </x:c>
      <x:c r="E490" s="18" t="n">
        <x:v>2151.46</x:v>
      </x:c>
      <x:c r="F490" s="18" t="n">
        <x:v>0</x:v>
      </x:c>
      <x:c r="G490" s="18" t="n">
        <x:v>9.68</x:v>
      </x:c>
      <x:c r="H490" s="18" t="n">
        <x:v>7.93</x:v>
      </x:c>
      <x:c r="I490" s="18" t="n">
        <x:v>17.61</x:v>
      </x:c>
      <x:c r="J490" t="n">
        <x:f>IF(A490=A489,IFERROR(IF(B490=EDATE(B489,1),C489,0),0),0)</x:f>
        <x:v>0</x:v>
      </x:c>
      <x:c r="K490" t="n">
        <x:f>IF(AND(J490=1,C490=0),1,0)</x:f>
        <x:v>0</x:v>
      </x:c>
      <x:c r="L490" t="str">
        <x:f>IFERROR(INDEX(Customers!$C$2:$C$451,MATCH(A490,Customers!$A$2:$A$451,0)),"Unknown")</x:f>
        <x:v>Standard</x:v>
      </x:c>
    </x:row>
    <x:row r="491">
      <x:c r="A491" t="n">
        <x:v>87</x:v>
      </x:c>
      <x:c r="B491" s="16" t="n">
        <x:v>46266</x:v>
      </x:c>
      <x:c r="C491" t="n">
        <x:v>0</x:v>
      </x:c>
      <x:c r="D491" t="n">
        <x:v>0</x:v>
      </x:c>
      <x:c r="E491" s="18" t="n">
        <x:v>0</x:v>
      </x:c>
      <x:c r="F491" s="18" t="n">
        <x:v>0</x:v>
      </x:c>
      <x:c r="G491" s="18" t="n">
        <x:v>0</x:v>
      </x:c>
      <x:c r="H491" s="18" t="n">
        <x:v>0</x:v>
      </x:c>
      <x:c r="I491" s="18" t="n">
        <x:v>0</x:v>
      </x:c>
      <x:c r="J491" t="n">
        <x:f>IF(A491=A490,IFERROR(IF(B491=EDATE(B490,1),C490,0),0),0)</x:f>
        <x:v>1</x:v>
      </x:c>
      <x:c r="K491" t="n">
        <x:f>IF(AND(J491=1,C491=0),1,0)</x:f>
        <x:v>1</x:v>
      </x:c>
      <x:c r="L491" t="str">
        <x:f>IFERROR(INDEX(Customers!$C$2:$C$451,MATCH(A491,Customers!$A$2:$A$451,0)),"Unknown")</x:f>
        <x:v>Standard</x:v>
      </x:c>
    </x:row>
    <x:row r="492">
      <x:c r="A492" t="n">
        <x:v>88</x:v>
      </x:c>
      <x:c r="B492" s="16" t="n">
        <x:v>46113</x:v>
      </x:c>
      <x:c r="C492" t="n">
        <x:v>1</x:v>
      </x:c>
      <x:c r="D492" t="n">
        <x:v>17</x:v>
      </x:c>
      <x:c r="E492" s="18" t="n">
        <x:v>642.39</x:v>
      </x:c>
      <x:c r="F492" s="18" t="n">
        <x:v>17</x:v>
      </x:c>
      <x:c r="G492" s="18" t="n">
        <x:v>2.89</x:v>
      </x:c>
      <x:c r="H492" s="18" t="n">
        <x:v>2.32</x:v>
      </x:c>
      <x:c r="I492" s="18" t="n">
        <x:v>22.21</x:v>
      </x:c>
      <x:c r="J492" t="n">
        <x:f>IF(A492=A491,IFERROR(IF(B492=EDATE(B491,1),C491,0),0),0)</x:f>
        <x:v>0</x:v>
      </x:c>
      <x:c r="K492" t="n">
        <x:f>IF(AND(J492=1,C492=0),1,0)</x:f>
        <x:v>0</x:v>
      </x:c>
      <x:c r="L492" t="str">
        <x:f>IFERROR(INDEX(Customers!$C$2:$C$451,MATCH(A492,Customers!$A$2:$A$451,0)),"Unknown")</x:f>
        <x:v>Premium</x:v>
      </x:c>
    </x:row>
    <x:row r="493">
      <x:c r="A493" t="n">
        <x:v>88</x:v>
      </x:c>
      <x:c r="B493" s="16" t="n">
        <x:v>46143</x:v>
      </x:c>
      <x:c r="C493" t="n">
        <x:v>1</x:v>
      </x:c>
      <x:c r="D493" t="n">
        <x:v>16</x:v>
      </x:c>
      <x:c r="E493" s="18" t="n">
        <x:v>1650.77</x:v>
      </x:c>
      <x:c r="F493" s="18" t="n">
        <x:v>17</x:v>
      </x:c>
      <x:c r="G493" s="18" t="n">
        <x:v>7.43</x:v>
      </x:c>
      <x:c r="H493" s="18" t="n">
        <x:v>1.74</x:v>
      </x:c>
      <x:c r="I493" s="18" t="n">
        <x:v>26.17</x:v>
      </x:c>
      <x:c r="J493" t="n">
        <x:f>IF(A493=A492,IFERROR(IF(B493=EDATE(B492,1),C492,0),0),0)</x:f>
        <x:v>1</x:v>
      </x:c>
      <x:c r="K493" t="n">
        <x:f>IF(AND(J493=1,C493=0),1,0)</x:f>
        <x:v>0</x:v>
      </x:c>
      <x:c r="L493" t="str">
        <x:f>IFERROR(INDEX(Customers!$C$2:$C$451,MATCH(A493,Customers!$A$2:$A$451,0)),"Unknown")</x:f>
        <x:v>Premium</x:v>
      </x:c>
    </x:row>
    <x:row r="494">
      <x:c r="A494" t="n">
        <x:v>88</x:v>
      </x:c>
      <x:c r="B494" s="16" t="n">
        <x:v>46174</x:v>
      </x:c>
      <x:c r="C494" t="n">
        <x:v>1</x:v>
      </x:c>
      <x:c r="D494" t="n">
        <x:v>35</x:v>
      </x:c>
      <x:c r="E494" s="18" t="n">
        <x:v>2472.71</x:v>
      </x:c>
      <x:c r="F494" s="18" t="n">
        <x:v>17</x:v>
      </x:c>
      <x:c r="G494" s="18" t="n">
        <x:v>11.13</x:v>
      </x:c>
      <x:c r="H494" s="18" t="n">
        <x:v>4.1</x:v>
      </x:c>
      <x:c r="I494" s="18" t="n">
        <x:v>32.23</x:v>
      </x:c>
      <x:c r="J494" t="n">
        <x:f>IF(A494=A493,IFERROR(IF(B494=EDATE(B493,1),C493,0),0),0)</x:f>
        <x:v>1</x:v>
      </x:c>
      <x:c r="K494" t="n">
        <x:f>IF(AND(J494=1,C494=0),1,0)</x:f>
        <x:v>0</x:v>
      </x:c>
      <x:c r="L494" t="str">
        <x:f>IFERROR(INDEX(Customers!$C$2:$C$451,MATCH(A494,Customers!$A$2:$A$451,0)),"Unknown")</x:f>
        <x:v>Premium</x:v>
      </x:c>
    </x:row>
    <x:row r="495">
      <x:c r="A495" t="n">
        <x:v>88</x:v>
      </x:c>
      <x:c r="B495" s="16" t="n">
        <x:v>46204</x:v>
      </x:c>
      <x:c r="C495" t="n">
        <x:v>1</x:v>
      </x:c>
      <x:c r="D495" t="n">
        <x:v>6</x:v>
      </x:c>
      <x:c r="E495" s="18" t="n">
        <x:v>728.73</x:v>
      </x:c>
      <x:c r="F495" s="18" t="n">
        <x:v>17</x:v>
      </x:c>
      <x:c r="G495" s="18" t="n">
        <x:v>3.28</x:v>
      </x:c>
      <x:c r="H495" s="18" t="n">
        <x:v>1.77</x:v>
      </x:c>
      <x:c r="I495" s="18" t="n">
        <x:v>22.05</x:v>
      </x:c>
      <x:c r="J495" t="n">
        <x:f>IF(A495=A494,IFERROR(IF(B495=EDATE(B494,1),C494,0),0),0)</x:f>
        <x:v>1</x:v>
      </x:c>
      <x:c r="K495" t="n">
        <x:f>IF(AND(J495=1,C495=0),1,0)</x:f>
        <x:v>0</x:v>
      </x:c>
      <x:c r="L495" t="str">
        <x:f>IFERROR(INDEX(Customers!$C$2:$C$451,MATCH(A495,Customers!$A$2:$A$451,0)),"Unknown")</x:f>
        <x:v>Premium</x:v>
      </x:c>
    </x:row>
    <x:row r="496">
      <x:c r="A496" t="n">
        <x:v>88</x:v>
      </x:c>
      <x:c r="B496" s="16" t="n">
        <x:v>46235</x:v>
      </x:c>
      <x:c r="C496" t="n">
        <x:v>1</x:v>
      </x:c>
      <x:c r="D496" t="n">
        <x:v>7</x:v>
      </x:c>
      <x:c r="E496" s="18" t="n">
        <x:v>678.22</x:v>
      </x:c>
      <x:c r="F496" s="18" t="n">
        <x:v>17</x:v>
      </x:c>
      <x:c r="G496" s="18" t="n">
        <x:v>3.05</x:v>
      </x:c>
      <x:c r="H496" s="18" t="n">
        <x:v>0.65</x:v>
      </x:c>
      <x:c r="I496" s="18" t="n">
        <x:v>20.7</x:v>
      </x:c>
      <x:c r="J496" t="n">
        <x:f>IF(A496=A495,IFERROR(IF(B496=EDATE(B495,1),C495,0),0),0)</x:f>
        <x:v>1</x:v>
      </x:c>
      <x:c r="K496" t="n">
        <x:f>IF(AND(J496=1,C496=0),1,0)</x:f>
        <x:v>0</x:v>
      </x:c>
      <x:c r="L496" t="str">
        <x:f>IFERROR(INDEX(Customers!$C$2:$C$451,MATCH(A496,Customers!$A$2:$A$451,0)),"Unknown")</x:f>
        <x:v>Premium</x:v>
      </x:c>
    </x:row>
    <x:row r="497">
      <x:c r="A497" t="n">
        <x:v>88</x:v>
      </x:c>
      <x:c r="B497" s="16" t="n">
        <x:v>46266</x:v>
      </x:c>
      <x:c r="C497" t="n">
        <x:v>1</x:v>
      </x:c>
      <x:c r="D497" t="n">
        <x:v>20</x:v>
      </x:c>
      <x:c r="E497" s="18" t="n">
        <x:v>997.32</x:v>
      </x:c>
      <x:c r="F497" s="18" t="n">
        <x:v>17</x:v>
      </x:c>
      <x:c r="G497" s="18" t="n">
        <x:v>4.49</x:v>
      </x:c>
      <x:c r="H497" s="18" t="n">
        <x:v>2.64</x:v>
      </x:c>
      <x:c r="I497" s="18" t="n">
        <x:v>24.13</x:v>
      </x:c>
      <x:c r="J497" t="n">
        <x:f>IF(A497=A496,IFERROR(IF(B497=EDATE(B496,1),C496,0),0),0)</x:f>
        <x:v>1</x:v>
      </x:c>
      <x:c r="K497" t="n">
        <x:f>IF(AND(J497=1,C497=0),1,0)</x:f>
        <x:v>0</x:v>
      </x:c>
      <x:c r="L497" t="str">
        <x:f>IFERROR(INDEX(Customers!$C$2:$C$451,MATCH(A497,Customers!$A$2:$A$451,0)),"Unknown")</x:f>
        <x:v>Premium</x:v>
      </x:c>
    </x:row>
    <x:row r="498">
      <x:c r="A498" t="n">
        <x:v>89</x:v>
      </x:c>
      <x:c r="B498" s="16" t="n">
        <x:v>46113</x:v>
      </x:c>
      <x:c r="C498" t="n">
        <x:v>1</x:v>
      </x:c>
      <x:c r="D498" t="n">
        <x:v>6</x:v>
      </x:c>
      <x:c r="E498" s="18" t="n">
        <x:v>812.19</x:v>
      </x:c>
      <x:c r="F498" s="18" t="n">
        <x:v>0</x:v>
      </x:c>
      <x:c r="G498" s="18" t="n">
        <x:v>3.65</x:v>
      </x:c>
      <x:c r="H498" s="18" t="n">
        <x:v>2.91</x:v>
      </x:c>
      <x:c r="I498" s="18" t="n">
        <x:v>6.56</x:v>
      </x:c>
      <x:c r="J498" t="n">
        <x:f>IF(A498=A497,IFERROR(IF(B498=EDATE(B497,1),C497,0),0),0)</x:f>
        <x:v>0</x:v>
      </x:c>
      <x:c r="K498" t="n">
        <x:f>IF(AND(J498=1,C498=0),1,0)</x:f>
        <x:v>0</x:v>
      </x:c>
      <x:c r="L498" t="str">
        <x:f>IFERROR(INDEX(Customers!$C$2:$C$451,MATCH(A498,Customers!$A$2:$A$451,0)),"Unknown")</x:f>
        <x:v>Standard</x:v>
      </x:c>
    </x:row>
    <x:row r="499">
      <x:c r="A499" t="n">
        <x:v>89</x:v>
      </x:c>
      <x:c r="B499" s="16" t="n">
        <x:v>46143</x:v>
      </x:c>
      <x:c r="C499" t="n">
        <x:v>1</x:v>
      </x:c>
      <x:c r="D499" t="n">
        <x:v>27</x:v>
      </x:c>
      <x:c r="E499" s="18" t="n">
        <x:v>2051</x:v>
      </x:c>
      <x:c r="F499" s="18" t="n">
        <x:v>0</x:v>
      </x:c>
      <x:c r="G499" s="18" t="n">
        <x:v>9.23</x:v>
      </x:c>
      <x:c r="H499" s="18" t="n">
        <x:v>5.76</x:v>
      </x:c>
      <x:c r="I499" s="18" t="n">
        <x:v>14.99</x:v>
      </x:c>
      <x:c r="J499" t="n">
        <x:f>IF(A499=A498,IFERROR(IF(B499=EDATE(B498,1),C498,0),0),0)</x:f>
        <x:v>1</x:v>
      </x:c>
      <x:c r="K499" t="n">
        <x:f>IF(AND(J499=1,C499=0),1,0)</x:f>
        <x:v>0</x:v>
      </x:c>
      <x:c r="L499" t="str">
        <x:f>IFERROR(INDEX(Customers!$C$2:$C$451,MATCH(A499,Customers!$A$2:$A$451,0)),"Unknown")</x:f>
        <x:v>Standard</x:v>
      </x:c>
    </x:row>
    <x:row r="500">
      <x:c r="A500" t="n">
        <x:v>89</x:v>
      </x:c>
      <x:c r="B500" s="16" t="n">
        <x:v>46174</x:v>
      </x:c>
      <x:c r="C500" t="n">
        <x:v>1</x:v>
      </x:c>
      <x:c r="D500" t="n">
        <x:v>10</x:v>
      </x:c>
      <x:c r="E500" s="18" t="n">
        <x:v>1201.39</x:v>
      </x:c>
      <x:c r="F500" s="18" t="n">
        <x:v>0</x:v>
      </x:c>
      <x:c r="G500" s="18" t="n">
        <x:v>5.41</x:v>
      </x:c>
      <x:c r="H500" s="18" t="n">
        <x:v>1.88</x:v>
      </x:c>
      <x:c r="I500" s="18" t="n">
        <x:v>7.29</x:v>
      </x:c>
      <x:c r="J500" t="n">
        <x:f>IF(A500=A499,IFERROR(IF(B500=EDATE(B499,1),C499,0),0),0)</x:f>
        <x:v>1</x:v>
      </x:c>
      <x:c r="K500" t="n">
        <x:f>IF(AND(J500=1,C500=0),1,0)</x:f>
        <x:v>0</x:v>
      </x:c>
      <x:c r="L500" t="str">
        <x:f>IFERROR(INDEX(Customers!$C$2:$C$451,MATCH(A500,Customers!$A$2:$A$451,0)),"Unknown")</x:f>
        <x:v>Standard</x:v>
      </x:c>
    </x:row>
    <x:row r="501">
      <x:c r="A501" t="n">
        <x:v>89</x:v>
      </x:c>
      <x:c r="B501" s="16" t="n">
        <x:v>46204</x:v>
      </x:c>
      <x:c r="C501" t="n">
        <x:v>1</x:v>
      </x:c>
      <x:c r="D501" t="n">
        <x:v>21</x:v>
      </x:c>
      <x:c r="E501" s="18" t="n">
        <x:v>1104.53</x:v>
      </x:c>
      <x:c r="F501" s="18" t="n">
        <x:v>0</x:v>
      </x:c>
      <x:c r="G501" s="18" t="n">
        <x:v>4.97</x:v>
      </x:c>
      <x:c r="H501" s="18" t="n">
        <x:v>1.14</x:v>
      </x:c>
      <x:c r="I501" s="18" t="n">
        <x:v>6.11</x:v>
      </x:c>
      <x:c r="J501" t="n">
        <x:f>IF(A501=A500,IFERROR(IF(B501=EDATE(B500,1),C500,0),0),0)</x:f>
        <x:v>1</x:v>
      </x:c>
      <x:c r="K501" t="n">
        <x:f>IF(AND(J501=1,C501=0),1,0)</x:f>
        <x:v>0</x:v>
      </x:c>
      <x:c r="L501" t="str">
        <x:f>IFERROR(INDEX(Customers!$C$2:$C$451,MATCH(A501,Customers!$A$2:$A$451,0)),"Unknown")</x:f>
        <x:v>Standard</x:v>
      </x:c>
    </x:row>
    <x:row r="502">
      <x:c r="A502" t="n">
        <x:v>89</x:v>
      </x:c>
      <x:c r="B502" s="16" t="n">
        <x:v>46235</x:v>
      </x:c>
      <x:c r="C502" t="n">
        <x:v>1</x:v>
      </x:c>
      <x:c r="D502" t="n">
        <x:v>26</x:v>
      </x:c>
      <x:c r="E502" s="18" t="n">
        <x:v>1142.45</x:v>
      </x:c>
      <x:c r="F502" s="18" t="n">
        <x:v>0</x:v>
      </x:c>
      <x:c r="G502" s="18" t="n">
        <x:v>5.14</x:v>
      </x:c>
      <x:c r="H502" s="18" t="n">
        <x:v>1.57</x:v>
      </x:c>
      <x:c r="I502" s="18" t="n">
        <x:v>6.71</x:v>
      </x:c>
      <x:c r="J502" t="n">
        <x:f>IF(A502=A501,IFERROR(IF(B502=EDATE(B501,1),C501,0),0),0)</x:f>
        <x:v>1</x:v>
      </x:c>
      <x:c r="K502" t="n">
        <x:f>IF(AND(J502=1,C502=0),1,0)</x:f>
        <x:v>0</x:v>
      </x:c>
      <x:c r="L502" t="str">
        <x:f>IFERROR(INDEX(Customers!$C$2:$C$451,MATCH(A502,Customers!$A$2:$A$451,0)),"Unknown")</x:f>
        <x:v>Standard</x:v>
      </x:c>
    </x:row>
    <x:row r="503">
      <x:c r="A503" t="n">
        <x:v>89</x:v>
      </x:c>
      <x:c r="B503" s="16" t="n">
        <x:v>46266</x:v>
      </x:c>
      <x:c r="C503" t="n">
        <x:v>1</x:v>
      </x:c>
      <x:c r="D503" t="n">
        <x:v>25</x:v>
      </x:c>
      <x:c r="E503" s="18" t="n">
        <x:v>2482.97</x:v>
      </x:c>
      <x:c r="F503" s="18" t="n">
        <x:v>0</x:v>
      </x:c>
      <x:c r="G503" s="18" t="n">
        <x:v>11.17</x:v>
      </x:c>
      <x:c r="H503" s="18" t="n">
        <x:v>8.34</x:v>
      </x:c>
      <x:c r="I503" s="18" t="n">
        <x:v>19.51</x:v>
      </x:c>
      <x:c r="J503" t="n">
        <x:f>IF(A503=A502,IFERROR(IF(B503=EDATE(B502,1),C502,0),0),0)</x:f>
        <x:v>1</x:v>
      </x:c>
      <x:c r="K503" t="n">
        <x:f>IF(AND(J503=1,C503=0),1,0)</x:f>
        <x:v>0</x:v>
      </x:c>
      <x:c r="L503" t="str">
        <x:f>IFERROR(INDEX(Customers!$C$2:$C$451,MATCH(A503,Customers!$A$2:$A$451,0)),"Unknown")</x:f>
        <x:v>Standard</x:v>
      </x:c>
    </x:row>
    <x:row r="504">
      <x:c r="A504" t="n">
        <x:v>90</x:v>
      </x:c>
      <x:c r="B504" s="16" t="n">
        <x:v>46113</x:v>
      </x:c>
      <x:c r="C504" t="n">
        <x:v>1</x:v>
      </x:c>
      <x:c r="D504" t="n">
        <x:v>5</x:v>
      </x:c>
      <x:c r="E504" s="18" t="n">
        <x:v>360.81</x:v>
      </x:c>
      <x:c r="F504" s="18" t="n">
        <x:v>8</x:v>
      </x:c>
      <x:c r="G504" s="18" t="n">
        <x:v>1.62</x:v>
      </x:c>
      <x:c r="H504" s="18" t="n">
        <x:v>0.9</x:v>
      </x:c>
      <x:c r="I504" s="18" t="n">
        <x:v>10.52</x:v>
      </x:c>
      <x:c r="J504" t="n">
        <x:f>IF(A504=A503,IFERROR(IF(B504=EDATE(B503,1),C503,0),0),0)</x:f>
        <x:v>0</x:v>
      </x:c>
      <x:c r="K504" t="n">
        <x:f>IF(AND(J504=1,C504=0),1,0)</x:f>
        <x:v>0</x:v>
      </x:c>
      <x:c r="L504" t="str">
        <x:f>IFERROR(INDEX(Customers!$C$2:$C$451,MATCH(A504,Customers!$A$2:$A$451,0)),"Unknown")</x:f>
        <x:v>Plus</x:v>
      </x:c>
    </x:row>
    <x:row r="505">
      <x:c r="A505" t="n">
        <x:v>90</x:v>
      </x:c>
      <x:c r="B505" s="16" t="n">
        <x:v>46143</x:v>
      </x:c>
      <x:c r="C505" t="n">
        <x:v>1</x:v>
      </x:c>
      <x:c r="D505" t="n">
        <x:v>24</x:v>
      </x:c>
      <x:c r="E505" s="18" t="n">
        <x:v>2596.7</x:v>
      </x:c>
      <x:c r="F505" s="18" t="n">
        <x:v>8</x:v>
      </x:c>
      <x:c r="G505" s="18" t="n">
        <x:v>11.69</x:v>
      </x:c>
      <x:c r="H505" s="18" t="n">
        <x:v>9.37</x:v>
      </x:c>
      <x:c r="I505" s="18" t="n">
        <x:v>29.06</x:v>
      </x:c>
      <x:c r="J505" t="n">
        <x:f>IF(A505=A504,IFERROR(IF(B505=EDATE(B504,1),C504,0),0),0)</x:f>
        <x:v>1</x:v>
      </x:c>
      <x:c r="K505" t="n">
        <x:f>IF(AND(J505=1,C505=0),1,0)</x:f>
        <x:v>0</x:v>
      </x:c>
      <x:c r="L505" t="str">
        <x:f>IFERROR(INDEX(Customers!$C$2:$C$451,MATCH(A505,Customers!$A$2:$A$451,0)),"Unknown")</x:f>
        <x:v>Plus</x:v>
      </x:c>
    </x:row>
    <x:row r="506">
      <x:c r="A506" t="n">
        <x:v>90</x:v>
      </x:c>
      <x:c r="B506" s="16" t="n">
        <x:v>46174</x:v>
      </x:c>
      <x:c r="C506" t="n">
        <x:v>1</x:v>
      </x:c>
      <x:c r="D506" t="n">
        <x:v>31</x:v>
      </x:c>
      <x:c r="E506" s="18" t="n">
        <x:v>2250.32</x:v>
      </x:c>
      <x:c r="F506" s="18" t="n">
        <x:v>8</x:v>
      </x:c>
      <x:c r="G506" s="18" t="n">
        <x:v>10.13</x:v>
      </x:c>
      <x:c r="H506" s="18" t="n">
        <x:v>5.89</x:v>
      </x:c>
      <x:c r="I506" s="18" t="n">
        <x:v>24.02</x:v>
      </x:c>
      <x:c r="J506" t="n">
        <x:f>IF(A506=A505,IFERROR(IF(B506=EDATE(B505,1),C505,0),0),0)</x:f>
        <x:v>1</x:v>
      </x:c>
      <x:c r="K506" t="n">
        <x:f>IF(AND(J506=1,C506=0),1,0)</x:f>
        <x:v>0</x:v>
      </x:c>
      <x:c r="L506" t="str">
        <x:f>IFERROR(INDEX(Customers!$C$2:$C$451,MATCH(A506,Customers!$A$2:$A$451,0)),"Unknown")</x:f>
        <x:v>Plus</x:v>
      </x:c>
    </x:row>
    <x:row r="507">
      <x:c r="A507" t="n">
        <x:v>90</x:v>
      </x:c>
      <x:c r="B507" s="16" t="n">
        <x:v>46204</x:v>
      </x:c>
      <x:c r="C507" t="n">
        <x:v>0</x:v>
      </x:c>
      <x:c r="D507" t="n">
        <x:v>0</x:v>
      </x:c>
      <x:c r="E507" s="18" t="n">
        <x:v>0</x:v>
      </x:c>
      <x:c r="F507" s="18" t="n">
        <x:v>0</x:v>
      </x:c>
      <x:c r="G507" s="18" t="n">
        <x:v>0</x:v>
      </x:c>
      <x:c r="H507" s="18" t="n">
        <x:v>0</x:v>
      </x:c>
      <x:c r="I507" s="18" t="n">
        <x:v>0</x:v>
      </x:c>
      <x:c r="J507" t="n">
        <x:f>IF(A507=A506,IFERROR(IF(B507=EDATE(B506,1),C506,0),0),0)</x:f>
        <x:v>1</x:v>
      </x:c>
      <x:c r="K507" t="n">
        <x:f>IF(AND(J507=1,C507=0),1,0)</x:f>
        <x:v>1</x:v>
      </x:c>
      <x:c r="L507" t="str">
        <x:f>IFERROR(INDEX(Customers!$C$2:$C$451,MATCH(A507,Customers!$A$2:$A$451,0)),"Unknown")</x:f>
        <x:v>Plus</x:v>
      </x:c>
    </x:row>
    <x:row r="508">
      <x:c r="A508" t="n">
        <x:v>90</x:v>
      </x:c>
      <x:c r="B508" s="16" t="n">
        <x:v>46235</x:v>
      </x:c>
      <x:c r="C508" t="n">
        <x:v>0</x:v>
      </x:c>
      <x:c r="D508" t="n">
        <x:v>0</x:v>
      </x:c>
      <x:c r="E508" s="18" t="n">
        <x:v>0</x:v>
      </x:c>
      <x:c r="F508" s="18" t="n">
        <x:v>0</x:v>
      </x:c>
      <x:c r="G508" s="18" t="n">
        <x:v>0</x:v>
      </x:c>
      <x:c r="H508" s="18" t="n">
        <x:v>0</x:v>
      </x:c>
      <x:c r="I508" s="18" t="n">
        <x:v>0</x:v>
      </x:c>
      <x:c r="J508" t="n">
        <x:f>IF(A508=A507,IFERROR(IF(B508=EDATE(B507,1),C507,0),0),0)</x:f>
        <x:v>0</x:v>
      </x:c>
      <x:c r="K508" t="n">
        <x:f>IF(AND(J508=1,C508=0),1,0)</x:f>
        <x:v>0</x:v>
      </x:c>
      <x:c r="L508" t="str">
        <x:f>IFERROR(INDEX(Customers!$C$2:$C$451,MATCH(A508,Customers!$A$2:$A$451,0)),"Unknown")</x:f>
        <x:v>Plus</x:v>
      </x:c>
    </x:row>
    <x:row r="509">
      <x:c r="A509" t="n">
        <x:v>90</x:v>
      </x:c>
      <x:c r="B509" s="16" t="n">
        <x:v>46266</x:v>
      </x:c>
      <x:c r="C509" t="n">
        <x:v>0</x:v>
      </x:c>
      <x:c r="D509" t="n">
        <x:v>0</x:v>
      </x:c>
      <x:c r="E509" s="18" t="n">
        <x:v>0</x:v>
      </x:c>
      <x:c r="F509" s="18" t="n">
        <x:v>0</x:v>
      </x:c>
      <x:c r="G509" s="18" t="n">
        <x:v>0</x:v>
      </x:c>
      <x:c r="H509" s="18" t="n">
        <x:v>0</x:v>
      </x:c>
      <x:c r="I509" s="18" t="n">
        <x:v>0</x:v>
      </x:c>
      <x:c r="J509" t="n">
        <x:f>IF(A509=A508,IFERROR(IF(B509=EDATE(B508,1),C508,0),0),0)</x:f>
        <x:v>0</x:v>
      </x:c>
      <x:c r="K509" t="n">
        <x:f>IF(AND(J509=1,C509=0),1,0)</x:f>
        <x:v>0</x:v>
      </x:c>
      <x:c r="L509" t="str">
        <x:f>IFERROR(INDEX(Customers!$C$2:$C$451,MATCH(A509,Customers!$A$2:$A$451,0)),"Unknown")</x:f>
        <x:v>Plus</x:v>
      </x:c>
    </x:row>
    <x:row r="510">
      <x:c r="A510" t="n">
        <x:v>91</x:v>
      </x:c>
      <x:c r="B510" s="16" t="n">
        <x:v>46113</x:v>
      </x:c>
      <x:c r="C510" t="n">
        <x:v>1</x:v>
      </x:c>
      <x:c r="D510" t="n">
        <x:v>26</x:v>
      </x:c>
      <x:c r="E510" s="18" t="n">
        <x:v>2864.84</x:v>
      </x:c>
      <x:c r="F510" s="18" t="n">
        <x:v>0</x:v>
      </x:c>
      <x:c r="G510" s="18" t="n">
        <x:v>12.89</x:v>
      </x:c>
      <x:c r="H510" s="18" t="n">
        <x:v>8.86</x:v>
      </x:c>
      <x:c r="I510" s="18" t="n">
        <x:v>21.75</x:v>
      </x:c>
      <x:c r="J510" t="n">
        <x:f>IF(A510=A509,IFERROR(IF(B510=EDATE(B509,1),C509,0),0),0)</x:f>
        <x:v>0</x:v>
      </x:c>
      <x:c r="K510" t="n">
        <x:f>IF(AND(J510=1,C510=0),1,0)</x:f>
        <x:v>0</x:v>
      </x:c>
      <x:c r="L510" t="str">
        <x:f>IFERROR(INDEX(Customers!$C$2:$C$451,MATCH(A510,Customers!$A$2:$A$451,0)),"Unknown")</x:f>
        <x:v>Standard</x:v>
      </x:c>
    </x:row>
    <x:row r="511">
      <x:c r="A511" t="n">
        <x:v>91</x:v>
      </x:c>
      <x:c r="B511" s="16" t="n">
        <x:v>46143</x:v>
      </x:c>
      <x:c r="C511" t="n">
        <x:v>1</x:v>
      </x:c>
      <x:c r="D511" t="n">
        <x:v>35</x:v>
      </x:c>
      <x:c r="E511" s="18" t="n">
        <x:v>4178.42</x:v>
      </x:c>
      <x:c r="F511" s="18" t="n">
        <x:v>0</x:v>
      </x:c>
      <x:c r="G511" s="18" t="n">
        <x:v>18.8</x:v>
      </x:c>
      <x:c r="H511" s="18" t="n">
        <x:v>7.84</x:v>
      </x:c>
      <x:c r="I511" s="18" t="n">
        <x:v>26.64</x:v>
      </x:c>
      <x:c r="J511" t="n">
        <x:f>IF(A511=A510,IFERROR(IF(B511=EDATE(B510,1),C510,0),0),0)</x:f>
        <x:v>1</x:v>
      </x:c>
      <x:c r="K511" t="n">
        <x:f>IF(AND(J511=1,C511=0),1,0)</x:f>
        <x:v>0</x:v>
      </x:c>
      <x:c r="L511" t="str">
        <x:f>IFERROR(INDEX(Customers!$C$2:$C$451,MATCH(A511,Customers!$A$2:$A$451,0)),"Unknown")</x:f>
        <x:v>Standard</x:v>
      </x:c>
    </x:row>
    <x:row r="512">
      <x:c r="A512" t="n">
        <x:v>91</x:v>
      </x:c>
      <x:c r="B512" s="16" t="n">
        <x:v>46174</x:v>
      </x:c>
      <x:c r="C512" t="n">
        <x:v>1</x:v>
      </x:c>
      <x:c r="D512" t="n">
        <x:v>22</x:v>
      </x:c>
      <x:c r="E512" s="18" t="n">
        <x:v>2661.24</x:v>
      </x:c>
      <x:c r="F512" s="18" t="n">
        <x:v>0</x:v>
      </x:c>
      <x:c r="G512" s="18" t="n">
        <x:v>11.98</x:v>
      </x:c>
      <x:c r="H512" s="18" t="n">
        <x:v>8.34</x:v>
      </x:c>
      <x:c r="I512" s="18" t="n">
        <x:v>20.32</x:v>
      </x:c>
      <x:c r="J512" t="n">
        <x:f>IF(A512=A511,IFERROR(IF(B512=EDATE(B511,1),C511,0),0),0)</x:f>
        <x:v>1</x:v>
      </x:c>
      <x:c r="K512" t="n">
        <x:f>IF(AND(J512=1,C512=0),1,0)</x:f>
        <x:v>0</x:v>
      </x:c>
      <x:c r="L512" t="str">
        <x:f>IFERROR(INDEX(Customers!$C$2:$C$451,MATCH(A512,Customers!$A$2:$A$451,0)),"Unknown")</x:f>
        <x:v>Standard</x:v>
      </x:c>
    </x:row>
    <x:row r="513">
      <x:c r="A513" t="n">
        <x:v>91</x:v>
      </x:c>
      <x:c r="B513" s="16" t="n">
        <x:v>46204</x:v>
      </x:c>
      <x:c r="C513" t="n">
        <x:v>0</x:v>
      </x:c>
      <x:c r="D513" t="n">
        <x:v>0</x:v>
      </x:c>
      <x:c r="E513" s="18" t="n">
        <x:v>0</x:v>
      </x:c>
      <x:c r="F513" s="18" t="n">
        <x:v>0</x:v>
      </x:c>
      <x:c r="G513" s="18" t="n">
        <x:v>0</x:v>
      </x:c>
      <x:c r="H513" s="18" t="n">
        <x:v>0</x:v>
      </x:c>
      <x:c r="I513" s="18" t="n">
        <x:v>0</x:v>
      </x:c>
      <x:c r="J513" t="n">
        <x:f>IF(A513=A512,IFERROR(IF(B513=EDATE(B512,1),C512,0),0),0)</x:f>
        <x:v>1</x:v>
      </x:c>
      <x:c r="K513" t="n">
        <x:f>IF(AND(J513=1,C513=0),1,0)</x:f>
        <x:v>1</x:v>
      </x:c>
      <x:c r="L513" t="str">
        <x:f>IFERROR(INDEX(Customers!$C$2:$C$451,MATCH(A513,Customers!$A$2:$A$451,0)),"Unknown")</x:f>
        <x:v>Standard</x:v>
      </x:c>
    </x:row>
    <x:row r="514">
      <x:c r="A514" t="n">
        <x:v>91</x:v>
      </x:c>
      <x:c r="B514" s="16" t="n">
        <x:v>46235</x:v>
      </x:c>
      <x:c r="C514" t="n">
        <x:v>1</x:v>
      </x:c>
      <x:c r="D514" t="n">
        <x:v>22</x:v>
      </x:c>
      <x:c r="E514" s="18" t="n">
        <x:v>2939.48</x:v>
      </x:c>
      <x:c r="F514" s="18" t="n">
        <x:v>0</x:v>
      </x:c>
      <x:c r="G514" s="18" t="n">
        <x:v>13.23</x:v>
      </x:c>
      <x:c r="H514" s="18" t="n">
        <x:v>3.39</x:v>
      </x:c>
      <x:c r="I514" s="18" t="n">
        <x:v>16.62</x:v>
      </x:c>
      <x:c r="J514" t="n">
        <x:f>IF(A514=A513,IFERROR(IF(B514=EDATE(B513,1),C513,0),0),0)</x:f>
        <x:v>0</x:v>
      </x:c>
      <x:c r="K514" t="n">
        <x:f>IF(AND(J514=1,C514=0),1,0)</x:f>
        <x:v>0</x:v>
      </x:c>
      <x:c r="L514" t="str">
        <x:f>IFERROR(INDEX(Customers!$C$2:$C$451,MATCH(A514,Customers!$A$2:$A$451,0)),"Unknown")</x:f>
        <x:v>Standard</x:v>
      </x:c>
    </x:row>
    <x:row r="515">
      <x:c r="A515" t="n">
        <x:v>91</x:v>
      </x:c>
      <x:c r="B515" s="16" t="n">
        <x:v>46266</x:v>
      </x:c>
      <x:c r="C515" t="n">
        <x:v>1</x:v>
      </x:c>
      <x:c r="D515" t="n">
        <x:v>6</x:v>
      </x:c>
      <x:c r="E515" s="18" t="n">
        <x:v>665.28</x:v>
      </x:c>
      <x:c r="F515" s="18" t="n">
        <x:v>0</x:v>
      </x:c>
      <x:c r="G515" s="18" t="n">
        <x:v>2.99</x:v>
      </x:c>
      <x:c r="H515" s="18" t="n">
        <x:v>1.73</x:v>
      </x:c>
      <x:c r="I515" s="18" t="n">
        <x:v>4.72</x:v>
      </x:c>
      <x:c r="J515" t="n">
        <x:f>IF(A515=A514,IFERROR(IF(B515=EDATE(B514,1),C514,0),0),0)</x:f>
        <x:v>1</x:v>
      </x:c>
      <x:c r="K515" t="n">
        <x:f>IF(AND(J515=1,C515=0),1,0)</x:f>
        <x:v>0</x:v>
      </x:c>
      <x:c r="L515" t="str">
        <x:f>IFERROR(INDEX(Customers!$C$2:$C$451,MATCH(A515,Customers!$A$2:$A$451,0)),"Unknown")</x:f>
        <x:v>Standard</x:v>
      </x:c>
    </x:row>
    <x:row r="516">
      <x:c r="A516" t="n">
        <x:v>92</x:v>
      </x:c>
      <x:c r="B516" s="16" t="n">
        <x:v>46113</x:v>
      </x:c>
      <x:c r="C516" t="n">
        <x:v>1</x:v>
      </x:c>
      <x:c r="D516" t="n">
        <x:v>31</x:v>
      </x:c>
      <x:c r="E516" s="18" t="n">
        <x:v>2520.36</x:v>
      </x:c>
      <x:c r="F516" s="18" t="n">
        <x:v>17</x:v>
      </x:c>
      <x:c r="G516" s="18" t="n">
        <x:v>11.34</x:v>
      </x:c>
      <x:c r="H516" s="18" t="n">
        <x:v>2.61</x:v>
      </x:c>
      <x:c r="I516" s="18" t="n">
        <x:v>30.95</x:v>
      </x:c>
      <x:c r="J516" t="n">
        <x:f>IF(A516=A515,IFERROR(IF(B516=EDATE(B515,1),C515,0),0),0)</x:f>
        <x:v>0</x:v>
      </x:c>
      <x:c r="K516" t="n">
        <x:f>IF(AND(J516=1,C516=0),1,0)</x:f>
        <x:v>0</x:v>
      </x:c>
      <x:c r="L516" t="str">
        <x:f>IFERROR(INDEX(Customers!$C$2:$C$451,MATCH(A516,Customers!$A$2:$A$451,0)),"Unknown")</x:f>
        <x:v>Premium</x:v>
      </x:c>
    </x:row>
    <x:row r="517">
      <x:c r="A517" t="n">
        <x:v>92</x:v>
      </x:c>
      <x:c r="B517" s="16" t="n">
        <x:v>46143</x:v>
      </x:c>
      <x:c r="C517" t="n">
        <x:v>1</x:v>
      </x:c>
      <x:c r="D517" t="n">
        <x:v>7</x:v>
      </x:c>
      <x:c r="E517" s="18" t="n">
        <x:v>526.09</x:v>
      </x:c>
      <x:c r="F517" s="18" t="n">
        <x:v>17</x:v>
      </x:c>
      <x:c r="G517" s="18" t="n">
        <x:v>2.37</x:v>
      </x:c>
      <x:c r="H517" s="18" t="n">
        <x:v>1.81</x:v>
      </x:c>
      <x:c r="I517" s="18" t="n">
        <x:v>21.18</x:v>
      </x:c>
      <x:c r="J517" t="n">
        <x:f>IF(A517=A516,IFERROR(IF(B517=EDATE(B516,1),C516,0),0),0)</x:f>
        <x:v>1</x:v>
      </x:c>
      <x:c r="K517" t="n">
        <x:f>IF(AND(J517=1,C517=0),1,0)</x:f>
        <x:v>0</x:v>
      </x:c>
      <x:c r="L517" t="str">
        <x:f>IFERROR(INDEX(Customers!$C$2:$C$451,MATCH(A517,Customers!$A$2:$A$451,0)),"Unknown")</x:f>
        <x:v>Premium</x:v>
      </x:c>
    </x:row>
    <x:row r="518">
      <x:c r="A518" t="n">
        <x:v>92</x:v>
      </x:c>
      <x:c r="B518" s="16" t="n">
        <x:v>46174</x:v>
      </x:c>
      <x:c r="C518" t="n">
        <x:v>1</x:v>
      </x:c>
      <x:c r="D518" t="n">
        <x:v>33</x:v>
      </x:c>
      <x:c r="E518" s="18" t="n">
        <x:v>3020.31</x:v>
      </x:c>
      <x:c r="F518" s="18" t="n">
        <x:v>17</x:v>
      </x:c>
      <x:c r="G518" s="18" t="n">
        <x:v>13.59</x:v>
      </x:c>
      <x:c r="H518" s="18" t="n">
        <x:v>6.71</x:v>
      </x:c>
      <x:c r="I518" s="18" t="n">
        <x:v>37.3</x:v>
      </x:c>
      <x:c r="J518" t="n">
        <x:f>IF(A518=A517,IFERROR(IF(B518=EDATE(B517,1),C517,0),0),0)</x:f>
        <x:v>1</x:v>
      </x:c>
      <x:c r="K518" t="n">
        <x:f>IF(AND(J518=1,C518=0),1,0)</x:f>
        <x:v>0</x:v>
      </x:c>
      <x:c r="L518" t="str">
        <x:f>IFERROR(INDEX(Customers!$C$2:$C$451,MATCH(A518,Customers!$A$2:$A$451,0)),"Unknown")</x:f>
        <x:v>Premium</x:v>
      </x:c>
    </x:row>
    <x:row r="519">
      <x:c r="A519" t="n">
        <x:v>92</x:v>
      </x:c>
      <x:c r="B519" s="16" t="n">
        <x:v>46204</x:v>
      </x:c>
      <x:c r="C519" t="n">
        <x:v>1</x:v>
      </x:c>
      <x:c r="D519" t="n">
        <x:v>29</x:v>
      </x:c>
      <x:c r="E519" s="18" t="n">
        <x:v>3557.8</x:v>
      </x:c>
      <x:c r="F519" s="18" t="n">
        <x:v>17</x:v>
      </x:c>
      <x:c r="G519" s="18" t="n">
        <x:v>16.01</x:v>
      </x:c>
      <x:c r="H519" s="18" t="n">
        <x:v>11.33</x:v>
      </x:c>
      <x:c r="I519" s="18" t="n">
        <x:v>44.34</x:v>
      </x:c>
      <x:c r="J519" t="n">
        <x:f>IF(A519=A518,IFERROR(IF(B519=EDATE(B518,1),C518,0),0),0)</x:f>
        <x:v>1</x:v>
      </x:c>
      <x:c r="K519" t="n">
        <x:f>IF(AND(J519=1,C519=0),1,0)</x:f>
        <x:v>0</x:v>
      </x:c>
      <x:c r="L519" t="str">
        <x:f>IFERROR(INDEX(Customers!$C$2:$C$451,MATCH(A519,Customers!$A$2:$A$451,0)),"Unknown")</x:f>
        <x:v>Premium</x:v>
      </x:c>
    </x:row>
    <x:row r="520">
      <x:c r="A520" t="n">
        <x:v>92</x:v>
      </x:c>
      <x:c r="B520" s="16" t="n">
        <x:v>46235</x:v>
      </x:c>
      <x:c r="C520" t="n">
        <x:v>1</x:v>
      </x:c>
      <x:c r="D520" t="n">
        <x:v>16</x:v>
      </x:c>
      <x:c r="E520" s="18" t="n">
        <x:v>1583.17</x:v>
      </x:c>
      <x:c r="F520" s="18" t="n">
        <x:v>17</x:v>
      </x:c>
      <x:c r="G520" s="18" t="n">
        <x:v>7.12</x:v>
      </x:c>
      <x:c r="H520" s="18" t="n">
        <x:v>2.58</x:v>
      </x:c>
      <x:c r="I520" s="18" t="n">
        <x:v>26.7</x:v>
      </x:c>
      <x:c r="J520" t="n">
        <x:f>IF(A520=A519,IFERROR(IF(B520=EDATE(B519,1),C519,0),0),0)</x:f>
        <x:v>1</x:v>
      </x:c>
      <x:c r="K520" t="n">
        <x:f>IF(AND(J520=1,C520=0),1,0)</x:f>
        <x:v>0</x:v>
      </x:c>
      <x:c r="L520" t="str">
        <x:f>IFERROR(INDEX(Customers!$C$2:$C$451,MATCH(A520,Customers!$A$2:$A$451,0)),"Unknown")</x:f>
        <x:v>Premium</x:v>
      </x:c>
    </x:row>
    <x:row r="521">
      <x:c r="A521" t="n">
        <x:v>92</x:v>
      </x:c>
      <x:c r="B521" s="16" t="n">
        <x:v>46266</x:v>
      </x:c>
      <x:c r="C521" t="n">
        <x:v>1</x:v>
      </x:c>
      <x:c r="D521" t="n">
        <x:v>13</x:v>
      </x:c>
      <x:c r="E521" s="18" t="n">
        <x:v>883.17</x:v>
      </x:c>
      <x:c r="F521" s="18" t="n">
        <x:v>17</x:v>
      </x:c>
      <x:c r="G521" s="18" t="n">
        <x:v>3.97</x:v>
      </x:c>
      <x:c r="H521" s="18" t="n">
        <x:v>3.15</x:v>
      </x:c>
      <x:c r="I521" s="18" t="n">
        <x:v>24.12</x:v>
      </x:c>
      <x:c r="J521" t="n">
        <x:f>IF(A521=A520,IFERROR(IF(B521=EDATE(B520,1),C520,0),0),0)</x:f>
        <x:v>1</x:v>
      </x:c>
      <x:c r="K521" t="n">
        <x:f>IF(AND(J521=1,C521=0),1,0)</x:f>
        <x:v>0</x:v>
      </x:c>
      <x:c r="L521" t="str">
        <x:f>IFERROR(INDEX(Customers!$C$2:$C$451,MATCH(A521,Customers!$A$2:$A$451,0)),"Unknown")</x:f>
        <x:v>Premium</x:v>
      </x:c>
    </x:row>
    <x:row r="522">
      <x:c r="A522" t="n">
        <x:v>93</x:v>
      </x:c>
      <x:c r="B522" s="16" t="n">
        <x:v>46143</x:v>
      </x:c>
      <x:c r="C522" t="n">
        <x:v>1</x:v>
      </x:c>
      <x:c r="D522" t="n">
        <x:v>4</x:v>
      </x:c>
      <x:c r="E522" s="18" t="n">
        <x:v>413.5</x:v>
      </x:c>
      <x:c r="F522" s="18" t="n">
        <x:v>8</x:v>
      </x:c>
      <x:c r="G522" s="18" t="n">
        <x:v>1.86</x:v>
      </x:c>
      <x:c r="H522" s="18" t="n">
        <x:v>1.27</x:v>
      </x:c>
      <x:c r="I522" s="18" t="n">
        <x:v>11.13</x:v>
      </x:c>
      <x:c r="J522" t="n">
        <x:f>IF(A522=A521,IFERROR(IF(B522=EDATE(B521,1),C521,0),0),0)</x:f>
        <x:v>0</x:v>
      </x:c>
      <x:c r="K522" t="n">
        <x:f>IF(AND(J522=1,C522=0),1,0)</x:f>
        <x:v>0</x:v>
      </x:c>
      <x:c r="L522" t="str">
        <x:f>IFERROR(INDEX(Customers!$C$2:$C$451,MATCH(A522,Customers!$A$2:$A$451,0)),"Unknown")</x:f>
        <x:v>Plus</x:v>
      </x:c>
    </x:row>
    <x:row r="523">
      <x:c r="A523" t="n">
        <x:v>93</x:v>
      </x:c>
      <x:c r="B523" s="16" t="n">
        <x:v>46174</x:v>
      </x:c>
      <x:c r="C523" t="n">
        <x:v>1</x:v>
      </x:c>
      <x:c r="D523" t="n">
        <x:v>15</x:v>
      </x:c>
      <x:c r="E523" s="18" t="n">
        <x:v>921.66</x:v>
      </x:c>
      <x:c r="F523" s="18" t="n">
        <x:v>8</x:v>
      </x:c>
      <x:c r="G523" s="18" t="n">
        <x:v>4.15</x:v>
      </x:c>
      <x:c r="H523" s="18" t="n">
        <x:v>1.38</x:v>
      </x:c>
      <x:c r="I523" s="18" t="n">
        <x:v>13.53</x:v>
      </x:c>
      <x:c r="J523" t="n">
        <x:f>IF(A523=A522,IFERROR(IF(B523=EDATE(B522,1),C522,0),0),0)</x:f>
        <x:v>1</x:v>
      </x:c>
      <x:c r="K523" t="n">
        <x:f>IF(AND(J523=1,C523=0),1,0)</x:f>
        <x:v>0</x:v>
      </x:c>
      <x:c r="L523" t="str">
        <x:f>IFERROR(INDEX(Customers!$C$2:$C$451,MATCH(A523,Customers!$A$2:$A$451,0)),"Unknown")</x:f>
        <x:v>Plus</x:v>
      </x:c>
    </x:row>
    <x:row r="524">
      <x:c r="A524" t="n">
        <x:v>93</x:v>
      </x:c>
      <x:c r="B524" s="16" t="n">
        <x:v>46204</x:v>
      </x:c>
      <x:c r="C524" t="n">
        <x:v>1</x:v>
      </x:c>
      <x:c r="D524" t="n">
        <x:v>24</x:v>
      </x:c>
      <x:c r="E524" s="18" t="n">
        <x:v>1867.43</x:v>
      </x:c>
      <x:c r="F524" s="18" t="n">
        <x:v>8</x:v>
      </x:c>
      <x:c r="G524" s="18" t="n">
        <x:v>8.4</x:v>
      </x:c>
      <x:c r="H524" s="18" t="n">
        <x:v>1.76</x:v>
      </x:c>
      <x:c r="I524" s="18" t="n">
        <x:v>18.16</x:v>
      </x:c>
      <x:c r="J524" t="n">
        <x:f>IF(A524=A523,IFERROR(IF(B524=EDATE(B523,1),C523,0),0),0)</x:f>
        <x:v>1</x:v>
      </x:c>
      <x:c r="K524" t="n">
        <x:f>IF(AND(J524=1,C524=0),1,0)</x:f>
        <x:v>0</x:v>
      </x:c>
      <x:c r="L524" t="str">
        <x:f>IFERROR(INDEX(Customers!$C$2:$C$451,MATCH(A524,Customers!$A$2:$A$451,0)),"Unknown")</x:f>
        <x:v>Plus</x:v>
      </x:c>
    </x:row>
    <x:row r="525">
      <x:c r="A525" t="n">
        <x:v>93</x:v>
      </x:c>
      <x:c r="B525" s="16" t="n">
        <x:v>46235</x:v>
      </x:c>
      <x:c r="C525" t="n">
        <x:v>0</x:v>
      </x:c>
      <x:c r="D525" t="n">
        <x:v>0</x:v>
      </x:c>
      <x:c r="E525" s="18" t="n">
        <x:v>0</x:v>
      </x:c>
      <x:c r="F525" s="18" t="n">
        <x:v>0</x:v>
      </x:c>
      <x:c r="G525" s="18" t="n">
        <x:v>0</x:v>
      </x:c>
      <x:c r="H525" s="18" t="n">
        <x:v>0</x:v>
      </x:c>
      <x:c r="I525" s="18" t="n">
        <x:v>0</x:v>
      </x:c>
      <x:c r="J525" t="n">
        <x:f>IF(A525=A524,IFERROR(IF(B525=EDATE(B524,1),C524,0),0),0)</x:f>
        <x:v>1</x:v>
      </x:c>
      <x:c r="K525" t="n">
        <x:f>IF(AND(J525=1,C525=0),1,0)</x:f>
        <x:v>1</x:v>
      </x:c>
      <x:c r="L525" t="str">
        <x:f>IFERROR(INDEX(Customers!$C$2:$C$451,MATCH(A525,Customers!$A$2:$A$451,0)),"Unknown")</x:f>
        <x:v>Plus</x:v>
      </x:c>
    </x:row>
    <x:row r="526">
      <x:c r="A526" t="n">
        <x:v>93</x:v>
      </x:c>
      <x:c r="B526" s="16" t="n">
        <x:v>46266</x:v>
      </x:c>
      <x:c r="C526" t="n">
        <x:v>0</x:v>
      </x:c>
      <x:c r="D526" t="n">
        <x:v>0</x:v>
      </x:c>
      <x:c r="E526" s="18" t="n">
        <x:v>0</x:v>
      </x:c>
      <x:c r="F526" s="18" t="n">
        <x:v>0</x:v>
      </x:c>
      <x:c r="G526" s="18" t="n">
        <x:v>0</x:v>
      </x:c>
      <x:c r="H526" s="18" t="n">
        <x:v>0</x:v>
      </x:c>
      <x:c r="I526" s="18" t="n">
        <x:v>0</x:v>
      </x:c>
      <x:c r="J526" t="n">
        <x:f>IF(A526=A525,IFERROR(IF(B526=EDATE(B525,1),C525,0),0),0)</x:f>
        <x:v>0</x:v>
      </x:c>
      <x:c r="K526" t="n">
        <x:f>IF(AND(J526=1,C526=0),1,0)</x:f>
        <x:v>0</x:v>
      </x:c>
      <x:c r="L526" t="str">
        <x:f>IFERROR(INDEX(Customers!$C$2:$C$451,MATCH(A526,Customers!$A$2:$A$451,0)),"Unknown")</x:f>
        <x:v>Plus</x:v>
      </x:c>
    </x:row>
    <x:row r="527">
      <x:c r="A527" t="n">
        <x:v>94</x:v>
      </x:c>
      <x:c r="B527" s="16" t="n">
        <x:v>46174</x:v>
      </x:c>
      <x:c r="C527" t="n">
        <x:v>1</x:v>
      </x:c>
      <x:c r="D527" t="n">
        <x:v>33</x:v>
      </x:c>
      <x:c r="E527" s="18" t="n">
        <x:v>4013.42</x:v>
      </x:c>
      <x:c r="F527" s="18" t="n">
        <x:v>17</x:v>
      </x:c>
      <x:c r="G527" s="18" t="n">
        <x:v>18.06</x:v>
      </x:c>
      <x:c r="H527" s="18" t="n">
        <x:v>6.06</x:v>
      </x:c>
      <x:c r="I527" s="18" t="n">
        <x:v>41.12</x:v>
      </x:c>
      <x:c r="J527" t="n">
        <x:f>IF(A527=A526,IFERROR(IF(B527=EDATE(B526,1),C526,0),0),0)</x:f>
        <x:v>0</x:v>
      </x:c>
      <x:c r="K527" t="n">
        <x:f>IF(AND(J527=1,C527=0),1,0)</x:f>
        <x:v>0</x:v>
      </x:c>
      <x:c r="L527" t="str">
        <x:f>IFERROR(INDEX(Customers!$C$2:$C$451,MATCH(A527,Customers!$A$2:$A$451,0)),"Unknown")</x:f>
        <x:v>Premium</x:v>
      </x:c>
    </x:row>
    <x:row r="528">
      <x:c r="A528" t="n">
        <x:v>94</x:v>
      </x:c>
      <x:c r="B528" s="16" t="n">
        <x:v>46204</x:v>
      </x:c>
      <x:c r="C528" t="n">
        <x:v>1</x:v>
      </x:c>
      <x:c r="D528" t="n">
        <x:v>27</x:v>
      </x:c>
      <x:c r="E528" s="18" t="n">
        <x:v>966.2</x:v>
      </x:c>
      <x:c r="F528" s="18" t="n">
        <x:v>17</x:v>
      </x:c>
      <x:c r="G528" s="18" t="n">
        <x:v>4.35</x:v>
      </x:c>
      <x:c r="H528" s="18" t="n">
        <x:v>2.06</x:v>
      </x:c>
      <x:c r="I528" s="18" t="n">
        <x:v>23.41</x:v>
      </x:c>
      <x:c r="J528" t="n">
        <x:f>IF(A528=A527,IFERROR(IF(B528=EDATE(B527,1),C527,0),0),0)</x:f>
        <x:v>1</x:v>
      </x:c>
      <x:c r="K528" t="n">
        <x:f>IF(AND(J528=1,C528=0),1,0)</x:f>
        <x:v>0</x:v>
      </x:c>
      <x:c r="L528" t="str">
        <x:f>IFERROR(INDEX(Customers!$C$2:$C$451,MATCH(A528,Customers!$A$2:$A$451,0)),"Unknown")</x:f>
        <x:v>Premium</x:v>
      </x:c>
    </x:row>
    <x:row r="529">
      <x:c r="A529" t="n">
        <x:v>94</x:v>
      </x:c>
      <x:c r="B529" s="16" t="n">
        <x:v>46235</x:v>
      </x:c>
      <x:c r="C529" t="n">
        <x:v>1</x:v>
      </x:c>
      <x:c r="D529" t="n">
        <x:v>26</x:v>
      </x:c>
      <x:c r="E529" s="18" t="n">
        <x:v>2234.27</x:v>
      </x:c>
      <x:c r="F529" s="18" t="n">
        <x:v>17</x:v>
      </x:c>
      <x:c r="G529" s="18" t="n">
        <x:v>10.05</x:v>
      </x:c>
      <x:c r="H529" s="18" t="n">
        <x:v>5.12</x:v>
      </x:c>
      <x:c r="I529" s="18" t="n">
        <x:v>32.17</x:v>
      </x:c>
      <x:c r="J529" t="n">
        <x:f>IF(A529=A528,IFERROR(IF(B529=EDATE(B528,1),C528,0),0),0)</x:f>
        <x:v>1</x:v>
      </x:c>
      <x:c r="K529" t="n">
        <x:f>IF(AND(J529=1,C529=0),1,0)</x:f>
        <x:v>0</x:v>
      </x:c>
      <x:c r="L529" t="str">
        <x:f>IFERROR(INDEX(Customers!$C$2:$C$451,MATCH(A529,Customers!$A$2:$A$451,0)),"Unknown")</x:f>
        <x:v>Premium</x:v>
      </x:c>
    </x:row>
    <x:row r="530">
      <x:c r="A530" t="n">
        <x:v>94</x:v>
      </x:c>
      <x:c r="B530" s="16" t="n">
        <x:v>46266</x:v>
      </x:c>
      <x:c r="C530" t="n">
        <x:v>0</x:v>
      </x:c>
      <x:c r="D530" t="n">
        <x:v>0</x:v>
      </x:c>
      <x:c r="E530" s="18" t="n">
        <x:v>0</x:v>
      </x:c>
      <x:c r="F530" s="18" t="n">
        <x:v>0</x:v>
      </x:c>
      <x:c r="G530" s="18" t="n">
        <x:v>0</x:v>
      </x:c>
      <x:c r="H530" s="18" t="n">
        <x:v>0</x:v>
      </x:c>
      <x:c r="I530" s="18" t="n">
        <x:v>0</x:v>
      </x:c>
      <x:c r="J530" t="n">
        <x:f>IF(A530=A529,IFERROR(IF(B530=EDATE(B529,1),C529,0),0),0)</x:f>
        <x:v>1</x:v>
      </x:c>
      <x:c r="K530" t="n">
        <x:f>IF(AND(J530=1,C530=0),1,0)</x:f>
        <x:v>1</x:v>
      </x:c>
      <x:c r="L530" t="str">
        <x:f>IFERROR(INDEX(Customers!$C$2:$C$451,MATCH(A530,Customers!$A$2:$A$451,0)),"Unknown")</x:f>
        <x:v>Premium</x:v>
      </x:c>
    </x:row>
    <x:row r="531">
      <x:c r="A531" t="n">
        <x:v>95</x:v>
      </x:c>
      <x:c r="B531" s="16" t="n">
        <x:v>46143</x:v>
      </x:c>
      <x:c r="C531" t="n">
        <x:v>1</x:v>
      </x:c>
      <x:c r="D531" t="n">
        <x:v>19</x:v>
      </x:c>
      <x:c r="E531" s="18" t="n">
        <x:v>1463.32</x:v>
      </x:c>
      <x:c r="F531" s="18" t="n">
        <x:v>17</x:v>
      </x:c>
      <x:c r="G531" s="18" t="n">
        <x:v>6.58</x:v>
      </x:c>
      <x:c r="H531" s="18" t="n">
        <x:v>4.48</x:v>
      </x:c>
      <x:c r="I531" s="18" t="n">
        <x:v>28.06</x:v>
      </x:c>
      <x:c r="J531" t="n">
        <x:f>IF(A531=A530,IFERROR(IF(B531=EDATE(B530,1),C530,0),0),0)</x:f>
        <x:v>0</x:v>
      </x:c>
      <x:c r="K531" t="n">
        <x:f>IF(AND(J531=1,C531=0),1,0)</x:f>
        <x:v>0</x:v>
      </x:c>
      <x:c r="L531" t="str">
        <x:f>IFERROR(INDEX(Customers!$C$2:$C$451,MATCH(A531,Customers!$A$2:$A$451,0)),"Unknown")</x:f>
        <x:v>Premium</x:v>
      </x:c>
    </x:row>
    <x:row r="532">
      <x:c r="A532" t="n">
        <x:v>95</x:v>
      </x:c>
      <x:c r="B532" s="16" t="n">
        <x:v>46174</x:v>
      </x:c>
      <x:c r="C532" t="n">
        <x:v>1</x:v>
      </x:c>
      <x:c r="D532" t="n">
        <x:v>33</x:v>
      </x:c>
      <x:c r="E532" s="18" t="n">
        <x:v>1309.97</x:v>
      </x:c>
      <x:c r="F532" s="18" t="n">
        <x:v>17</x:v>
      </x:c>
      <x:c r="G532" s="18" t="n">
        <x:v>5.89</x:v>
      </x:c>
      <x:c r="H532" s="18" t="n">
        <x:v>4.65</x:v>
      </x:c>
      <x:c r="I532" s="18" t="n">
        <x:v>27.54</x:v>
      </x:c>
      <x:c r="J532" t="n">
        <x:f>IF(A532=A531,IFERROR(IF(B532=EDATE(B531,1),C531,0),0),0)</x:f>
        <x:v>1</x:v>
      </x:c>
      <x:c r="K532" t="n">
        <x:f>IF(AND(J532=1,C532=0),1,0)</x:f>
        <x:v>0</x:v>
      </x:c>
      <x:c r="L532" t="str">
        <x:f>IFERROR(INDEX(Customers!$C$2:$C$451,MATCH(A532,Customers!$A$2:$A$451,0)),"Unknown")</x:f>
        <x:v>Premium</x:v>
      </x:c>
    </x:row>
    <x:row r="533">
      <x:c r="A533" t="n">
        <x:v>95</x:v>
      </x:c>
      <x:c r="B533" s="16" t="n">
        <x:v>46204</x:v>
      </x:c>
      <x:c r="C533" t="n">
        <x:v>1</x:v>
      </x:c>
      <x:c r="D533" t="n">
        <x:v>8</x:v>
      </x:c>
      <x:c r="E533" s="18" t="n">
        <x:v>1097.55</x:v>
      </x:c>
      <x:c r="F533" s="18" t="n">
        <x:v>17</x:v>
      </x:c>
      <x:c r="G533" s="18" t="n">
        <x:v>4.94</x:v>
      </x:c>
      <x:c r="H533" s="18" t="n">
        <x:v>3.2</x:v>
      </x:c>
      <x:c r="I533" s="18" t="n">
        <x:v>25.14</x:v>
      </x:c>
      <x:c r="J533" t="n">
        <x:f>IF(A533=A532,IFERROR(IF(B533=EDATE(B532,1),C532,0),0),0)</x:f>
        <x:v>1</x:v>
      </x:c>
      <x:c r="K533" t="n">
        <x:f>IF(AND(J533=1,C533=0),1,0)</x:f>
        <x:v>0</x:v>
      </x:c>
      <x:c r="L533" t="str">
        <x:f>IFERROR(INDEX(Customers!$C$2:$C$451,MATCH(A533,Customers!$A$2:$A$451,0)),"Unknown")</x:f>
        <x:v>Premium</x:v>
      </x:c>
    </x:row>
    <x:row r="534">
      <x:c r="A534" t="n">
        <x:v>95</x:v>
      </x:c>
      <x:c r="B534" s="16" t="n">
        <x:v>46235</x:v>
      </x:c>
      <x:c r="C534" t="n">
        <x:v>1</x:v>
      </x:c>
      <x:c r="D534" t="n">
        <x:v>35</x:v>
      </x:c>
      <x:c r="E534" s="18" t="n">
        <x:v>2647.01</x:v>
      </x:c>
      <x:c r="F534" s="18" t="n">
        <x:v>17</x:v>
      </x:c>
      <x:c r="G534" s="18" t="n">
        <x:v>11.91</x:v>
      </x:c>
      <x:c r="H534" s="18" t="n">
        <x:v>7.66</x:v>
      </x:c>
      <x:c r="I534" s="18" t="n">
        <x:v>36.57</x:v>
      </x:c>
      <x:c r="J534" t="n">
        <x:f>IF(A534=A533,IFERROR(IF(B534=EDATE(B533,1),C533,0),0),0)</x:f>
        <x:v>1</x:v>
      </x:c>
      <x:c r="K534" t="n">
        <x:f>IF(AND(J534=1,C534=0),1,0)</x:f>
        <x:v>0</x:v>
      </x:c>
      <x:c r="L534" t="str">
        <x:f>IFERROR(INDEX(Customers!$C$2:$C$451,MATCH(A534,Customers!$A$2:$A$451,0)),"Unknown")</x:f>
        <x:v>Premium</x:v>
      </x:c>
    </x:row>
    <x:row r="535">
      <x:c r="A535" t="n">
        <x:v>95</x:v>
      </x:c>
      <x:c r="B535" s="16" t="n">
        <x:v>46266</x:v>
      </x:c>
      <x:c r="C535" t="n">
        <x:v>1</x:v>
      </x:c>
      <x:c r="D535" t="n">
        <x:v>9</x:v>
      </x:c>
      <x:c r="E535" s="18" t="n">
        <x:v>1220.3</x:v>
      </x:c>
      <x:c r="F535" s="18" t="n">
        <x:v>17</x:v>
      </x:c>
      <x:c r="G535" s="18" t="n">
        <x:v>5.49</x:v>
      </x:c>
      <x:c r="H535" s="18" t="n">
        <x:v>2.54</x:v>
      </x:c>
      <x:c r="I535" s="18" t="n">
        <x:v>25.03</x:v>
      </x:c>
      <x:c r="J535" t="n">
        <x:f>IF(A535=A534,IFERROR(IF(B535=EDATE(B534,1),C534,0),0),0)</x:f>
        <x:v>1</x:v>
      </x:c>
      <x:c r="K535" t="n">
        <x:f>IF(AND(J535=1,C535=0),1,0)</x:f>
        <x:v>0</x:v>
      </x:c>
      <x:c r="L535" t="str">
        <x:f>IFERROR(INDEX(Customers!$C$2:$C$451,MATCH(A535,Customers!$A$2:$A$451,0)),"Unknown")</x:f>
        <x:v>Premium</x:v>
      </x:c>
    </x:row>
    <x:row r="536">
      <x:c r="A536" t="n">
        <x:v>96</x:v>
      </x:c>
      <x:c r="B536" s="16" t="n">
        <x:v>46113</x:v>
      </x:c>
      <x:c r="C536" t="n">
        <x:v>0</x:v>
      </x:c>
      <x:c r="D536" t="n">
        <x:v>0</x:v>
      </x:c>
      <x:c r="E536" s="18" t="n">
        <x:v>0</x:v>
      </x:c>
      <x:c r="F536" s="18" t="n">
        <x:v>0</x:v>
      </x:c>
      <x:c r="G536" s="18" t="n">
        <x:v>0</x:v>
      </x:c>
      <x:c r="H536" s="18" t="n">
        <x:v>0</x:v>
      </x:c>
      <x:c r="I536" s="18" t="n">
        <x:v>0</x:v>
      </x:c>
      <x:c r="J536" t="n">
        <x:f>IF(A536=A535,IFERROR(IF(B536=EDATE(B535,1),C535,0),0),0)</x:f>
        <x:v>0</x:v>
      </x:c>
      <x:c r="K536" t="n">
        <x:f>IF(AND(J536=1,C536=0),1,0)</x:f>
        <x:v>0</x:v>
      </x:c>
      <x:c r="L536" t="str">
        <x:f>IFERROR(INDEX(Customers!$C$2:$C$451,MATCH(A536,Customers!$A$2:$A$451,0)),"Unknown")</x:f>
        <x:v>Plus</x:v>
      </x:c>
    </x:row>
    <x:row r="537">
      <x:c r="A537" t="n">
        <x:v>96</x:v>
      </x:c>
      <x:c r="B537" s="16" t="n">
        <x:v>46143</x:v>
      </x:c>
      <x:c r="C537" t="n">
        <x:v>1</x:v>
      </x:c>
      <x:c r="D537" t="n">
        <x:v>20</x:v>
      </x:c>
      <x:c r="E537" s="18" t="n">
        <x:v>1000.05</x:v>
      </x:c>
      <x:c r="F537" s="18" t="n">
        <x:v>8</x:v>
      </x:c>
      <x:c r="G537" s="18" t="n">
        <x:v>4.5</x:v>
      </x:c>
      <x:c r="H537" s="18" t="n">
        <x:v>3.36</x:v>
      </x:c>
      <x:c r="I537" s="18" t="n">
        <x:v>15.86</x:v>
      </x:c>
      <x:c r="J537" t="n">
        <x:f>IF(A537=A536,IFERROR(IF(B537=EDATE(B536,1),C536,0),0),0)</x:f>
        <x:v>0</x:v>
      </x:c>
      <x:c r="K537" t="n">
        <x:f>IF(AND(J537=1,C537=0),1,0)</x:f>
        <x:v>0</x:v>
      </x:c>
      <x:c r="L537" t="str">
        <x:f>IFERROR(INDEX(Customers!$C$2:$C$451,MATCH(A537,Customers!$A$2:$A$451,0)),"Unknown")</x:f>
        <x:v>Plus</x:v>
      </x:c>
    </x:row>
    <x:row r="538">
      <x:c r="A538" t="n">
        <x:v>96</x:v>
      </x:c>
      <x:c r="B538" s="16" t="n">
        <x:v>46174</x:v>
      </x:c>
      <x:c r="C538" t="n">
        <x:v>1</x:v>
      </x:c>
      <x:c r="D538" t="n">
        <x:v>35</x:v>
      </x:c>
      <x:c r="E538" s="18" t="n">
        <x:v>3432.89</x:v>
      </x:c>
      <x:c r="F538" s="18" t="n">
        <x:v>8</x:v>
      </x:c>
      <x:c r="G538" s="18" t="n">
        <x:v>15.45</x:v>
      </x:c>
      <x:c r="H538" s="18" t="n">
        <x:v>6.77</x:v>
      </x:c>
      <x:c r="I538" s="18" t="n">
        <x:v>30.22</x:v>
      </x:c>
      <x:c r="J538" t="n">
        <x:f>IF(A538=A537,IFERROR(IF(B538=EDATE(B537,1),C537,0),0),0)</x:f>
        <x:v>1</x:v>
      </x:c>
      <x:c r="K538" t="n">
        <x:f>IF(AND(J538=1,C538=0),1,0)</x:f>
        <x:v>0</x:v>
      </x:c>
      <x:c r="L538" t="str">
        <x:f>IFERROR(INDEX(Customers!$C$2:$C$451,MATCH(A538,Customers!$A$2:$A$451,0)),"Unknown")</x:f>
        <x:v>Plus</x:v>
      </x:c>
    </x:row>
    <x:row r="539">
      <x:c r="A539" t="n">
        <x:v>96</x:v>
      </x:c>
      <x:c r="B539" s="16" t="n">
        <x:v>46204</x:v>
      </x:c>
      <x:c r="C539" t="n">
        <x:v>0</x:v>
      </x:c>
      <x:c r="D539" t="n">
        <x:v>0</x:v>
      </x:c>
      <x:c r="E539" s="18" t="n">
        <x:v>0</x:v>
      </x:c>
      <x:c r="F539" s="18" t="n">
        <x:v>0</x:v>
      </x:c>
      <x:c r="G539" s="18" t="n">
        <x:v>0</x:v>
      </x:c>
      <x:c r="H539" s="18" t="n">
        <x:v>0</x:v>
      </x:c>
      <x:c r="I539" s="18" t="n">
        <x:v>0</x:v>
      </x:c>
      <x:c r="J539" t="n">
        <x:f>IF(A539=A538,IFERROR(IF(B539=EDATE(B538,1),C538,0),0),0)</x:f>
        <x:v>1</x:v>
      </x:c>
      <x:c r="K539" t="n">
        <x:f>IF(AND(J539=1,C539=0),1,0)</x:f>
        <x:v>1</x:v>
      </x:c>
      <x:c r="L539" t="str">
        <x:f>IFERROR(INDEX(Customers!$C$2:$C$451,MATCH(A539,Customers!$A$2:$A$451,0)),"Unknown")</x:f>
        <x:v>Plus</x:v>
      </x:c>
    </x:row>
    <x:row r="540">
      <x:c r="A540" t="n">
        <x:v>96</x:v>
      </x:c>
      <x:c r="B540" s="16" t="n">
        <x:v>46235</x:v>
      </x:c>
      <x:c r="C540" t="n">
        <x:v>1</x:v>
      </x:c>
      <x:c r="D540" t="n">
        <x:v>15</x:v>
      </x:c>
      <x:c r="E540" s="18" t="n">
        <x:v>1913.47</x:v>
      </x:c>
      <x:c r="F540" s="18" t="n">
        <x:v>8</x:v>
      </x:c>
      <x:c r="G540" s="18" t="n">
        <x:v>8.61</x:v>
      </x:c>
      <x:c r="H540" s="18" t="n">
        <x:v>3.7</x:v>
      </x:c>
      <x:c r="I540" s="18" t="n">
        <x:v>20.31</x:v>
      </x:c>
      <x:c r="J540" t="n">
        <x:f>IF(A540=A539,IFERROR(IF(B540=EDATE(B539,1),C539,0),0),0)</x:f>
        <x:v>0</x:v>
      </x:c>
      <x:c r="K540" t="n">
        <x:f>IF(AND(J540=1,C540=0),1,0)</x:f>
        <x:v>0</x:v>
      </x:c>
      <x:c r="L540" t="str">
        <x:f>IFERROR(INDEX(Customers!$C$2:$C$451,MATCH(A540,Customers!$A$2:$A$451,0)),"Unknown")</x:f>
        <x:v>Plus</x:v>
      </x:c>
    </x:row>
    <x:row r="541">
      <x:c r="A541" t="n">
        <x:v>96</x:v>
      </x:c>
      <x:c r="B541" s="16" t="n">
        <x:v>46266</x:v>
      </x:c>
      <x:c r="C541" t="n">
        <x:v>0</x:v>
      </x:c>
      <x:c r="D541" t="n">
        <x:v>0</x:v>
      </x:c>
      <x:c r="E541" s="18" t="n">
        <x:v>0</x:v>
      </x:c>
      <x:c r="F541" s="18" t="n">
        <x:v>0</x:v>
      </x:c>
      <x:c r="G541" s="18" t="n">
        <x:v>0</x:v>
      </x:c>
      <x:c r="H541" s="18" t="n">
        <x:v>0</x:v>
      </x:c>
      <x:c r="I541" s="18" t="n">
        <x:v>0</x:v>
      </x:c>
      <x:c r="J541" t="n">
        <x:f>IF(A541=A540,IFERROR(IF(B541=EDATE(B540,1),C540,0),0),0)</x:f>
        <x:v>1</x:v>
      </x:c>
      <x:c r="K541" t="n">
        <x:f>IF(AND(J541=1,C541=0),1,0)</x:f>
        <x:v>1</x:v>
      </x:c>
      <x:c r="L541" t="str">
        <x:f>IFERROR(INDEX(Customers!$C$2:$C$451,MATCH(A541,Customers!$A$2:$A$451,0)),"Unknown")</x:f>
        <x:v>Plus</x:v>
      </x:c>
    </x:row>
    <x:row r="542">
      <x:c r="A542" t="n">
        <x:v>97</x:v>
      </x:c>
      <x:c r="B542" s="16" t="n">
        <x:v>46113</x:v>
      </x:c>
      <x:c r="C542" t="n">
        <x:v>1</x:v>
      </x:c>
      <x:c r="D542" t="n">
        <x:v>11</x:v>
      </x:c>
      <x:c r="E542" s="18" t="n">
        <x:v>1463.44</x:v>
      </x:c>
      <x:c r="F542" s="18" t="n">
        <x:v>8</x:v>
      </x:c>
      <x:c r="G542" s="18" t="n">
        <x:v>6.59</x:v>
      </x:c>
      <x:c r="H542" s="18" t="n">
        <x:v>1.44</x:v>
      </x:c>
      <x:c r="I542" s="18" t="n">
        <x:v>16.03</x:v>
      </x:c>
      <x:c r="J542" t="n">
        <x:f>IF(A542=A541,IFERROR(IF(B542=EDATE(B541,1),C541,0),0),0)</x:f>
        <x:v>0</x:v>
      </x:c>
      <x:c r="K542" t="n">
        <x:f>IF(AND(J542=1,C542=0),1,0)</x:f>
        <x:v>0</x:v>
      </x:c>
      <x:c r="L542" t="str">
        <x:f>IFERROR(INDEX(Customers!$C$2:$C$451,MATCH(A542,Customers!$A$2:$A$451,0)),"Unknown")</x:f>
        <x:v>Plus</x:v>
      </x:c>
    </x:row>
    <x:row r="543">
      <x:c r="A543" t="n">
        <x:v>97</x:v>
      </x:c>
      <x:c r="B543" s="16" t="n">
        <x:v>46143</x:v>
      </x:c>
      <x:c r="C543" t="n">
        <x:v>1</x:v>
      </x:c>
      <x:c r="D543" t="n">
        <x:v>22</x:v>
      </x:c>
      <x:c r="E543" s="18" t="n">
        <x:v>2448.77</x:v>
      </x:c>
      <x:c r="F543" s="18" t="n">
        <x:v>8</x:v>
      </x:c>
      <x:c r="G543" s="18" t="n">
        <x:v>11.02</x:v>
      </x:c>
      <x:c r="H543" s="18" t="n">
        <x:v>9.29</x:v>
      </x:c>
      <x:c r="I543" s="18" t="n">
        <x:v>28.31</x:v>
      </x:c>
      <x:c r="J543" t="n">
        <x:f>IF(A543=A542,IFERROR(IF(B543=EDATE(B542,1),C542,0),0),0)</x:f>
        <x:v>1</x:v>
      </x:c>
      <x:c r="K543" t="n">
        <x:f>IF(AND(J543=1,C543=0),1,0)</x:f>
        <x:v>0</x:v>
      </x:c>
      <x:c r="L543" t="str">
        <x:f>IFERROR(INDEX(Customers!$C$2:$C$451,MATCH(A543,Customers!$A$2:$A$451,0)),"Unknown")</x:f>
        <x:v>Plus</x:v>
      </x:c>
    </x:row>
    <x:row r="544">
      <x:c r="A544" t="n">
        <x:v>97</x:v>
      </x:c>
      <x:c r="B544" s="16" t="n">
        <x:v>46174</x:v>
      </x:c>
      <x:c r="C544" t="n">
        <x:v>1</x:v>
      </x:c>
      <x:c r="D544" t="n">
        <x:v>24</x:v>
      </x:c>
      <x:c r="E544" s="18" t="n">
        <x:v>1608.7</x:v>
      </x:c>
      <x:c r="F544" s="18" t="n">
        <x:v>8</x:v>
      </x:c>
      <x:c r="G544" s="18" t="n">
        <x:v>7.24</x:v>
      </x:c>
      <x:c r="H544" s="18" t="n">
        <x:v>5.66</x:v>
      </x:c>
      <x:c r="I544" s="18" t="n">
        <x:v>20.9</x:v>
      </x:c>
      <x:c r="J544" t="n">
        <x:f>IF(A544=A543,IFERROR(IF(B544=EDATE(B543,1),C543,0),0),0)</x:f>
        <x:v>1</x:v>
      </x:c>
      <x:c r="K544" t="n">
        <x:f>IF(AND(J544=1,C544=0),1,0)</x:f>
        <x:v>0</x:v>
      </x:c>
      <x:c r="L544" t="str">
        <x:f>IFERROR(INDEX(Customers!$C$2:$C$451,MATCH(A544,Customers!$A$2:$A$451,0)),"Unknown")</x:f>
        <x:v>Plus</x:v>
      </x:c>
    </x:row>
    <x:row r="545">
      <x:c r="A545" t="n">
        <x:v>97</x:v>
      </x:c>
      <x:c r="B545" s="16" t="n">
        <x:v>46204</x:v>
      </x:c>
      <x:c r="C545" t="n">
        <x:v>1</x:v>
      </x:c>
      <x:c r="D545" t="n">
        <x:v>25</x:v>
      </x:c>
      <x:c r="E545" s="18" t="n">
        <x:v>3238.8</x:v>
      </x:c>
      <x:c r="F545" s="18" t="n">
        <x:v>8</x:v>
      </x:c>
      <x:c r="G545" s="18" t="n">
        <x:v>14.57</x:v>
      </x:c>
      <x:c r="H545" s="18" t="n">
        <x:v>9.8</x:v>
      </x:c>
      <x:c r="I545" s="18" t="n">
        <x:v>32.37</x:v>
      </x:c>
      <x:c r="J545" t="n">
        <x:f>IF(A545=A544,IFERROR(IF(B545=EDATE(B544,1),C544,0),0),0)</x:f>
        <x:v>1</x:v>
      </x:c>
      <x:c r="K545" t="n">
        <x:f>IF(AND(J545=1,C545=0),1,0)</x:f>
        <x:v>0</x:v>
      </x:c>
      <x:c r="L545" t="str">
        <x:f>IFERROR(INDEX(Customers!$C$2:$C$451,MATCH(A545,Customers!$A$2:$A$451,0)),"Unknown")</x:f>
        <x:v>Plus</x:v>
      </x:c>
    </x:row>
    <x:row r="546">
      <x:c r="A546" t="n">
        <x:v>97</x:v>
      </x:c>
      <x:c r="B546" s="16" t="n">
        <x:v>46235</x:v>
      </x:c>
      <x:c r="C546" t="n">
        <x:v>1</x:v>
      </x:c>
      <x:c r="D546" t="n">
        <x:v>6</x:v>
      </x:c>
      <x:c r="E546" s="18" t="n">
        <x:v>363.15</x:v>
      </x:c>
      <x:c r="F546" s="18" t="n">
        <x:v>8</x:v>
      </x:c>
      <x:c r="G546" s="18" t="n">
        <x:v>1.63</x:v>
      </x:c>
      <x:c r="H546" s="18" t="n">
        <x:v>1.1</x:v>
      </x:c>
      <x:c r="I546" s="18" t="n">
        <x:v>10.73</x:v>
      </x:c>
      <x:c r="J546" t="n">
        <x:f>IF(A546=A545,IFERROR(IF(B546=EDATE(B545,1),C545,0),0),0)</x:f>
        <x:v>1</x:v>
      </x:c>
      <x:c r="K546" t="n">
        <x:f>IF(AND(J546=1,C546=0),1,0)</x:f>
        <x:v>0</x:v>
      </x:c>
      <x:c r="L546" t="str">
        <x:f>IFERROR(INDEX(Customers!$C$2:$C$451,MATCH(A546,Customers!$A$2:$A$451,0)),"Unknown")</x:f>
        <x:v>Plus</x:v>
      </x:c>
    </x:row>
    <x:row r="547">
      <x:c r="A547" t="n">
        <x:v>97</x:v>
      </x:c>
      <x:c r="B547" s="16" t="n">
        <x:v>46266</x:v>
      </x:c>
      <x:c r="C547" t="n">
        <x:v>1</x:v>
      </x:c>
      <x:c r="D547" t="n">
        <x:v>12</x:v>
      </x:c>
      <x:c r="E547" s="18" t="n">
        <x:v>1250.03</x:v>
      </x:c>
      <x:c r="F547" s="18" t="n">
        <x:v>8</x:v>
      </x:c>
      <x:c r="G547" s="18" t="n">
        <x:v>5.63</x:v>
      </x:c>
      <x:c r="H547" s="18" t="n">
        <x:v>2.75</x:v>
      </x:c>
      <x:c r="I547" s="18" t="n">
        <x:v>16.38</x:v>
      </x:c>
      <x:c r="J547" t="n">
        <x:f>IF(A547=A546,IFERROR(IF(B547=EDATE(B546,1),C546,0),0),0)</x:f>
        <x:v>1</x:v>
      </x:c>
      <x:c r="K547" t="n">
        <x:f>IF(AND(J547=1,C547=0),1,0)</x:f>
        <x:v>0</x:v>
      </x:c>
      <x:c r="L547" t="str">
        <x:f>IFERROR(INDEX(Customers!$C$2:$C$451,MATCH(A547,Customers!$A$2:$A$451,0)),"Unknown")</x:f>
        <x:v>Plus</x:v>
      </x:c>
    </x:row>
    <x:row r="548">
      <x:c r="A548" t="n">
        <x:v>98</x:v>
      </x:c>
      <x:c r="B548" s="16" t="n">
        <x:v>46174</x:v>
      </x:c>
      <x:c r="C548" t="n">
        <x:v>1</x:v>
      </x:c>
      <x:c r="D548" t="n">
        <x:v>12</x:v>
      </x:c>
      <x:c r="E548" s="18" t="n">
        <x:v>725.24</x:v>
      </x:c>
      <x:c r="F548" s="18" t="n">
        <x:v>0</x:v>
      </x:c>
      <x:c r="G548" s="18" t="n">
        <x:v>3.26</x:v>
      </x:c>
      <x:c r="H548" s="18" t="n">
        <x:v>1.31</x:v>
      </x:c>
      <x:c r="I548" s="18" t="n">
        <x:v>4.57</x:v>
      </x:c>
      <x:c r="J548" t="n">
        <x:f>IF(A548=A547,IFERROR(IF(B548=EDATE(B547,1),C547,0),0),0)</x:f>
        <x:v>0</x:v>
      </x:c>
      <x:c r="K548" t="n">
        <x:f>IF(AND(J548=1,C548=0),1,0)</x:f>
        <x:v>0</x:v>
      </x:c>
      <x:c r="L548" t="str">
        <x:f>IFERROR(INDEX(Customers!$C$2:$C$451,MATCH(A548,Customers!$A$2:$A$451,0)),"Unknown")</x:f>
        <x:v>Standard</x:v>
      </x:c>
    </x:row>
    <x:row r="549">
      <x:c r="A549" t="n">
        <x:v>98</x:v>
      </x:c>
      <x:c r="B549" s="16" t="n">
        <x:v>46204</x:v>
      </x:c>
      <x:c r="C549" t="n">
        <x:v>1</x:v>
      </x:c>
      <x:c r="D549" t="n">
        <x:v>30</x:v>
      </x:c>
      <x:c r="E549" s="18" t="n">
        <x:v>3582.36</x:v>
      </x:c>
      <x:c r="F549" s="18" t="n">
        <x:v>0</x:v>
      </x:c>
      <x:c r="G549" s="18" t="n">
        <x:v>16.12</x:v>
      </x:c>
      <x:c r="H549" s="18" t="n">
        <x:v>6.01</x:v>
      </x:c>
      <x:c r="I549" s="18" t="n">
        <x:v>22.13</x:v>
      </x:c>
      <x:c r="J549" t="n">
        <x:f>IF(A549=A548,IFERROR(IF(B549=EDATE(B548,1),C548,0),0),0)</x:f>
        <x:v>1</x:v>
      </x:c>
      <x:c r="K549" t="n">
        <x:f>IF(AND(J549=1,C549=0),1,0)</x:f>
        <x:v>0</x:v>
      </x:c>
      <x:c r="L549" t="str">
        <x:f>IFERROR(INDEX(Customers!$C$2:$C$451,MATCH(A549,Customers!$A$2:$A$451,0)),"Unknown")</x:f>
        <x:v>Standard</x:v>
      </x:c>
    </x:row>
    <x:row r="550">
      <x:c r="A550" t="n">
        <x:v>98</x:v>
      </x:c>
      <x:c r="B550" s="16" t="n">
        <x:v>46235</x:v>
      </x:c>
      <x:c r="C550" t="n">
        <x:v>1</x:v>
      </x:c>
      <x:c r="D550" t="n">
        <x:v>22</x:v>
      </x:c>
      <x:c r="E550" s="18" t="n">
        <x:v>2706.93</x:v>
      </x:c>
      <x:c r="F550" s="18" t="n">
        <x:v>0</x:v>
      </x:c>
      <x:c r="G550" s="18" t="n">
        <x:v>12.18</x:v>
      </x:c>
      <x:c r="H550" s="18" t="n">
        <x:v>5</x:v>
      </x:c>
      <x:c r="I550" s="18" t="n">
        <x:v>17.18</x:v>
      </x:c>
      <x:c r="J550" t="n">
        <x:f>IF(A550=A549,IFERROR(IF(B550=EDATE(B549,1),C549,0),0),0)</x:f>
        <x:v>1</x:v>
      </x:c>
      <x:c r="K550" t="n">
        <x:f>IF(AND(J550=1,C550=0),1,0)</x:f>
        <x:v>0</x:v>
      </x:c>
      <x:c r="L550" t="str">
        <x:f>IFERROR(INDEX(Customers!$C$2:$C$451,MATCH(A550,Customers!$A$2:$A$451,0)),"Unknown")</x:f>
        <x:v>Standard</x:v>
      </x:c>
    </x:row>
    <x:row r="551">
      <x:c r="A551" t="n">
        <x:v>98</x:v>
      </x:c>
      <x:c r="B551" s="16" t="n">
        <x:v>46266</x:v>
      </x:c>
      <x:c r="C551" t="n">
        <x:v>0</x:v>
      </x:c>
      <x:c r="D551" t="n">
        <x:v>0</x:v>
      </x:c>
      <x:c r="E551" s="18" t="n">
        <x:v>0</x:v>
      </x:c>
      <x:c r="F551" s="18" t="n">
        <x:v>0</x:v>
      </x:c>
      <x:c r="G551" s="18" t="n">
        <x:v>0</x:v>
      </x:c>
      <x:c r="H551" s="18" t="n">
        <x:v>0</x:v>
      </x:c>
      <x:c r="I551" s="18" t="n">
        <x:v>0</x:v>
      </x:c>
      <x:c r="J551" t="n">
        <x:f>IF(A551=A550,IFERROR(IF(B551=EDATE(B550,1),C550,0),0),0)</x:f>
        <x:v>1</x:v>
      </x:c>
      <x:c r="K551" t="n">
        <x:f>IF(AND(J551=1,C551=0),1,0)</x:f>
        <x:v>1</x:v>
      </x:c>
      <x:c r="L551" t="str">
        <x:f>IFERROR(INDEX(Customers!$C$2:$C$451,MATCH(A551,Customers!$A$2:$A$451,0)),"Unknown")</x:f>
        <x:v>Standard</x:v>
      </x:c>
    </x:row>
    <x:row r="552">
      <x:c r="A552" t="n">
        <x:v>99</x:v>
      </x:c>
      <x:c r="B552" s="16" t="n">
        <x:v>46113</x:v>
      </x:c>
      <x:c r="C552" t="n">
        <x:v>1</x:v>
      </x:c>
      <x:c r="D552" t="n">
        <x:v>4</x:v>
      </x:c>
      <x:c r="E552" s="18" t="n">
        <x:v>207.82</x:v>
      </x:c>
      <x:c r="F552" s="18" t="n">
        <x:v>8</x:v>
      </x:c>
      <x:c r="G552" s="18" t="n">
        <x:v>0.94</x:v>
      </x:c>
      <x:c r="H552" s="18" t="n">
        <x:v>0.26</x:v>
      </x:c>
      <x:c r="I552" s="18" t="n">
        <x:v>9.2</x:v>
      </x:c>
      <x:c r="J552" t="n">
        <x:f>IF(A552=A551,IFERROR(IF(B552=EDATE(B551,1),C551,0),0),0)</x:f>
        <x:v>0</x:v>
      </x:c>
      <x:c r="K552" t="n">
        <x:f>IF(AND(J552=1,C552=0),1,0)</x:f>
        <x:v>0</x:v>
      </x:c>
      <x:c r="L552" t="str">
        <x:f>IFERROR(INDEX(Customers!$C$2:$C$451,MATCH(A552,Customers!$A$2:$A$451,0)),"Unknown")</x:f>
        <x:v>Plus</x:v>
      </x:c>
    </x:row>
    <x:row r="553">
      <x:c r="A553" t="n">
        <x:v>99</x:v>
      </x:c>
      <x:c r="B553" s="16" t="n">
        <x:v>46143</x:v>
      </x:c>
      <x:c r="C553" t="n">
        <x:v>1</x:v>
      </x:c>
      <x:c r="D553" t="n">
        <x:v>16</x:v>
      </x:c>
      <x:c r="E553" s="18" t="n">
        <x:v>2124.84</x:v>
      </x:c>
      <x:c r="F553" s="18" t="n">
        <x:v>8</x:v>
      </x:c>
      <x:c r="G553" s="18" t="n">
        <x:v>9.56</x:v>
      </x:c>
      <x:c r="H553" s="18" t="n">
        <x:v>2.55</x:v>
      </x:c>
      <x:c r="I553" s="18" t="n">
        <x:v>20.11</x:v>
      </x:c>
      <x:c r="J553" t="n">
        <x:f>IF(A553=A552,IFERROR(IF(B553=EDATE(B552,1),C552,0),0),0)</x:f>
        <x:v>1</x:v>
      </x:c>
      <x:c r="K553" t="n">
        <x:f>IF(AND(J553=1,C553=0),1,0)</x:f>
        <x:v>0</x:v>
      </x:c>
      <x:c r="L553" t="str">
        <x:f>IFERROR(INDEX(Customers!$C$2:$C$451,MATCH(A553,Customers!$A$2:$A$451,0)),"Unknown")</x:f>
        <x:v>Plus</x:v>
      </x:c>
    </x:row>
    <x:row r="554">
      <x:c r="A554" t="n">
        <x:v>99</x:v>
      </x:c>
      <x:c r="B554" s="16" t="n">
        <x:v>46174</x:v>
      </x:c>
      <x:c r="C554" t="n">
        <x:v>1</x:v>
      </x:c>
      <x:c r="D554" t="n">
        <x:v>8</x:v>
      </x:c>
      <x:c r="E554" s="18" t="n">
        <x:v>818.84</x:v>
      </x:c>
      <x:c r="F554" s="18" t="n">
        <x:v>8</x:v>
      </x:c>
      <x:c r="G554" s="18" t="n">
        <x:v>3.68</x:v>
      </x:c>
      <x:c r="H554" s="18" t="n">
        <x:v>3.07</x:v>
      </x:c>
      <x:c r="I554" s="18" t="n">
        <x:v>14.75</x:v>
      </x:c>
      <x:c r="J554" t="n">
        <x:f>IF(A554=A553,IFERROR(IF(B554=EDATE(B553,1),C553,0),0),0)</x:f>
        <x:v>1</x:v>
      </x:c>
      <x:c r="K554" t="n">
        <x:f>IF(AND(J554=1,C554=0),1,0)</x:f>
        <x:v>0</x:v>
      </x:c>
      <x:c r="L554" t="str">
        <x:f>IFERROR(INDEX(Customers!$C$2:$C$451,MATCH(A554,Customers!$A$2:$A$451,0)),"Unknown")</x:f>
        <x:v>Plus</x:v>
      </x:c>
    </x:row>
    <x:row r="555">
      <x:c r="A555" t="n">
        <x:v>99</x:v>
      </x:c>
      <x:c r="B555" s="16" t="n">
        <x:v>46204</x:v>
      </x:c>
      <x:c r="C555" t="n">
        <x:v>1</x:v>
      </x:c>
      <x:c r="D555" t="n">
        <x:v>36</x:v>
      </x:c>
      <x:c r="E555" s="18" t="n">
        <x:v>4041.88</x:v>
      </x:c>
      <x:c r="F555" s="18" t="n">
        <x:v>8</x:v>
      </x:c>
      <x:c r="G555" s="18" t="n">
        <x:v>18.19</x:v>
      </x:c>
      <x:c r="H555" s="18" t="n">
        <x:v>8.51</x:v>
      </x:c>
      <x:c r="I555" s="18" t="n">
        <x:v>34.7</x:v>
      </x:c>
      <x:c r="J555" t="n">
        <x:f>IF(A555=A554,IFERROR(IF(B555=EDATE(B554,1),C554,0),0),0)</x:f>
        <x:v>1</x:v>
      </x:c>
      <x:c r="K555" t="n">
        <x:f>IF(AND(J555=1,C555=0),1,0)</x:f>
        <x:v>0</x:v>
      </x:c>
      <x:c r="L555" t="str">
        <x:f>IFERROR(INDEX(Customers!$C$2:$C$451,MATCH(A555,Customers!$A$2:$A$451,0)),"Unknown")</x:f>
        <x:v>Plus</x:v>
      </x:c>
    </x:row>
    <x:row r="556">
      <x:c r="A556" t="n">
        <x:v>99</x:v>
      </x:c>
      <x:c r="B556" s="16" t="n">
        <x:v>46235</x:v>
      </x:c>
      <x:c r="C556" t="n">
        <x:v>1</x:v>
      </x:c>
      <x:c r="D556" t="n">
        <x:v>21</x:v>
      </x:c>
      <x:c r="E556" s="18" t="n">
        <x:v>1752.33</x:v>
      </x:c>
      <x:c r="F556" s="18" t="n">
        <x:v>8</x:v>
      </x:c>
      <x:c r="G556" s="18" t="n">
        <x:v>7.89</x:v>
      </x:c>
      <x:c r="H556" s="18" t="n">
        <x:v>6.11</x:v>
      </x:c>
      <x:c r="I556" s="18" t="n">
        <x:v>22</x:v>
      </x:c>
      <x:c r="J556" t="n">
        <x:f>IF(A556=A555,IFERROR(IF(B556=EDATE(B555,1),C555,0),0),0)</x:f>
        <x:v>1</x:v>
      </x:c>
      <x:c r="K556" t="n">
        <x:f>IF(AND(J556=1,C556=0),1,0)</x:f>
        <x:v>0</x:v>
      </x:c>
      <x:c r="L556" t="str">
        <x:f>IFERROR(INDEX(Customers!$C$2:$C$451,MATCH(A556,Customers!$A$2:$A$451,0)),"Unknown")</x:f>
        <x:v>Plus</x:v>
      </x:c>
    </x:row>
    <x:row r="557">
      <x:c r="A557" t="n">
        <x:v>99</x:v>
      </x:c>
      <x:c r="B557" s="16" t="n">
        <x:v>46266</x:v>
      </x:c>
      <x:c r="C557" t="n">
        <x:v>0</x:v>
      </x:c>
      <x:c r="D557" t="n">
        <x:v>0</x:v>
      </x:c>
      <x:c r="E557" s="18" t="n">
        <x:v>0</x:v>
      </x:c>
      <x:c r="F557" s="18" t="n">
        <x:v>0</x:v>
      </x:c>
      <x:c r="G557" s="18" t="n">
        <x:v>0</x:v>
      </x:c>
      <x:c r="H557" s="18" t="n">
        <x:v>0</x:v>
      </x:c>
      <x:c r="I557" s="18" t="n">
        <x:v>0</x:v>
      </x:c>
      <x:c r="J557" t="n">
        <x:f>IF(A557=A556,IFERROR(IF(B557=EDATE(B556,1),C556,0),0),0)</x:f>
        <x:v>1</x:v>
      </x:c>
      <x:c r="K557" t="n">
        <x:f>IF(AND(J557=1,C557=0),1,0)</x:f>
        <x:v>1</x:v>
      </x:c>
      <x:c r="L557" t="str">
        <x:f>IFERROR(INDEX(Customers!$C$2:$C$451,MATCH(A557,Customers!$A$2:$A$451,0)),"Unknown")</x:f>
        <x:v>Plus</x:v>
      </x:c>
    </x:row>
    <x:row r="558">
      <x:c r="A558" t="n">
        <x:v>100</x:v>
      </x:c>
      <x:c r="B558" s="16" t="n">
        <x:v>46113</x:v>
      </x:c>
      <x:c r="C558" t="n">
        <x:v>1</x:v>
      </x:c>
      <x:c r="D558" t="n">
        <x:v>21</x:v>
      </x:c>
      <x:c r="E558" s="18" t="n">
        <x:v>1892.22</x:v>
      </x:c>
      <x:c r="F558" s="18" t="n">
        <x:v>8</x:v>
      </x:c>
      <x:c r="G558" s="18" t="n">
        <x:v>8.51</x:v>
      </x:c>
      <x:c r="H558" s="18" t="n">
        <x:v>6.41</x:v>
      </x:c>
      <x:c r="I558" s="18" t="n">
        <x:v>22.92</x:v>
      </x:c>
      <x:c r="J558" t="n">
        <x:f>IF(A558=A557,IFERROR(IF(B558=EDATE(B557,1),C557,0),0),0)</x:f>
        <x:v>0</x:v>
      </x:c>
      <x:c r="K558" t="n">
        <x:f>IF(AND(J558=1,C558=0),1,0)</x:f>
        <x:v>0</x:v>
      </x:c>
      <x:c r="L558" t="str">
        <x:f>IFERROR(INDEX(Customers!$C$2:$C$451,MATCH(A558,Customers!$A$2:$A$451,0)),"Unknown")</x:f>
        <x:v>Plus</x:v>
      </x:c>
    </x:row>
    <x:row r="559">
      <x:c r="A559" t="n">
        <x:v>100</x:v>
      </x:c>
      <x:c r="B559" s="16" t="n">
        <x:v>46143</x:v>
      </x:c>
      <x:c r="C559" t="n">
        <x:v>1</x:v>
      </x:c>
      <x:c r="D559" t="n">
        <x:v>8</x:v>
      </x:c>
      <x:c r="E559" s="18" t="n">
        <x:v>647.32</x:v>
      </x:c>
      <x:c r="F559" s="18" t="n">
        <x:v>8</x:v>
      </x:c>
      <x:c r="G559" s="18" t="n">
        <x:v>2.91</x:v>
      </x:c>
      <x:c r="H559" s="18" t="n">
        <x:v>0.95</x:v>
      </x:c>
      <x:c r="I559" s="18" t="n">
        <x:v>11.86</x:v>
      </x:c>
      <x:c r="J559" t="n">
        <x:f>IF(A559=A558,IFERROR(IF(B559=EDATE(B558,1),C558,0),0),0)</x:f>
        <x:v>1</x:v>
      </x:c>
      <x:c r="K559" t="n">
        <x:f>IF(AND(J559=1,C559=0),1,0)</x:f>
        <x:v>0</x:v>
      </x:c>
      <x:c r="L559" t="str">
        <x:f>IFERROR(INDEX(Customers!$C$2:$C$451,MATCH(A559,Customers!$A$2:$A$451,0)),"Unknown")</x:f>
        <x:v>Plus</x:v>
      </x:c>
    </x:row>
    <x:row r="560">
      <x:c r="A560" t="n">
        <x:v>100</x:v>
      </x:c>
      <x:c r="B560" s="16" t="n">
        <x:v>46174</x:v>
      </x:c>
      <x:c r="C560" t="n">
        <x:v>1</x:v>
      </x:c>
      <x:c r="D560" t="n">
        <x:v>30</x:v>
      </x:c>
      <x:c r="E560" s="18" t="n">
        <x:v>4088.59</x:v>
      </x:c>
      <x:c r="F560" s="18" t="n">
        <x:v>8</x:v>
      </x:c>
      <x:c r="G560" s="18" t="n">
        <x:v>18.4</x:v>
      </x:c>
      <x:c r="H560" s="18" t="n">
        <x:v>4.03</x:v>
      </x:c>
      <x:c r="I560" s="18" t="n">
        <x:v>30.43</x:v>
      </x:c>
      <x:c r="J560" t="n">
        <x:f>IF(A560=A559,IFERROR(IF(B560=EDATE(B559,1),C559,0),0),0)</x:f>
        <x:v>1</x:v>
      </x:c>
      <x:c r="K560" t="n">
        <x:f>IF(AND(J560=1,C560=0),1,0)</x:f>
        <x:v>0</x:v>
      </x:c>
      <x:c r="L560" t="str">
        <x:f>IFERROR(INDEX(Customers!$C$2:$C$451,MATCH(A560,Customers!$A$2:$A$451,0)),"Unknown")</x:f>
        <x:v>Plus</x:v>
      </x:c>
    </x:row>
    <x:row r="561">
      <x:c r="A561" t="n">
        <x:v>100</x:v>
      </x:c>
      <x:c r="B561" s="16" t="n">
        <x:v>46204</x:v>
      </x:c>
      <x:c r="C561" t="n">
        <x:v>1</x:v>
      </x:c>
      <x:c r="D561" t="n">
        <x:v>33</x:v>
      </x:c>
      <x:c r="E561" s="18" t="n">
        <x:v>4341.43</x:v>
      </x:c>
      <x:c r="F561" s="18" t="n">
        <x:v>8</x:v>
      </x:c>
      <x:c r="G561" s="18" t="n">
        <x:v>19.54</x:v>
      </x:c>
      <x:c r="H561" s="18" t="n">
        <x:v>15.38</x:v>
      </x:c>
      <x:c r="I561" s="18" t="n">
        <x:v>42.92</x:v>
      </x:c>
      <x:c r="J561" t="n">
        <x:f>IF(A561=A560,IFERROR(IF(B561=EDATE(B560,1),C560,0),0),0)</x:f>
        <x:v>1</x:v>
      </x:c>
      <x:c r="K561" t="n">
        <x:f>IF(AND(J561=1,C561=0),1,0)</x:f>
        <x:v>0</x:v>
      </x:c>
      <x:c r="L561" t="str">
        <x:f>IFERROR(INDEX(Customers!$C$2:$C$451,MATCH(A561,Customers!$A$2:$A$451,0)),"Unknown")</x:f>
        <x:v>Plus</x:v>
      </x:c>
    </x:row>
    <x:row r="562">
      <x:c r="A562" t="n">
        <x:v>100</x:v>
      </x:c>
      <x:c r="B562" s="16" t="n">
        <x:v>46235</x:v>
      </x:c>
      <x:c r="C562" t="n">
        <x:v>1</x:v>
      </x:c>
      <x:c r="D562" t="n">
        <x:v>31</x:v>
      </x:c>
      <x:c r="E562" s="18" t="n">
        <x:v>1468.25</x:v>
      </x:c>
      <x:c r="F562" s="18" t="n">
        <x:v>8</x:v>
      </x:c>
      <x:c r="G562" s="18" t="n">
        <x:v>6.61</x:v>
      </x:c>
      <x:c r="H562" s="18" t="n">
        <x:v>1.71</x:v>
      </x:c>
      <x:c r="I562" s="18" t="n">
        <x:v>16.32</x:v>
      </x:c>
      <x:c r="J562" t="n">
        <x:f>IF(A562=A561,IFERROR(IF(B562=EDATE(B561,1),C561,0),0),0)</x:f>
        <x:v>1</x:v>
      </x:c>
      <x:c r="K562" t="n">
        <x:f>IF(AND(J562=1,C562=0),1,0)</x:f>
        <x:v>0</x:v>
      </x:c>
      <x:c r="L562" t="str">
        <x:f>IFERROR(INDEX(Customers!$C$2:$C$451,MATCH(A562,Customers!$A$2:$A$451,0)),"Unknown")</x:f>
        <x:v>Plus</x:v>
      </x:c>
    </x:row>
    <x:row r="563">
      <x:c r="A563" t="n">
        <x:v>100</x:v>
      </x:c>
      <x:c r="B563" s="16" t="n">
        <x:v>46266</x:v>
      </x:c>
      <x:c r="C563" t="n">
        <x:v>0</x:v>
      </x:c>
      <x:c r="D563" t="n">
        <x:v>0</x:v>
      </x:c>
      <x:c r="E563" s="18" t="n">
        <x:v>0</x:v>
      </x:c>
      <x:c r="F563" s="18" t="n">
        <x:v>0</x:v>
      </x:c>
      <x:c r="G563" s="18" t="n">
        <x:v>0</x:v>
      </x:c>
      <x:c r="H563" s="18" t="n">
        <x:v>0</x:v>
      </x:c>
      <x:c r="I563" s="18" t="n">
        <x:v>0</x:v>
      </x:c>
      <x:c r="J563" t="n">
        <x:f>IF(A563=A562,IFERROR(IF(B563=EDATE(B562,1),C562,0),0),0)</x:f>
        <x:v>1</x:v>
      </x:c>
      <x:c r="K563" t="n">
        <x:f>IF(AND(J563=1,C563=0),1,0)</x:f>
        <x:v>1</x:v>
      </x:c>
      <x:c r="L563" t="str">
        <x:f>IFERROR(INDEX(Customers!$C$2:$C$451,MATCH(A563,Customers!$A$2:$A$451,0)),"Unknown")</x:f>
        <x:v>Plus</x:v>
      </x:c>
    </x:row>
    <x:row r="564">
      <x:c r="A564" t="n">
        <x:v>101</x:v>
      </x:c>
      <x:c r="B564" s="16" t="n">
        <x:v>46113</x:v>
      </x:c>
      <x:c r="C564" t="n">
        <x:v>1</x:v>
      </x:c>
      <x:c r="D564" t="n">
        <x:v>30</x:v>
      </x:c>
      <x:c r="E564" s="18" t="n">
        <x:v>1334.38</x:v>
      </x:c>
      <x:c r="F564" s="18" t="n">
        <x:v>0</x:v>
      </x:c>
      <x:c r="G564" s="18" t="n">
        <x:v>6</x:v>
      </x:c>
      <x:c r="H564" s="18" t="n">
        <x:v>2.88</x:v>
      </x:c>
      <x:c r="I564" s="18" t="n">
        <x:v>8.88</x:v>
      </x:c>
      <x:c r="J564" t="n">
        <x:f>IF(A564=A563,IFERROR(IF(B564=EDATE(B563,1),C563,0),0),0)</x:f>
        <x:v>0</x:v>
      </x:c>
      <x:c r="K564" t="n">
        <x:f>IF(AND(J564=1,C564=0),1,0)</x:f>
        <x:v>0</x:v>
      </x:c>
      <x:c r="L564" t="str">
        <x:f>IFERROR(INDEX(Customers!$C$2:$C$451,MATCH(A564,Customers!$A$2:$A$451,0)),"Unknown")</x:f>
        <x:v>Standard</x:v>
      </x:c>
    </x:row>
    <x:row r="565">
      <x:c r="A565" t="n">
        <x:v>101</x:v>
      </x:c>
      <x:c r="B565" s="16" t="n">
        <x:v>46143</x:v>
      </x:c>
      <x:c r="C565" t="n">
        <x:v>0</x:v>
      </x:c>
      <x:c r="D565" t="n">
        <x:v>0</x:v>
      </x:c>
      <x:c r="E565" s="18" t="n">
        <x:v>0</x:v>
      </x:c>
      <x:c r="F565" s="18" t="n">
        <x:v>0</x:v>
      </x:c>
      <x:c r="G565" s="18" t="n">
        <x:v>0</x:v>
      </x:c>
      <x:c r="H565" s="18" t="n">
        <x:v>0</x:v>
      </x:c>
      <x:c r="I565" s="18" t="n">
        <x:v>0</x:v>
      </x:c>
      <x:c r="J565" t="n">
        <x:f>IF(A565=A564,IFERROR(IF(B565=EDATE(B564,1),C564,0),0),0)</x:f>
        <x:v>1</x:v>
      </x:c>
      <x:c r="K565" t="n">
        <x:f>IF(AND(J565=1,C565=0),1,0)</x:f>
        <x:v>1</x:v>
      </x:c>
      <x:c r="L565" t="str">
        <x:f>IFERROR(INDEX(Customers!$C$2:$C$451,MATCH(A565,Customers!$A$2:$A$451,0)),"Unknown")</x:f>
        <x:v>Standard</x:v>
      </x:c>
    </x:row>
    <x:row r="566">
      <x:c r="A566" t="n">
        <x:v>101</x:v>
      </x:c>
      <x:c r="B566" s="16" t="n">
        <x:v>46174</x:v>
      </x:c>
      <x:c r="C566" t="n">
        <x:v>1</x:v>
      </x:c>
      <x:c r="D566" t="n">
        <x:v>22</x:v>
      </x:c>
      <x:c r="E566" s="18" t="n">
        <x:v>1080.5</x:v>
      </x:c>
      <x:c r="F566" s="18" t="n">
        <x:v>0</x:v>
      </x:c>
      <x:c r="G566" s="18" t="n">
        <x:v>4.86</x:v>
      </x:c>
      <x:c r="H566" s="18" t="n">
        <x:v>3.44</x:v>
      </x:c>
      <x:c r="I566" s="18" t="n">
        <x:v>8.3</x:v>
      </x:c>
      <x:c r="J566" t="n">
        <x:f>IF(A566=A565,IFERROR(IF(B566=EDATE(B565,1),C565,0),0),0)</x:f>
        <x:v>0</x:v>
      </x:c>
      <x:c r="K566" t="n">
        <x:f>IF(AND(J566=1,C566=0),1,0)</x:f>
        <x:v>0</x:v>
      </x:c>
      <x:c r="L566" t="str">
        <x:f>IFERROR(INDEX(Customers!$C$2:$C$451,MATCH(A566,Customers!$A$2:$A$451,0)),"Unknown")</x:f>
        <x:v>Standard</x:v>
      </x:c>
    </x:row>
    <x:row r="567">
      <x:c r="A567" t="n">
        <x:v>101</x:v>
      </x:c>
      <x:c r="B567" s="16" t="n">
        <x:v>46204</x:v>
      </x:c>
      <x:c r="C567" t="n">
        <x:v>1</x:v>
      </x:c>
      <x:c r="D567" t="n">
        <x:v>25</x:v>
      </x:c>
      <x:c r="E567" s="18" t="n">
        <x:v>2774.98</x:v>
      </x:c>
      <x:c r="F567" s="18" t="n">
        <x:v>0</x:v>
      </x:c>
      <x:c r="G567" s="18" t="n">
        <x:v>12.49</x:v>
      </x:c>
      <x:c r="H567" s="18" t="n">
        <x:v>9.39</x:v>
      </x:c>
      <x:c r="I567" s="18" t="n">
        <x:v>21.88</x:v>
      </x:c>
      <x:c r="J567" t="n">
        <x:f>IF(A567=A566,IFERROR(IF(B567=EDATE(B566,1),C566,0),0),0)</x:f>
        <x:v>1</x:v>
      </x:c>
      <x:c r="K567" t="n">
        <x:f>IF(AND(J567=1,C567=0),1,0)</x:f>
        <x:v>0</x:v>
      </x:c>
      <x:c r="L567" t="str">
        <x:f>IFERROR(INDEX(Customers!$C$2:$C$451,MATCH(A567,Customers!$A$2:$A$451,0)),"Unknown")</x:f>
        <x:v>Standard</x:v>
      </x:c>
    </x:row>
    <x:row r="568">
      <x:c r="A568" t="n">
        <x:v>101</x:v>
      </x:c>
      <x:c r="B568" s="16" t="n">
        <x:v>46235</x:v>
      </x:c>
      <x:c r="C568" t="n">
        <x:v>1</x:v>
      </x:c>
      <x:c r="D568" t="n">
        <x:v>35</x:v>
      </x:c>
      <x:c r="E568" s="18" t="n">
        <x:v>1246.02</x:v>
      </x:c>
      <x:c r="F568" s="18" t="n">
        <x:v>0</x:v>
      </x:c>
      <x:c r="G568" s="18" t="n">
        <x:v>5.61</x:v>
      </x:c>
      <x:c r="H568" s="18" t="n">
        <x:v>1.34</x:v>
      </x:c>
      <x:c r="I568" s="18" t="n">
        <x:v>6.95</x:v>
      </x:c>
      <x:c r="J568" t="n">
        <x:f>IF(A568=A567,IFERROR(IF(B568=EDATE(B567,1),C567,0),0),0)</x:f>
        <x:v>1</x:v>
      </x:c>
      <x:c r="K568" t="n">
        <x:f>IF(AND(J568=1,C568=0),1,0)</x:f>
        <x:v>0</x:v>
      </x:c>
      <x:c r="L568" t="str">
        <x:f>IFERROR(INDEX(Customers!$C$2:$C$451,MATCH(A568,Customers!$A$2:$A$451,0)),"Unknown")</x:f>
        <x:v>Standard</x:v>
      </x:c>
    </x:row>
    <x:row r="569">
      <x:c r="A569" t="n">
        <x:v>101</x:v>
      </x:c>
      <x:c r="B569" s="16" t="n">
        <x:v>46266</x:v>
      </x:c>
      <x:c r="C569" t="n">
        <x:v>0</x:v>
      </x:c>
      <x:c r="D569" t="n">
        <x:v>0</x:v>
      </x:c>
      <x:c r="E569" s="18" t="n">
        <x:v>0</x:v>
      </x:c>
      <x:c r="F569" s="18" t="n">
        <x:v>0</x:v>
      </x:c>
      <x:c r="G569" s="18" t="n">
        <x:v>0</x:v>
      </x:c>
      <x:c r="H569" s="18" t="n">
        <x:v>0</x:v>
      </x:c>
      <x:c r="I569" s="18" t="n">
        <x:v>0</x:v>
      </x:c>
      <x:c r="J569" t="n">
        <x:f>IF(A569=A568,IFERROR(IF(B569=EDATE(B568,1),C568,0),0),0)</x:f>
        <x:v>1</x:v>
      </x:c>
      <x:c r="K569" t="n">
        <x:f>IF(AND(J569=1,C569=0),1,0)</x:f>
        <x:v>1</x:v>
      </x:c>
      <x:c r="L569" t="str">
        <x:f>IFERROR(INDEX(Customers!$C$2:$C$451,MATCH(A569,Customers!$A$2:$A$451,0)),"Unknown")</x:f>
        <x:v>Standard</x:v>
      </x:c>
    </x:row>
    <x:row r="570">
      <x:c r="A570" t="n">
        <x:v>102</x:v>
      </x:c>
      <x:c r="B570" s="16" t="n">
        <x:v>46113</x:v>
      </x:c>
      <x:c r="C570" t="n">
        <x:v>1</x:v>
      </x:c>
      <x:c r="D570" t="n">
        <x:v>4</x:v>
      </x:c>
      <x:c r="E570" s="18" t="n">
        <x:v>512.68</x:v>
      </x:c>
      <x:c r="F570" s="18" t="n">
        <x:v>0</x:v>
      </x:c>
      <x:c r="G570" s="18" t="n">
        <x:v>2.31</x:v>
      </x:c>
      <x:c r="H570" s="18" t="n">
        <x:v>0.79</x:v>
      </x:c>
      <x:c r="I570" s="18" t="n">
        <x:v>3.1</x:v>
      </x:c>
      <x:c r="J570" t="n">
        <x:f>IF(A570=A569,IFERROR(IF(B570=EDATE(B569,1),C569,0),0),0)</x:f>
        <x:v>0</x:v>
      </x:c>
      <x:c r="K570" t="n">
        <x:f>IF(AND(J570=1,C570=0),1,0)</x:f>
        <x:v>0</x:v>
      </x:c>
      <x:c r="L570" t="str">
        <x:f>IFERROR(INDEX(Customers!$C$2:$C$451,MATCH(A570,Customers!$A$2:$A$451,0)),"Unknown")</x:f>
        <x:v>Standard</x:v>
      </x:c>
    </x:row>
    <x:row r="571">
      <x:c r="A571" t="n">
        <x:v>102</x:v>
      </x:c>
      <x:c r="B571" s="16" t="n">
        <x:v>46143</x:v>
      </x:c>
      <x:c r="C571" t="n">
        <x:v>1</x:v>
      </x:c>
      <x:c r="D571" t="n">
        <x:v>22</x:v>
      </x:c>
      <x:c r="E571" s="18" t="n">
        <x:v>2498.97</x:v>
      </x:c>
      <x:c r="F571" s="18" t="n">
        <x:v>0</x:v>
      </x:c>
      <x:c r="G571" s="18" t="n">
        <x:v>11.25</x:v>
      </x:c>
      <x:c r="H571" s="18" t="n">
        <x:v>2.72</x:v>
      </x:c>
      <x:c r="I571" s="18" t="n">
        <x:v>13.97</x:v>
      </x:c>
      <x:c r="J571" t="n">
        <x:f>IF(A571=A570,IFERROR(IF(B571=EDATE(B570,1),C570,0),0),0)</x:f>
        <x:v>1</x:v>
      </x:c>
      <x:c r="K571" t="n">
        <x:f>IF(AND(J571=1,C571=0),1,0)</x:f>
        <x:v>0</x:v>
      </x:c>
      <x:c r="L571" t="str">
        <x:f>IFERROR(INDEX(Customers!$C$2:$C$451,MATCH(A571,Customers!$A$2:$A$451,0)),"Unknown")</x:f>
        <x:v>Standard</x:v>
      </x:c>
    </x:row>
    <x:row r="572">
      <x:c r="A572" t="n">
        <x:v>102</x:v>
      </x:c>
      <x:c r="B572" s="16" t="n">
        <x:v>46174</x:v>
      </x:c>
      <x:c r="C572" t="n">
        <x:v>1</x:v>
      </x:c>
      <x:c r="D572" t="n">
        <x:v>9</x:v>
      </x:c>
      <x:c r="E572" s="18" t="n">
        <x:v>827.03</x:v>
      </x:c>
      <x:c r="F572" s="18" t="n">
        <x:v>0</x:v>
      </x:c>
      <x:c r="G572" s="18" t="n">
        <x:v>3.72</x:v>
      </x:c>
      <x:c r="H572" s="18" t="n">
        <x:v>0.67</x:v>
      </x:c>
      <x:c r="I572" s="18" t="n">
        <x:v>4.39</x:v>
      </x:c>
      <x:c r="J572" t="n">
        <x:f>IF(A572=A571,IFERROR(IF(B572=EDATE(B571,1),C571,0),0),0)</x:f>
        <x:v>1</x:v>
      </x:c>
      <x:c r="K572" t="n">
        <x:f>IF(AND(J572=1,C572=0),1,0)</x:f>
        <x:v>0</x:v>
      </x:c>
      <x:c r="L572" t="str">
        <x:f>IFERROR(INDEX(Customers!$C$2:$C$451,MATCH(A572,Customers!$A$2:$A$451,0)),"Unknown")</x:f>
        <x:v>Standard</x:v>
      </x:c>
    </x:row>
    <x:row r="573">
      <x:c r="A573" t="n">
        <x:v>102</x:v>
      </x:c>
      <x:c r="B573" s="16" t="n">
        <x:v>46204</x:v>
      </x:c>
      <x:c r="C573" t="n">
        <x:v>1</x:v>
      </x:c>
      <x:c r="D573" t="n">
        <x:v>20</x:v>
      </x:c>
      <x:c r="E573" s="18" t="n">
        <x:v>1473.61</x:v>
      </x:c>
      <x:c r="F573" s="18" t="n">
        <x:v>0</x:v>
      </x:c>
      <x:c r="G573" s="18" t="n">
        <x:v>6.63</x:v>
      </x:c>
      <x:c r="H573" s="18" t="n">
        <x:v>2.89</x:v>
      </x:c>
      <x:c r="I573" s="18" t="n">
        <x:v>9.52</x:v>
      </x:c>
      <x:c r="J573" t="n">
        <x:f>IF(A573=A572,IFERROR(IF(B573=EDATE(B572,1),C572,0),0),0)</x:f>
        <x:v>1</x:v>
      </x:c>
      <x:c r="K573" t="n">
        <x:f>IF(AND(J573=1,C573=0),1,0)</x:f>
        <x:v>0</x:v>
      </x:c>
      <x:c r="L573" t="str">
        <x:f>IFERROR(INDEX(Customers!$C$2:$C$451,MATCH(A573,Customers!$A$2:$A$451,0)),"Unknown")</x:f>
        <x:v>Standard</x:v>
      </x:c>
    </x:row>
    <x:row r="574">
      <x:c r="A574" t="n">
        <x:v>102</x:v>
      </x:c>
      <x:c r="B574" s="16" t="n">
        <x:v>46235</x:v>
      </x:c>
      <x:c r="C574" t="n">
        <x:v>1</x:v>
      </x:c>
      <x:c r="D574" t="n">
        <x:v>21</x:v>
      </x:c>
      <x:c r="E574" s="18" t="n">
        <x:v>1986.07</x:v>
      </x:c>
      <x:c r="F574" s="18" t="n">
        <x:v>0</x:v>
      </x:c>
      <x:c r="G574" s="18" t="n">
        <x:v>8.94</x:v>
      </x:c>
      <x:c r="H574" s="18" t="n">
        <x:v>6.09</x:v>
      </x:c>
      <x:c r="I574" s="18" t="n">
        <x:v>15.03</x:v>
      </x:c>
      <x:c r="J574" t="n">
        <x:f>IF(A574=A573,IFERROR(IF(B574=EDATE(B573,1),C573,0),0),0)</x:f>
        <x:v>1</x:v>
      </x:c>
      <x:c r="K574" t="n">
        <x:f>IF(AND(J574=1,C574=0),1,0)</x:f>
        <x:v>0</x:v>
      </x:c>
      <x:c r="L574" t="str">
        <x:f>IFERROR(INDEX(Customers!$C$2:$C$451,MATCH(A574,Customers!$A$2:$A$451,0)),"Unknown")</x:f>
        <x:v>Standard</x:v>
      </x:c>
    </x:row>
    <x:row r="575">
      <x:c r="A575" t="n">
        <x:v>102</x:v>
      </x:c>
      <x:c r="B575" s="16" t="n">
        <x:v>46266</x:v>
      </x:c>
      <x:c r="C575" t="n">
        <x:v>1</x:v>
      </x:c>
      <x:c r="D575" t="n">
        <x:v>18</x:v>
      </x:c>
      <x:c r="E575" s="18" t="n">
        <x:v>871.35</x:v>
      </x:c>
      <x:c r="F575" s="18" t="n">
        <x:v>0</x:v>
      </x:c>
      <x:c r="G575" s="18" t="n">
        <x:v>3.92</x:v>
      </x:c>
      <x:c r="H575" s="18" t="n">
        <x:v>3.21</x:v>
      </x:c>
      <x:c r="I575" s="18" t="n">
        <x:v>7.13</x:v>
      </x:c>
      <x:c r="J575" t="n">
        <x:f>IF(A575=A574,IFERROR(IF(B575=EDATE(B574,1),C574,0),0),0)</x:f>
        <x:v>1</x:v>
      </x:c>
      <x:c r="K575" t="n">
        <x:f>IF(AND(J575=1,C575=0),1,0)</x:f>
        <x:v>0</x:v>
      </x:c>
      <x:c r="L575" t="str">
        <x:f>IFERROR(INDEX(Customers!$C$2:$C$451,MATCH(A575,Customers!$A$2:$A$451,0)),"Unknown")</x:f>
        <x:v>Standard</x:v>
      </x:c>
    </x:row>
    <x:row r="576">
      <x:c r="A576" t="n">
        <x:v>103</x:v>
      </x:c>
      <x:c r="B576" s="16" t="n">
        <x:v>46143</x:v>
      </x:c>
      <x:c r="C576" t="n">
        <x:v>1</x:v>
      </x:c>
      <x:c r="D576" t="n">
        <x:v>18</x:v>
      </x:c>
      <x:c r="E576" s="18" t="n">
        <x:v>1441.17</x:v>
      </x:c>
      <x:c r="F576" s="18" t="n">
        <x:v>0</x:v>
      </x:c>
      <x:c r="G576" s="18" t="n">
        <x:v>6.49</x:v>
      </x:c>
      <x:c r="H576" s="18" t="n">
        <x:v>1.75</x:v>
      </x:c>
      <x:c r="I576" s="18" t="n">
        <x:v>8.24</x:v>
      </x:c>
      <x:c r="J576" t="n">
        <x:f>IF(A576=A575,IFERROR(IF(B576=EDATE(B575,1),C575,0),0),0)</x:f>
        <x:v>0</x:v>
      </x:c>
      <x:c r="K576" t="n">
        <x:f>IF(AND(J576=1,C576=0),1,0)</x:f>
        <x:v>0</x:v>
      </x:c>
      <x:c r="L576" t="str">
        <x:f>IFERROR(INDEX(Customers!$C$2:$C$451,MATCH(A576,Customers!$A$2:$A$451,0)),"Unknown")</x:f>
        <x:v>Standard</x:v>
      </x:c>
    </x:row>
    <x:row r="577">
      <x:c r="A577" t="n">
        <x:v>103</x:v>
      </x:c>
      <x:c r="B577" s="16" t="n">
        <x:v>46174</x:v>
      </x:c>
      <x:c r="C577" t="n">
        <x:v>1</x:v>
      </x:c>
      <x:c r="D577" t="n">
        <x:v>16</x:v>
      </x:c>
      <x:c r="E577" s="18" t="n">
        <x:v>659.2</x:v>
      </x:c>
      <x:c r="F577" s="18" t="n">
        <x:v>0</x:v>
      </x:c>
      <x:c r="G577" s="18" t="n">
        <x:v>2.97</x:v>
      </x:c>
      <x:c r="H577" s="18" t="n">
        <x:v>1.2</x:v>
      </x:c>
      <x:c r="I577" s="18" t="n">
        <x:v>4.17</x:v>
      </x:c>
      <x:c r="J577" t="n">
        <x:f>IF(A577=A576,IFERROR(IF(B577=EDATE(B576,1),C576,0),0),0)</x:f>
        <x:v>1</x:v>
      </x:c>
      <x:c r="K577" t="n">
        <x:f>IF(AND(J577=1,C577=0),1,0)</x:f>
        <x:v>0</x:v>
      </x:c>
      <x:c r="L577" t="str">
        <x:f>IFERROR(INDEX(Customers!$C$2:$C$451,MATCH(A577,Customers!$A$2:$A$451,0)),"Unknown")</x:f>
        <x:v>Standard</x:v>
      </x:c>
    </x:row>
    <x:row r="578">
      <x:c r="A578" t="n">
        <x:v>103</x:v>
      </x:c>
      <x:c r="B578" s="16" t="n">
        <x:v>46204</x:v>
      </x:c>
      <x:c r="C578" t="n">
        <x:v>0</x:v>
      </x:c>
      <x:c r="D578" t="n">
        <x:v>0</x:v>
      </x:c>
      <x:c r="E578" s="18" t="n">
        <x:v>0</x:v>
      </x:c>
      <x:c r="F578" s="18" t="n">
        <x:v>0</x:v>
      </x:c>
      <x:c r="G578" s="18" t="n">
        <x:v>0</x:v>
      </x:c>
      <x:c r="H578" s="18" t="n">
        <x:v>0</x:v>
      </x:c>
      <x:c r="I578" s="18" t="n">
        <x:v>0</x:v>
      </x:c>
      <x:c r="J578" t="n">
        <x:f>IF(A578=A577,IFERROR(IF(B578=EDATE(B577,1),C577,0),0),0)</x:f>
        <x:v>1</x:v>
      </x:c>
      <x:c r="K578" t="n">
        <x:f>IF(AND(J578=1,C578=0),1,0)</x:f>
        <x:v>1</x:v>
      </x:c>
      <x:c r="L578" t="str">
        <x:f>IFERROR(INDEX(Customers!$C$2:$C$451,MATCH(A578,Customers!$A$2:$A$451,0)),"Unknown")</x:f>
        <x:v>Standard</x:v>
      </x:c>
    </x:row>
    <x:row r="579">
      <x:c r="A579" t="n">
        <x:v>103</x:v>
      </x:c>
      <x:c r="B579" s="16" t="n">
        <x:v>46235</x:v>
      </x:c>
      <x:c r="C579" t="n">
        <x:v>1</x:v>
      </x:c>
      <x:c r="D579" t="n">
        <x:v>20</x:v>
      </x:c>
      <x:c r="E579" s="18" t="n">
        <x:v>1017.35</x:v>
      </x:c>
      <x:c r="F579" s="18" t="n">
        <x:v>0</x:v>
      </x:c>
      <x:c r="G579" s="18" t="n">
        <x:v>4.58</x:v>
      </x:c>
      <x:c r="H579" s="18" t="n">
        <x:v>1.25</x:v>
      </x:c>
      <x:c r="I579" s="18" t="n">
        <x:v>5.83</x:v>
      </x:c>
      <x:c r="J579" t="n">
        <x:f>IF(A579=A578,IFERROR(IF(B579=EDATE(B578,1),C578,0),0),0)</x:f>
        <x:v>0</x:v>
      </x:c>
      <x:c r="K579" t="n">
        <x:f>IF(AND(J579=1,C579=0),1,0)</x:f>
        <x:v>0</x:v>
      </x:c>
      <x:c r="L579" t="str">
        <x:f>IFERROR(INDEX(Customers!$C$2:$C$451,MATCH(A579,Customers!$A$2:$A$451,0)),"Unknown")</x:f>
        <x:v>Standard</x:v>
      </x:c>
    </x:row>
    <x:row r="580">
      <x:c r="A580" t="n">
        <x:v>103</x:v>
      </x:c>
      <x:c r="B580" s="16" t="n">
        <x:v>46266</x:v>
      </x:c>
      <x:c r="C580" t="n">
        <x:v>1</x:v>
      </x:c>
      <x:c r="D580" t="n">
        <x:v>4</x:v>
      </x:c>
      <x:c r="E580" s="18" t="n">
        <x:v>510.51</x:v>
      </x:c>
      <x:c r="F580" s="18" t="n">
        <x:v>0</x:v>
      </x:c>
      <x:c r="G580" s="18" t="n">
        <x:v>2.3</x:v>
      </x:c>
      <x:c r="H580" s="18" t="n">
        <x:v>1.08</x:v>
      </x:c>
      <x:c r="I580" s="18" t="n">
        <x:v>3.38</x:v>
      </x:c>
      <x:c r="J580" t="n">
        <x:f>IF(A580=A579,IFERROR(IF(B580=EDATE(B579,1),C579,0),0),0)</x:f>
        <x:v>1</x:v>
      </x:c>
      <x:c r="K580" t="n">
        <x:f>IF(AND(J580=1,C580=0),1,0)</x:f>
        <x:v>0</x:v>
      </x:c>
      <x:c r="L580" t="str">
        <x:f>IFERROR(INDEX(Customers!$C$2:$C$451,MATCH(A580,Customers!$A$2:$A$451,0)),"Unknown")</x:f>
        <x:v>Standard</x:v>
      </x:c>
    </x:row>
    <x:row r="581">
      <x:c r="A581" t="n">
        <x:v>104</x:v>
      </x:c>
      <x:c r="B581" s="16" t="n">
        <x:v>46113</x:v>
      </x:c>
      <x:c r="C581" t="n">
        <x:v>1</x:v>
      </x:c>
      <x:c r="D581" t="n">
        <x:v>33</x:v>
      </x:c>
      <x:c r="E581" s="18" t="n">
        <x:v>3311.6</x:v>
      </x:c>
      <x:c r="F581" s="18" t="n">
        <x:v>0</x:v>
      </x:c>
      <x:c r="G581" s="18" t="n">
        <x:v>14.9</x:v>
      </x:c>
      <x:c r="H581" s="18" t="n">
        <x:v>6.37</x:v>
      </x:c>
      <x:c r="I581" s="18" t="n">
        <x:v>21.27</x:v>
      </x:c>
      <x:c r="J581" t="n">
        <x:f>IF(A581=A580,IFERROR(IF(B581=EDATE(B580,1),C580,0),0),0)</x:f>
        <x:v>0</x:v>
      </x:c>
      <x:c r="K581" t="n">
        <x:f>IF(AND(J581=1,C581=0),1,0)</x:f>
        <x:v>0</x:v>
      </x:c>
      <x:c r="L581" t="str">
        <x:f>IFERROR(INDEX(Customers!$C$2:$C$451,MATCH(A581,Customers!$A$2:$A$451,0)),"Unknown")</x:f>
        <x:v>Standard</x:v>
      </x:c>
    </x:row>
    <x:row r="582">
      <x:c r="A582" t="n">
        <x:v>104</x:v>
      </x:c>
      <x:c r="B582" s="16" t="n">
        <x:v>46143</x:v>
      </x:c>
      <x:c r="C582" t="n">
        <x:v>0</x:v>
      </x:c>
      <x:c r="D582" t="n">
        <x:v>0</x:v>
      </x:c>
      <x:c r="E582" s="18" t="n">
        <x:v>0</x:v>
      </x:c>
      <x:c r="F582" s="18" t="n">
        <x:v>0</x:v>
      </x:c>
      <x:c r="G582" s="18" t="n">
        <x:v>0</x:v>
      </x:c>
      <x:c r="H582" s="18" t="n">
        <x:v>0</x:v>
      </x:c>
      <x:c r="I582" s="18" t="n">
        <x:v>0</x:v>
      </x:c>
      <x:c r="J582" t="n">
        <x:f>IF(A582=A581,IFERROR(IF(B582=EDATE(B581,1),C581,0),0),0)</x:f>
        <x:v>1</x:v>
      </x:c>
      <x:c r="K582" t="n">
        <x:f>IF(AND(J582=1,C582=0),1,0)</x:f>
        <x:v>1</x:v>
      </x:c>
      <x:c r="L582" t="str">
        <x:f>IFERROR(INDEX(Customers!$C$2:$C$451,MATCH(A582,Customers!$A$2:$A$451,0)),"Unknown")</x:f>
        <x:v>Standard</x:v>
      </x:c>
    </x:row>
    <x:row r="583">
      <x:c r="A583" t="n">
        <x:v>104</x:v>
      </x:c>
      <x:c r="B583" s="16" t="n">
        <x:v>46174</x:v>
      </x:c>
      <x:c r="C583" t="n">
        <x:v>1</x:v>
      </x:c>
      <x:c r="D583" t="n">
        <x:v>32</x:v>
      </x:c>
      <x:c r="E583" s="18" t="n">
        <x:v>1372.79</x:v>
      </x:c>
      <x:c r="F583" s="18" t="n">
        <x:v>0</x:v>
      </x:c>
      <x:c r="G583" s="18" t="n">
        <x:v>6.18</x:v>
      </x:c>
      <x:c r="H583" s="18" t="n">
        <x:v>1.68</x:v>
      </x:c>
      <x:c r="I583" s="18" t="n">
        <x:v>7.86</x:v>
      </x:c>
      <x:c r="J583" t="n">
        <x:f>IF(A583=A582,IFERROR(IF(B583=EDATE(B582,1),C582,0),0),0)</x:f>
        <x:v>0</x:v>
      </x:c>
      <x:c r="K583" t="n">
        <x:f>IF(AND(J583=1,C583=0),1,0)</x:f>
        <x:v>0</x:v>
      </x:c>
      <x:c r="L583" t="str">
        <x:f>IFERROR(INDEX(Customers!$C$2:$C$451,MATCH(A583,Customers!$A$2:$A$451,0)),"Unknown")</x:f>
        <x:v>Standard</x:v>
      </x:c>
    </x:row>
    <x:row r="584">
      <x:c r="A584" t="n">
        <x:v>104</x:v>
      </x:c>
      <x:c r="B584" s="16" t="n">
        <x:v>46204</x:v>
      </x:c>
      <x:c r="C584" t="n">
        <x:v>1</x:v>
      </x:c>
      <x:c r="D584" t="n">
        <x:v>19</x:v>
      </x:c>
      <x:c r="E584" s="18" t="n">
        <x:v>698.39</x:v>
      </x:c>
      <x:c r="F584" s="18" t="n">
        <x:v>0</x:v>
      </x:c>
      <x:c r="G584" s="18" t="n">
        <x:v>3.14</x:v>
      </x:c>
      <x:c r="H584" s="18" t="n">
        <x:v>2.01</x:v>
      </x:c>
      <x:c r="I584" s="18" t="n">
        <x:v>5.15</x:v>
      </x:c>
      <x:c r="J584" t="n">
        <x:f>IF(A584=A583,IFERROR(IF(B584=EDATE(B583,1),C583,0),0),0)</x:f>
        <x:v>1</x:v>
      </x:c>
      <x:c r="K584" t="n">
        <x:f>IF(AND(J584=1,C584=0),1,0)</x:f>
        <x:v>0</x:v>
      </x:c>
      <x:c r="L584" t="str">
        <x:f>IFERROR(INDEX(Customers!$C$2:$C$451,MATCH(A584,Customers!$A$2:$A$451,0)),"Unknown")</x:f>
        <x:v>Standard</x:v>
      </x:c>
    </x:row>
    <x:row r="585">
      <x:c r="A585" t="n">
        <x:v>104</x:v>
      </x:c>
      <x:c r="B585" s="16" t="n">
        <x:v>46235</x:v>
      </x:c>
      <x:c r="C585" t="n">
        <x:v>1</x:v>
      </x:c>
      <x:c r="D585" t="n">
        <x:v>13</x:v>
      </x:c>
      <x:c r="E585" s="18" t="n">
        <x:v>1427.59</x:v>
      </x:c>
      <x:c r="F585" s="18" t="n">
        <x:v>0</x:v>
      </x:c>
      <x:c r="G585" s="18" t="n">
        <x:v>6.42</x:v>
      </x:c>
      <x:c r="H585" s="18" t="n">
        <x:v>5.33</x:v>
      </x:c>
      <x:c r="I585" s="18" t="n">
        <x:v>11.75</x:v>
      </x:c>
      <x:c r="J585" t="n">
        <x:f>IF(A585=A584,IFERROR(IF(B585=EDATE(B584,1),C584,0),0),0)</x:f>
        <x:v>1</x:v>
      </x:c>
      <x:c r="K585" t="n">
        <x:f>IF(AND(J585=1,C585=0),1,0)</x:f>
        <x:v>0</x:v>
      </x:c>
      <x:c r="L585" t="str">
        <x:f>IFERROR(INDEX(Customers!$C$2:$C$451,MATCH(A585,Customers!$A$2:$A$451,0)),"Unknown")</x:f>
        <x:v>Standard</x:v>
      </x:c>
    </x:row>
    <x:row r="586">
      <x:c r="A586" t="n">
        <x:v>104</x:v>
      </x:c>
      <x:c r="B586" s="16" t="n">
        <x:v>46266</x:v>
      </x:c>
      <x:c r="C586" t="n">
        <x:v>0</x:v>
      </x:c>
      <x:c r="D586" t="n">
        <x:v>0</x:v>
      </x:c>
      <x:c r="E586" s="18" t="n">
        <x:v>0</x:v>
      </x:c>
      <x:c r="F586" s="18" t="n">
        <x:v>0</x:v>
      </x:c>
      <x:c r="G586" s="18" t="n">
        <x:v>0</x:v>
      </x:c>
      <x:c r="H586" s="18" t="n">
        <x:v>0</x:v>
      </x:c>
      <x:c r="I586" s="18" t="n">
        <x:v>0</x:v>
      </x:c>
      <x:c r="J586" t="n">
        <x:f>IF(A586=A585,IFERROR(IF(B586=EDATE(B585,1),C585,0),0),0)</x:f>
        <x:v>1</x:v>
      </x:c>
      <x:c r="K586" t="n">
        <x:f>IF(AND(J586=1,C586=0),1,0)</x:f>
        <x:v>1</x:v>
      </x:c>
      <x:c r="L586" t="str">
        <x:f>IFERROR(INDEX(Customers!$C$2:$C$451,MATCH(A586,Customers!$A$2:$A$451,0)),"Unknown")</x:f>
        <x:v>Standard</x:v>
      </x:c>
    </x:row>
    <x:row r="587">
      <x:c r="A587" t="n">
        <x:v>105</x:v>
      </x:c>
      <x:c r="B587" s="16" t="n">
        <x:v>46143</x:v>
      </x:c>
      <x:c r="C587" t="n">
        <x:v>1</x:v>
      </x:c>
      <x:c r="D587" t="n">
        <x:v>28</x:v>
      </x:c>
      <x:c r="E587" s="18" t="n">
        <x:v>3110.56</x:v>
      </x:c>
      <x:c r="F587" s="18" t="n">
        <x:v>0</x:v>
      </x:c>
      <x:c r="G587" s="18" t="n">
        <x:v>14</x:v>
      </x:c>
      <x:c r="H587" s="18" t="n">
        <x:v>5.98</x:v>
      </x:c>
      <x:c r="I587" s="18" t="n">
        <x:v>19.98</x:v>
      </x:c>
      <x:c r="J587" t="n">
        <x:f>IF(A587=A586,IFERROR(IF(B587=EDATE(B586,1),C586,0),0),0)</x:f>
        <x:v>0</x:v>
      </x:c>
      <x:c r="K587" t="n">
        <x:f>IF(AND(J587=1,C587=0),1,0)</x:f>
        <x:v>0</x:v>
      </x:c>
      <x:c r="L587" t="str">
        <x:f>IFERROR(INDEX(Customers!$C$2:$C$451,MATCH(A587,Customers!$A$2:$A$451,0)),"Unknown")</x:f>
        <x:v>Standard</x:v>
      </x:c>
    </x:row>
    <x:row r="588">
      <x:c r="A588" t="n">
        <x:v>105</x:v>
      </x:c>
      <x:c r="B588" s="16" t="n">
        <x:v>46174</x:v>
      </x:c>
      <x:c r="C588" t="n">
        <x:v>1</x:v>
      </x:c>
      <x:c r="D588" t="n">
        <x:v>14</x:v>
      </x:c>
      <x:c r="E588" s="18" t="n">
        <x:v>1374.97</x:v>
      </x:c>
      <x:c r="F588" s="18" t="n">
        <x:v>0</x:v>
      </x:c>
      <x:c r="G588" s="18" t="n">
        <x:v>6.19</x:v>
      </x:c>
      <x:c r="H588" s="18" t="n">
        <x:v>2.58</x:v>
      </x:c>
      <x:c r="I588" s="18" t="n">
        <x:v>8.77</x:v>
      </x:c>
      <x:c r="J588" t="n">
        <x:f>IF(A588=A587,IFERROR(IF(B588=EDATE(B587,1),C587,0),0),0)</x:f>
        <x:v>1</x:v>
      </x:c>
      <x:c r="K588" t="n">
        <x:f>IF(AND(J588=1,C588=0),1,0)</x:f>
        <x:v>0</x:v>
      </x:c>
      <x:c r="L588" t="str">
        <x:f>IFERROR(INDEX(Customers!$C$2:$C$451,MATCH(A588,Customers!$A$2:$A$451,0)),"Unknown")</x:f>
        <x:v>Standard</x:v>
      </x:c>
    </x:row>
    <x:row r="589">
      <x:c r="A589" t="n">
        <x:v>105</x:v>
      </x:c>
      <x:c r="B589" s="16" t="n">
        <x:v>46204</x:v>
      </x:c>
      <x:c r="C589" t="n">
        <x:v>1</x:v>
      </x:c>
      <x:c r="D589" t="n">
        <x:v>10</x:v>
      </x:c>
      <x:c r="E589" s="18" t="n">
        <x:v>405.46</x:v>
      </x:c>
      <x:c r="F589" s="18" t="n">
        <x:v>0</x:v>
      </x:c>
      <x:c r="G589" s="18" t="n">
        <x:v>1.82</x:v>
      </x:c>
      <x:c r="H589" s="18" t="n">
        <x:v>1.28</x:v>
      </x:c>
      <x:c r="I589" s="18" t="n">
        <x:v>3.1</x:v>
      </x:c>
      <x:c r="J589" t="n">
        <x:f>IF(A589=A588,IFERROR(IF(B589=EDATE(B588,1),C588,0),0),0)</x:f>
        <x:v>1</x:v>
      </x:c>
      <x:c r="K589" t="n">
        <x:f>IF(AND(J589=1,C589=0),1,0)</x:f>
        <x:v>0</x:v>
      </x:c>
      <x:c r="L589" t="str">
        <x:f>IFERROR(INDEX(Customers!$C$2:$C$451,MATCH(A589,Customers!$A$2:$A$451,0)),"Unknown")</x:f>
        <x:v>Standard</x:v>
      </x:c>
    </x:row>
    <x:row r="590">
      <x:c r="A590" t="n">
        <x:v>105</x:v>
      </x:c>
      <x:c r="B590" s="16" t="n">
        <x:v>46235</x:v>
      </x:c>
      <x:c r="C590" t="n">
        <x:v>1</x:v>
      </x:c>
      <x:c r="D590" t="n">
        <x:v>27</x:v>
      </x:c>
      <x:c r="E590" s="18" t="n">
        <x:v>2702.28</x:v>
      </x:c>
      <x:c r="F590" s="18" t="n">
        <x:v>0</x:v>
      </x:c>
      <x:c r="G590" s="18" t="n">
        <x:v>12.16</x:v>
      </x:c>
      <x:c r="H590" s="18" t="n">
        <x:v>3.82</x:v>
      </x:c>
      <x:c r="I590" s="18" t="n">
        <x:v>15.98</x:v>
      </x:c>
      <x:c r="J590" t="n">
        <x:f>IF(A590=A589,IFERROR(IF(B590=EDATE(B589,1),C589,0),0),0)</x:f>
        <x:v>1</x:v>
      </x:c>
      <x:c r="K590" t="n">
        <x:f>IF(AND(J590=1,C590=0),1,0)</x:f>
        <x:v>0</x:v>
      </x:c>
      <x:c r="L590" t="str">
        <x:f>IFERROR(INDEX(Customers!$C$2:$C$451,MATCH(A590,Customers!$A$2:$A$451,0)),"Unknown")</x:f>
        <x:v>Standard</x:v>
      </x:c>
    </x:row>
    <x:row r="591">
      <x:c r="A591" t="n">
        <x:v>105</x:v>
      </x:c>
      <x:c r="B591" s="16" t="n">
        <x:v>46266</x:v>
      </x:c>
      <x:c r="C591" t="n">
        <x:v>1</x:v>
      </x:c>
      <x:c r="D591" t="n">
        <x:v>20</x:v>
      </x:c>
      <x:c r="E591" s="18" t="n">
        <x:v>2670.23</x:v>
      </x:c>
      <x:c r="F591" s="18" t="n">
        <x:v>0</x:v>
      </x:c>
      <x:c r="G591" s="18" t="n">
        <x:v>12.02</x:v>
      </x:c>
      <x:c r="H591" s="18" t="n">
        <x:v>8.8</x:v>
      </x:c>
      <x:c r="I591" s="18" t="n">
        <x:v>20.82</x:v>
      </x:c>
      <x:c r="J591" t="n">
        <x:f>IF(A591=A590,IFERROR(IF(B591=EDATE(B590,1),C590,0),0),0)</x:f>
        <x:v>1</x:v>
      </x:c>
      <x:c r="K591" t="n">
        <x:f>IF(AND(J591=1,C591=0),1,0)</x:f>
        <x:v>0</x:v>
      </x:c>
      <x:c r="L591" t="str">
        <x:f>IFERROR(INDEX(Customers!$C$2:$C$451,MATCH(A591,Customers!$A$2:$A$451,0)),"Unknown")</x:f>
        <x:v>Standard</x:v>
      </x:c>
    </x:row>
    <x:row r="592">
      <x:c r="A592" t="n">
        <x:v>106</x:v>
      </x:c>
      <x:c r="B592" s="16" t="n">
        <x:v>46113</x:v>
      </x:c>
      <x:c r="C592" t="n">
        <x:v>1</x:v>
      </x:c>
      <x:c r="D592" t="n">
        <x:v>11</x:v>
      </x:c>
      <x:c r="E592" s="18" t="n">
        <x:v>1032.02</x:v>
      </x:c>
      <x:c r="F592" s="18" t="n">
        <x:v>34</x:v>
      </x:c>
      <x:c r="G592" s="18" t="n">
        <x:v>4.64</x:v>
      </x:c>
      <x:c r="H592" s="18" t="n">
        <x:v>2.29</x:v>
      </x:c>
      <x:c r="I592" s="18" t="n">
        <x:v>40.93</x:v>
      </x:c>
      <x:c r="J592" t="n">
        <x:f>IF(A592=A591,IFERROR(IF(B592=EDATE(B591,1),C591,0),0),0)</x:f>
        <x:v>0</x:v>
      </x:c>
      <x:c r="K592" t="n">
        <x:f>IF(AND(J592=1,C592=0),1,0)</x:f>
        <x:v>0</x:v>
      </x:c>
      <x:c r="L592" t="str">
        <x:f>IFERROR(INDEX(Customers!$C$2:$C$451,MATCH(A592,Customers!$A$2:$A$451,0)),"Unknown")</x:f>
        <x:v>Metal</x:v>
      </x:c>
    </x:row>
    <x:row r="593">
      <x:c r="A593" t="n">
        <x:v>106</x:v>
      </x:c>
      <x:c r="B593" s="16" t="n">
        <x:v>46143</x:v>
      </x:c>
      <x:c r="C593" t="n">
        <x:v>1</x:v>
      </x:c>
      <x:c r="D593" t="n">
        <x:v>18</x:v>
      </x:c>
      <x:c r="E593" s="18" t="n">
        <x:v>1775.7</x:v>
      </x:c>
      <x:c r="F593" s="18" t="n">
        <x:v>34</x:v>
      </x:c>
      <x:c r="G593" s="18" t="n">
        <x:v>7.99</x:v>
      </x:c>
      <x:c r="H593" s="18" t="n">
        <x:v>4.13</x:v>
      </x:c>
      <x:c r="I593" s="18" t="n">
        <x:v>46.12</x:v>
      </x:c>
      <x:c r="J593" t="n">
        <x:f>IF(A593=A592,IFERROR(IF(B593=EDATE(B592,1),C592,0),0),0)</x:f>
        <x:v>1</x:v>
      </x:c>
      <x:c r="K593" t="n">
        <x:f>IF(AND(J593=1,C593=0),1,0)</x:f>
        <x:v>0</x:v>
      </x:c>
      <x:c r="L593" t="str">
        <x:f>IFERROR(INDEX(Customers!$C$2:$C$451,MATCH(A593,Customers!$A$2:$A$451,0)),"Unknown")</x:f>
        <x:v>Metal</x:v>
      </x:c>
    </x:row>
    <x:row r="594">
      <x:c r="A594" t="n">
        <x:v>106</x:v>
      </x:c>
      <x:c r="B594" s="16" t="n">
        <x:v>46174</x:v>
      </x:c>
      <x:c r="C594" t="n">
        <x:v>0</x:v>
      </x:c>
      <x:c r="D594" t="n">
        <x:v>0</x:v>
      </x:c>
      <x:c r="E594" s="18" t="n">
        <x:v>0</x:v>
      </x:c>
      <x:c r="F594" s="18" t="n">
        <x:v>0</x:v>
      </x:c>
      <x:c r="G594" s="18" t="n">
        <x:v>0</x:v>
      </x:c>
      <x:c r="H594" s="18" t="n">
        <x:v>0</x:v>
      </x:c>
      <x:c r="I594" s="18" t="n">
        <x:v>0</x:v>
      </x:c>
      <x:c r="J594" t="n">
        <x:f>IF(A594=A593,IFERROR(IF(B594=EDATE(B593,1),C593,0),0),0)</x:f>
        <x:v>1</x:v>
      </x:c>
      <x:c r="K594" t="n">
        <x:f>IF(AND(J594=1,C594=0),1,0)</x:f>
        <x:v>1</x:v>
      </x:c>
      <x:c r="L594" t="str">
        <x:f>IFERROR(INDEX(Customers!$C$2:$C$451,MATCH(A594,Customers!$A$2:$A$451,0)),"Unknown")</x:f>
        <x:v>Metal</x:v>
      </x:c>
    </x:row>
    <x:row r="595">
      <x:c r="A595" t="n">
        <x:v>106</x:v>
      </x:c>
      <x:c r="B595" s="16" t="n">
        <x:v>46204</x:v>
      </x:c>
      <x:c r="C595" t="n">
        <x:v>1</x:v>
      </x:c>
      <x:c r="D595" t="n">
        <x:v>31</x:v>
      </x:c>
      <x:c r="E595" s="18" t="n">
        <x:v>1728.65</x:v>
      </x:c>
      <x:c r="F595" s="18" t="n">
        <x:v>34</x:v>
      </x:c>
      <x:c r="G595" s="18" t="n">
        <x:v>7.78</x:v>
      </x:c>
      <x:c r="H595" s="18" t="n">
        <x:v>6.43</x:v>
      </x:c>
      <x:c r="I595" s="18" t="n">
        <x:v>48.21</x:v>
      </x:c>
      <x:c r="J595" t="n">
        <x:f>IF(A595=A594,IFERROR(IF(B595=EDATE(B594,1),C594,0),0),0)</x:f>
        <x:v>0</x:v>
      </x:c>
      <x:c r="K595" t="n">
        <x:f>IF(AND(J595=1,C595=0),1,0)</x:f>
        <x:v>0</x:v>
      </x:c>
      <x:c r="L595" t="str">
        <x:f>IFERROR(INDEX(Customers!$C$2:$C$451,MATCH(A595,Customers!$A$2:$A$451,0)),"Unknown")</x:f>
        <x:v>Metal</x:v>
      </x:c>
    </x:row>
    <x:row r="596">
      <x:c r="A596" t="n">
        <x:v>106</x:v>
      </x:c>
      <x:c r="B596" s="16" t="n">
        <x:v>46235</x:v>
      </x:c>
      <x:c r="C596" t="n">
        <x:v>1</x:v>
      </x:c>
      <x:c r="D596" t="n">
        <x:v>18</x:v>
      </x:c>
      <x:c r="E596" s="18" t="n">
        <x:v>2272.9</x:v>
      </x:c>
      <x:c r="F596" s="18" t="n">
        <x:v>34</x:v>
      </x:c>
      <x:c r="G596" s="18" t="n">
        <x:v>10.23</x:v>
      </x:c>
      <x:c r="H596" s="18" t="n">
        <x:v>3.04</x:v>
      </x:c>
      <x:c r="I596" s="18" t="n">
        <x:v>47.27</x:v>
      </x:c>
      <x:c r="J596" t="n">
        <x:f>IF(A596=A595,IFERROR(IF(B596=EDATE(B595,1),C595,0),0),0)</x:f>
        <x:v>1</x:v>
      </x:c>
      <x:c r="K596" t="n">
        <x:f>IF(AND(J596=1,C596=0),1,0)</x:f>
        <x:v>0</x:v>
      </x:c>
      <x:c r="L596" t="str">
        <x:f>IFERROR(INDEX(Customers!$C$2:$C$451,MATCH(A596,Customers!$A$2:$A$451,0)),"Unknown")</x:f>
        <x:v>Metal</x:v>
      </x:c>
    </x:row>
    <x:row r="597">
      <x:c r="A597" t="n">
        <x:v>106</x:v>
      </x:c>
      <x:c r="B597" s="16" t="n">
        <x:v>46266</x:v>
      </x:c>
      <x:c r="C597" t="n">
        <x:v>1</x:v>
      </x:c>
      <x:c r="D597" t="n">
        <x:v>4</x:v>
      </x:c>
      <x:c r="E597" s="18" t="n">
        <x:v>152.57</x:v>
      </x:c>
      <x:c r="F597" s="18" t="n">
        <x:v>34</x:v>
      </x:c>
      <x:c r="G597" s="18" t="n">
        <x:v>0.69</x:v>
      </x:c>
      <x:c r="H597" s="18" t="n">
        <x:v>0.18</x:v>
      </x:c>
      <x:c r="I597" s="18" t="n">
        <x:v>34.87</x:v>
      </x:c>
      <x:c r="J597" t="n">
        <x:f>IF(A597=A596,IFERROR(IF(B597=EDATE(B596,1),C596,0),0),0)</x:f>
        <x:v>1</x:v>
      </x:c>
      <x:c r="K597" t="n">
        <x:f>IF(AND(J597=1,C597=0),1,0)</x:f>
        <x:v>0</x:v>
      </x:c>
      <x:c r="L597" t="str">
        <x:f>IFERROR(INDEX(Customers!$C$2:$C$451,MATCH(A597,Customers!$A$2:$A$451,0)),"Unknown")</x:f>
        <x:v>Metal</x:v>
      </x:c>
    </x:row>
    <x:row r="598">
      <x:c r="A598" t="n">
        <x:v>107</x:v>
      </x:c>
      <x:c r="B598" s="16" t="n">
        <x:v>46113</x:v>
      </x:c>
      <x:c r="C598" t="n">
        <x:v>1</x:v>
      </x:c>
      <x:c r="D598" t="n">
        <x:v>35</x:v>
      </x:c>
      <x:c r="E598" s="18" t="n">
        <x:v>4050.83</x:v>
      </x:c>
      <x:c r="F598" s="18" t="n">
        <x:v>0</x:v>
      </x:c>
      <x:c r="G598" s="18" t="n">
        <x:v>18.23</x:v>
      </x:c>
      <x:c r="H598" s="18" t="n">
        <x:v>11.86</x:v>
      </x:c>
      <x:c r="I598" s="18" t="n">
        <x:v>30.09</x:v>
      </x:c>
      <x:c r="J598" t="n">
        <x:f>IF(A598=A597,IFERROR(IF(B598=EDATE(B597,1),C597,0),0),0)</x:f>
        <x:v>0</x:v>
      </x:c>
      <x:c r="K598" t="n">
        <x:f>IF(AND(J598=1,C598=0),1,0)</x:f>
        <x:v>0</x:v>
      </x:c>
      <x:c r="L598" t="str">
        <x:f>IFERROR(INDEX(Customers!$C$2:$C$451,MATCH(A598,Customers!$A$2:$A$451,0)),"Unknown")</x:f>
        <x:v>Standard</x:v>
      </x:c>
    </x:row>
    <x:row r="599">
      <x:c r="A599" t="n">
        <x:v>107</x:v>
      </x:c>
      <x:c r="B599" s="16" t="n">
        <x:v>46143</x:v>
      </x:c>
      <x:c r="C599" t="n">
        <x:v>1</x:v>
      </x:c>
      <x:c r="D599" t="n">
        <x:v>6</x:v>
      </x:c>
      <x:c r="E599" s="18" t="n">
        <x:v>212.43</x:v>
      </x:c>
      <x:c r="F599" s="18" t="n">
        <x:v>0</x:v>
      </x:c>
      <x:c r="G599" s="18" t="n">
        <x:v>0.96</x:v>
      </x:c>
      <x:c r="H599" s="18" t="n">
        <x:v>0.37</x:v>
      </x:c>
      <x:c r="I599" s="18" t="n">
        <x:v>1.33</x:v>
      </x:c>
      <x:c r="J599" t="n">
        <x:f>IF(A599=A598,IFERROR(IF(B599=EDATE(B598,1),C598,0),0),0)</x:f>
        <x:v>1</x:v>
      </x:c>
      <x:c r="K599" t="n">
        <x:f>IF(AND(J599=1,C599=0),1,0)</x:f>
        <x:v>0</x:v>
      </x:c>
      <x:c r="L599" t="str">
        <x:f>IFERROR(INDEX(Customers!$C$2:$C$451,MATCH(A599,Customers!$A$2:$A$451,0)),"Unknown")</x:f>
        <x:v>Standard</x:v>
      </x:c>
    </x:row>
    <x:row r="600">
      <x:c r="A600" t="n">
        <x:v>107</x:v>
      </x:c>
      <x:c r="B600" s="16" t="n">
        <x:v>46174</x:v>
      </x:c>
      <x:c r="C600" t="n">
        <x:v>0</x:v>
      </x:c>
      <x:c r="D600" t="n">
        <x:v>0</x:v>
      </x:c>
      <x:c r="E600" s="18" t="n">
        <x:v>0</x:v>
      </x:c>
      <x:c r="F600" s="18" t="n">
        <x:v>0</x:v>
      </x:c>
      <x:c r="G600" s="18" t="n">
        <x:v>0</x:v>
      </x:c>
      <x:c r="H600" s="18" t="n">
        <x:v>0</x:v>
      </x:c>
      <x:c r="I600" s="18" t="n">
        <x:v>0</x:v>
      </x:c>
      <x:c r="J600" t="n">
        <x:f>IF(A600=A599,IFERROR(IF(B600=EDATE(B599,1),C599,0),0),0)</x:f>
        <x:v>1</x:v>
      </x:c>
      <x:c r="K600" t="n">
        <x:f>IF(AND(J600=1,C600=0),1,0)</x:f>
        <x:v>1</x:v>
      </x:c>
      <x:c r="L600" t="str">
        <x:f>IFERROR(INDEX(Customers!$C$2:$C$451,MATCH(A600,Customers!$A$2:$A$451,0)),"Unknown")</x:f>
        <x:v>Standard</x:v>
      </x:c>
    </x:row>
    <x:row r="601">
      <x:c r="A601" t="n">
        <x:v>107</x:v>
      </x:c>
      <x:c r="B601" s="16" t="n">
        <x:v>46204</x:v>
      </x:c>
      <x:c r="C601" t="n">
        <x:v>1</x:v>
      </x:c>
      <x:c r="D601" t="n">
        <x:v>13</x:v>
      </x:c>
      <x:c r="E601" s="18" t="n">
        <x:v>824.41</x:v>
      </x:c>
      <x:c r="F601" s="18" t="n">
        <x:v>0</x:v>
      </x:c>
      <x:c r="G601" s="18" t="n">
        <x:v>3.71</x:v>
      </x:c>
      <x:c r="H601" s="18" t="n">
        <x:v>1.49</x:v>
      </x:c>
      <x:c r="I601" s="18" t="n">
        <x:v>5.2</x:v>
      </x:c>
      <x:c r="J601" t="n">
        <x:f>IF(A601=A600,IFERROR(IF(B601=EDATE(B600,1),C600,0),0),0)</x:f>
        <x:v>0</x:v>
      </x:c>
      <x:c r="K601" t="n">
        <x:f>IF(AND(J601=1,C601=0),1,0)</x:f>
        <x:v>0</x:v>
      </x:c>
      <x:c r="L601" t="str">
        <x:f>IFERROR(INDEX(Customers!$C$2:$C$451,MATCH(A601,Customers!$A$2:$A$451,0)),"Unknown")</x:f>
        <x:v>Standard</x:v>
      </x:c>
    </x:row>
    <x:row r="602">
      <x:c r="A602" t="n">
        <x:v>107</x:v>
      </x:c>
      <x:c r="B602" s="16" t="n">
        <x:v>46235</x:v>
      </x:c>
      <x:c r="C602" t="n">
        <x:v>1</x:v>
      </x:c>
      <x:c r="D602" t="n">
        <x:v>21</x:v>
      </x:c>
      <x:c r="E602" s="18" t="n">
        <x:v>2476.85</x:v>
      </x:c>
      <x:c r="F602" s="18" t="n">
        <x:v>0</x:v>
      </x:c>
      <x:c r="G602" s="18" t="n">
        <x:v>11.15</x:v>
      </x:c>
      <x:c r="H602" s="18" t="n">
        <x:v>5.14</x:v>
      </x:c>
      <x:c r="I602" s="18" t="n">
        <x:v>16.29</x:v>
      </x:c>
      <x:c r="J602" t="n">
        <x:f>IF(A602=A601,IFERROR(IF(B602=EDATE(B601,1),C601,0),0),0)</x:f>
        <x:v>1</x:v>
      </x:c>
      <x:c r="K602" t="n">
        <x:f>IF(AND(J602=1,C602=0),1,0)</x:f>
        <x:v>0</x:v>
      </x:c>
      <x:c r="L602" t="str">
        <x:f>IFERROR(INDEX(Customers!$C$2:$C$451,MATCH(A602,Customers!$A$2:$A$451,0)),"Unknown")</x:f>
        <x:v>Standard</x:v>
      </x:c>
    </x:row>
    <x:row r="603">
      <x:c r="A603" t="n">
        <x:v>107</x:v>
      </x:c>
      <x:c r="B603" s="16" t="n">
        <x:v>46266</x:v>
      </x:c>
      <x:c r="C603" t="n">
        <x:v>1</x:v>
      </x:c>
      <x:c r="D603" t="n">
        <x:v>33</x:v>
      </x:c>
      <x:c r="E603" s="18" t="n">
        <x:v>4537.76</x:v>
      </x:c>
      <x:c r="F603" s="18" t="n">
        <x:v>0</x:v>
      </x:c>
      <x:c r="G603" s="18" t="n">
        <x:v>20.42</x:v>
      </x:c>
      <x:c r="H603" s="18" t="n">
        <x:v>13.11</x:v>
      </x:c>
      <x:c r="I603" s="18" t="n">
        <x:v>33.53</x:v>
      </x:c>
      <x:c r="J603" t="n">
        <x:f>IF(A603=A602,IFERROR(IF(B603=EDATE(B602,1),C602,0),0),0)</x:f>
        <x:v>1</x:v>
      </x:c>
      <x:c r="K603" t="n">
        <x:f>IF(AND(J603=1,C603=0),1,0)</x:f>
        <x:v>0</x:v>
      </x:c>
      <x:c r="L603" t="str">
        <x:f>IFERROR(INDEX(Customers!$C$2:$C$451,MATCH(A603,Customers!$A$2:$A$451,0)),"Unknown")</x:f>
        <x:v>Standard</x:v>
      </x:c>
    </x:row>
    <x:row r="604">
      <x:c r="A604" t="n">
        <x:v>108</x:v>
      </x:c>
      <x:c r="B604" s="16" t="n">
        <x:v>46143</x:v>
      </x:c>
      <x:c r="C604" t="n">
        <x:v>1</x:v>
      </x:c>
      <x:c r="D604" t="n">
        <x:v>29</x:v>
      </x:c>
      <x:c r="E604" s="18" t="n">
        <x:v>3554.41</x:v>
      </x:c>
      <x:c r="F604" s="18" t="n">
        <x:v>0</x:v>
      </x:c>
      <x:c r="G604" s="18" t="n">
        <x:v>15.99</x:v>
      </x:c>
      <x:c r="H604" s="18" t="n">
        <x:v>5.66</x:v>
      </x:c>
      <x:c r="I604" s="18" t="n">
        <x:v>21.65</x:v>
      </x:c>
      <x:c r="J604" t="n">
        <x:f>IF(A604=A603,IFERROR(IF(B604=EDATE(B603,1),C603,0),0),0)</x:f>
        <x:v>0</x:v>
      </x:c>
      <x:c r="K604" t="n">
        <x:f>IF(AND(J604=1,C604=0),1,0)</x:f>
        <x:v>0</x:v>
      </x:c>
      <x:c r="L604" t="str">
        <x:f>IFERROR(INDEX(Customers!$C$2:$C$451,MATCH(A604,Customers!$A$2:$A$451,0)),"Unknown")</x:f>
        <x:v>Standard</x:v>
      </x:c>
    </x:row>
    <x:row r="605">
      <x:c r="A605" t="n">
        <x:v>108</x:v>
      </x:c>
      <x:c r="B605" s="16" t="n">
        <x:v>46174</x:v>
      </x:c>
      <x:c r="C605" t="n">
        <x:v>0</x:v>
      </x:c>
      <x:c r="D605" t="n">
        <x:v>0</x:v>
      </x:c>
      <x:c r="E605" s="18" t="n">
        <x:v>0</x:v>
      </x:c>
      <x:c r="F605" s="18" t="n">
        <x:v>0</x:v>
      </x:c>
      <x:c r="G605" s="18" t="n">
        <x:v>0</x:v>
      </x:c>
      <x:c r="H605" s="18" t="n">
        <x:v>0</x:v>
      </x:c>
      <x:c r="I605" s="18" t="n">
        <x:v>0</x:v>
      </x:c>
      <x:c r="J605" t="n">
        <x:f>IF(A605=A604,IFERROR(IF(B605=EDATE(B604,1),C604,0),0),0)</x:f>
        <x:v>1</x:v>
      </x:c>
      <x:c r="K605" t="n">
        <x:f>IF(AND(J605=1,C605=0),1,0)</x:f>
        <x:v>1</x:v>
      </x:c>
      <x:c r="L605" t="str">
        <x:f>IFERROR(INDEX(Customers!$C$2:$C$451,MATCH(A605,Customers!$A$2:$A$451,0)),"Unknown")</x:f>
        <x:v>Standard</x:v>
      </x:c>
    </x:row>
    <x:row r="606">
      <x:c r="A606" t="n">
        <x:v>108</x:v>
      </x:c>
      <x:c r="B606" s="16" t="n">
        <x:v>46204</x:v>
      </x:c>
      <x:c r="C606" t="n">
        <x:v>1</x:v>
      </x:c>
      <x:c r="D606" t="n">
        <x:v>28</x:v>
      </x:c>
      <x:c r="E606" s="18" t="n">
        <x:v>1865.56</x:v>
      </x:c>
      <x:c r="F606" s="18" t="n">
        <x:v>0</x:v>
      </x:c>
      <x:c r="G606" s="18" t="n">
        <x:v>8.4</x:v>
      </x:c>
      <x:c r="H606" s="18" t="n">
        <x:v>4.95</x:v>
      </x:c>
      <x:c r="I606" s="18" t="n">
        <x:v>13.35</x:v>
      </x:c>
      <x:c r="J606" t="n">
        <x:f>IF(A606=A605,IFERROR(IF(B606=EDATE(B605,1),C605,0),0),0)</x:f>
        <x:v>0</x:v>
      </x:c>
      <x:c r="K606" t="n">
        <x:f>IF(AND(J606=1,C606=0),1,0)</x:f>
        <x:v>0</x:v>
      </x:c>
      <x:c r="L606" t="str">
        <x:f>IFERROR(INDEX(Customers!$C$2:$C$451,MATCH(A606,Customers!$A$2:$A$451,0)),"Unknown")</x:f>
        <x:v>Standard</x:v>
      </x:c>
    </x:row>
    <x:row r="607">
      <x:c r="A607" t="n">
        <x:v>108</x:v>
      </x:c>
      <x:c r="B607" s="16" t="n">
        <x:v>46235</x:v>
      </x:c>
      <x:c r="C607" t="n">
        <x:v>1</x:v>
      </x:c>
      <x:c r="D607" t="n">
        <x:v>9</x:v>
      </x:c>
      <x:c r="E607" s="18" t="n">
        <x:v>1104.57</x:v>
      </x:c>
      <x:c r="F607" s="18" t="n">
        <x:v>0</x:v>
      </x:c>
      <x:c r="G607" s="18" t="n">
        <x:v>4.97</x:v>
      </x:c>
      <x:c r="H607" s="18" t="n">
        <x:v>2.84</x:v>
      </x:c>
      <x:c r="I607" s="18" t="n">
        <x:v>7.81</x:v>
      </x:c>
      <x:c r="J607" t="n">
        <x:f>IF(A607=A606,IFERROR(IF(B607=EDATE(B606,1),C606,0),0),0)</x:f>
        <x:v>1</x:v>
      </x:c>
      <x:c r="K607" t="n">
        <x:f>IF(AND(J607=1,C607=0),1,0)</x:f>
        <x:v>0</x:v>
      </x:c>
      <x:c r="L607" t="str">
        <x:f>IFERROR(INDEX(Customers!$C$2:$C$451,MATCH(A607,Customers!$A$2:$A$451,0)),"Unknown")</x:f>
        <x:v>Standard</x:v>
      </x:c>
    </x:row>
    <x:row r="608">
      <x:c r="A608" t="n">
        <x:v>108</x:v>
      </x:c>
      <x:c r="B608" s="16" t="n">
        <x:v>46266</x:v>
      </x:c>
      <x:c r="C608" t="n">
        <x:v>1</x:v>
      </x:c>
      <x:c r="D608" t="n">
        <x:v>14</x:v>
      </x:c>
      <x:c r="E608" s="18" t="n">
        <x:v>875.46</x:v>
      </x:c>
      <x:c r="F608" s="18" t="n">
        <x:v>0</x:v>
      </x:c>
      <x:c r="G608" s="18" t="n">
        <x:v>3.94</x:v>
      </x:c>
      <x:c r="H608" s="18" t="n">
        <x:v>3.05</x:v>
      </x:c>
      <x:c r="I608" s="18" t="n">
        <x:v>6.99</x:v>
      </x:c>
      <x:c r="J608" t="n">
        <x:f>IF(A608=A607,IFERROR(IF(B608=EDATE(B607,1),C607,0),0),0)</x:f>
        <x:v>1</x:v>
      </x:c>
      <x:c r="K608" t="n">
        <x:f>IF(AND(J608=1,C608=0),1,0)</x:f>
        <x:v>0</x:v>
      </x:c>
      <x:c r="L608" t="str">
        <x:f>IFERROR(INDEX(Customers!$C$2:$C$451,MATCH(A608,Customers!$A$2:$A$451,0)),"Unknown")</x:f>
        <x:v>Standard</x:v>
      </x:c>
    </x:row>
    <x:row r="609">
      <x:c r="A609" t="n">
        <x:v>109</x:v>
      </x:c>
      <x:c r="B609" s="16" t="n">
        <x:v>46174</x:v>
      </x:c>
      <x:c r="C609" t="n">
        <x:v>0</x:v>
      </x:c>
      <x:c r="D609" t="n">
        <x:v>0</x:v>
      </x:c>
      <x:c r="E609" s="18" t="n">
        <x:v>0</x:v>
      </x:c>
      <x:c r="F609" s="18" t="n">
        <x:v>0</x:v>
      </x:c>
      <x:c r="G609" s="18" t="n">
        <x:v>0</x:v>
      </x:c>
      <x:c r="H609" s="18" t="n">
        <x:v>0</x:v>
      </x:c>
      <x:c r="I609" s="18" t="n">
        <x:v>0</x:v>
      </x:c>
      <x:c r="J609" t="n">
        <x:f>IF(A609=A608,IFERROR(IF(B609=EDATE(B608,1),C608,0),0),0)</x:f>
        <x:v>0</x:v>
      </x:c>
      <x:c r="K609" t="n">
        <x:f>IF(AND(J609=1,C609=0),1,0)</x:f>
        <x:v>0</x:v>
      </x:c>
      <x:c r="L609" t="str">
        <x:f>IFERROR(INDEX(Customers!$C$2:$C$451,MATCH(A609,Customers!$A$2:$A$451,0)),"Unknown")</x:f>
        <x:v>Standard</x:v>
      </x:c>
    </x:row>
    <x:row r="610">
      <x:c r="A610" t="n">
        <x:v>109</x:v>
      </x:c>
      <x:c r="B610" s="16" t="n">
        <x:v>46204</x:v>
      </x:c>
      <x:c r="C610" t="n">
        <x:v>0</x:v>
      </x:c>
      <x:c r="D610" t="n">
        <x:v>0</x:v>
      </x:c>
      <x:c r="E610" s="18" t="n">
        <x:v>0</x:v>
      </x:c>
      <x:c r="F610" s="18" t="n">
        <x:v>0</x:v>
      </x:c>
      <x:c r="G610" s="18" t="n">
        <x:v>0</x:v>
      </x:c>
      <x:c r="H610" s="18" t="n">
        <x:v>0</x:v>
      </x:c>
      <x:c r="I610" s="18" t="n">
        <x:v>0</x:v>
      </x:c>
      <x:c r="J610" t="n">
        <x:f>IF(A610=A609,IFERROR(IF(B610=EDATE(B609,1),C609,0),0),0)</x:f>
        <x:v>0</x:v>
      </x:c>
      <x:c r="K610" t="n">
        <x:f>IF(AND(J610=1,C610=0),1,0)</x:f>
        <x:v>0</x:v>
      </x:c>
      <x:c r="L610" t="str">
        <x:f>IFERROR(INDEX(Customers!$C$2:$C$451,MATCH(A610,Customers!$A$2:$A$451,0)),"Unknown")</x:f>
        <x:v>Standard</x:v>
      </x:c>
    </x:row>
    <x:row r="611">
      <x:c r="A611" t="n">
        <x:v>109</x:v>
      </x:c>
      <x:c r="B611" s="16" t="n">
        <x:v>46235</x:v>
      </x:c>
      <x:c r="C611" t="n">
        <x:v>1</x:v>
      </x:c>
      <x:c r="D611" t="n">
        <x:v>20</x:v>
      </x:c>
      <x:c r="E611" s="18" t="n">
        <x:v>1825.98</x:v>
      </x:c>
      <x:c r="F611" s="18" t="n">
        <x:v>0</x:v>
      </x:c>
      <x:c r="G611" s="18" t="n">
        <x:v>8.22</x:v>
      </x:c>
      <x:c r="H611" s="18" t="n">
        <x:v>5.18</x:v>
      </x:c>
      <x:c r="I611" s="18" t="n">
        <x:v>13.4</x:v>
      </x:c>
      <x:c r="J611" t="n">
        <x:f>IF(A611=A610,IFERROR(IF(B611=EDATE(B610,1),C610,0),0),0)</x:f>
        <x:v>0</x:v>
      </x:c>
      <x:c r="K611" t="n">
        <x:f>IF(AND(J611=1,C611=0),1,0)</x:f>
        <x:v>0</x:v>
      </x:c>
      <x:c r="L611" t="str">
        <x:f>IFERROR(INDEX(Customers!$C$2:$C$451,MATCH(A611,Customers!$A$2:$A$451,0)),"Unknown")</x:f>
        <x:v>Standard</x:v>
      </x:c>
    </x:row>
    <x:row r="612">
      <x:c r="A612" t="n">
        <x:v>109</x:v>
      </x:c>
      <x:c r="B612" s="16" t="n">
        <x:v>46266</x:v>
      </x:c>
      <x:c r="C612" t="n">
        <x:v>1</x:v>
      </x:c>
      <x:c r="D612" t="n">
        <x:v>4</x:v>
      </x:c>
      <x:c r="E612" s="18" t="n">
        <x:v>171.09</x:v>
      </x:c>
      <x:c r="F612" s="18" t="n">
        <x:v>0</x:v>
      </x:c>
      <x:c r="G612" s="18" t="n">
        <x:v>0.77</x:v>
      </x:c>
      <x:c r="H612" s="18" t="n">
        <x:v>0.28</x:v>
      </x:c>
      <x:c r="I612" s="18" t="n">
        <x:v>1.05</x:v>
      </x:c>
      <x:c r="J612" t="n">
        <x:f>IF(A612=A611,IFERROR(IF(B612=EDATE(B611,1),C611,0),0),0)</x:f>
        <x:v>1</x:v>
      </x:c>
      <x:c r="K612" t="n">
        <x:f>IF(AND(J612=1,C612=0),1,0)</x:f>
        <x:v>0</x:v>
      </x:c>
      <x:c r="L612" t="str">
        <x:f>IFERROR(INDEX(Customers!$C$2:$C$451,MATCH(A612,Customers!$A$2:$A$451,0)),"Unknown")</x:f>
        <x:v>Standard</x:v>
      </x:c>
    </x:row>
    <x:row r="613">
      <x:c r="A613" t="n">
        <x:v>110</x:v>
      </x:c>
      <x:c r="B613" s="16" t="n">
        <x:v>46113</x:v>
      </x:c>
      <x:c r="C613" t="n">
        <x:v>0</x:v>
      </x:c>
      <x:c r="D613" t="n">
        <x:v>0</x:v>
      </x:c>
      <x:c r="E613" s="18" t="n">
        <x:v>0</x:v>
      </x:c>
      <x:c r="F613" s="18" t="n">
        <x:v>0</x:v>
      </x:c>
      <x:c r="G613" s="18" t="n">
        <x:v>0</x:v>
      </x:c>
      <x:c r="H613" s="18" t="n">
        <x:v>0</x:v>
      </x:c>
      <x:c r="I613" s="18" t="n">
        <x:v>0</x:v>
      </x:c>
      <x:c r="J613" t="n">
        <x:f>IF(A613=A612,IFERROR(IF(B613=EDATE(B612,1),C612,0),0),0)</x:f>
        <x:v>0</x:v>
      </x:c>
      <x:c r="K613" t="n">
        <x:f>IF(AND(J613=1,C613=0),1,0)</x:f>
        <x:v>0</x:v>
      </x:c>
      <x:c r="L613" t="str">
        <x:f>IFERROR(INDEX(Customers!$C$2:$C$451,MATCH(A613,Customers!$A$2:$A$451,0)),"Unknown")</x:f>
        <x:v>Premium</x:v>
      </x:c>
    </x:row>
    <x:row r="614">
      <x:c r="A614" t="n">
        <x:v>110</x:v>
      </x:c>
      <x:c r="B614" s="16" t="n">
        <x:v>46143</x:v>
      </x:c>
      <x:c r="C614" t="n">
        <x:v>1</x:v>
      </x:c>
      <x:c r="D614" t="n">
        <x:v>22</x:v>
      </x:c>
      <x:c r="E614" s="18" t="n">
        <x:v>2360.22</x:v>
      </x:c>
      <x:c r="F614" s="18" t="n">
        <x:v>17</x:v>
      </x:c>
      <x:c r="G614" s="18" t="n">
        <x:v>10.62</x:v>
      </x:c>
      <x:c r="H614" s="18" t="n">
        <x:v>6.33</x:v>
      </x:c>
      <x:c r="I614" s="18" t="n">
        <x:v>33.95</x:v>
      </x:c>
      <x:c r="J614" t="n">
        <x:f>IF(A614=A613,IFERROR(IF(B614=EDATE(B613,1),C613,0),0),0)</x:f>
        <x:v>0</x:v>
      </x:c>
      <x:c r="K614" t="n">
        <x:f>IF(AND(J614=1,C614=0),1,0)</x:f>
        <x:v>0</x:v>
      </x:c>
      <x:c r="L614" t="str">
        <x:f>IFERROR(INDEX(Customers!$C$2:$C$451,MATCH(A614,Customers!$A$2:$A$451,0)),"Unknown")</x:f>
        <x:v>Premium</x:v>
      </x:c>
    </x:row>
    <x:row r="615">
      <x:c r="A615" t="n">
        <x:v>110</x:v>
      </x:c>
      <x:c r="B615" s="16" t="n">
        <x:v>46174</x:v>
      </x:c>
      <x:c r="C615" t="n">
        <x:v>1</x:v>
      </x:c>
      <x:c r="D615" t="n">
        <x:v>36</x:v>
      </x:c>
      <x:c r="E615" s="18" t="n">
        <x:v>1353.01</x:v>
      </x:c>
      <x:c r="F615" s="18" t="n">
        <x:v>17</x:v>
      </x:c>
      <x:c r="G615" s="18" t="n">
        <x:v>6.09</x:v>
      </x:c>
      <x:c r="H615" s="18" t="n">
        <x:v>4.31</x:v>
      </x:c>
      <x:c r="I615" s="18" t="n">
        <x:v>27.4</x:v>
      </x:c>
      <x:c r="J615" t="n">
        <x:f>IF(A615=A614,IFERROR(IF(B615=EDATE(B614,1),C614,0),0),0)</x:f>
        <x:v>1</x:v>
      </x:c>
      <x:c r="K615" t="n">
        <x:f>IF(AND(J615=1,C615=0),1,0)</x:f>
        <x:v>0</x:v>
      </x:c>
      <x:c r="L615" t="str">
        <x:f>IFERROR(INDEX(Customers!$C$2:$C$451,MATCH(A615,Customers!$A$2:$A$451,0)),"Unknown")</x:f>
        <x:v>Premium</x:v>
      </x:c>
    </x:row>
    <x:row r="616">
      <x:c r="A616" t="n">
        <x:v>110</x:v>
      </x:c>
      <x:c r="B616" s="16" t="n">
        <x:v>46204</x:v>
      </x:c>
      <x:c r="C616" t="n">
        <x:v>0</x:v>
      </x:c>
      <x:c r="D616" t="n">
        <x:v>0</x:v>
      </x:c>
      <x:c r="E616" s="18" t="n">
        <x:v>0</x:v>
      </x:c>
      <x:c r="F616" s="18" t="n">
        <x:v>0</x:v>
      </x:c>
      <x:c r="G616" s="18" t="n">
        <x:v>0</x:v>
      </x:c>
      <x:c r="H616" s="18" t="n">
        <x:v>0</x:v>
      </x:c>
      <x:c r="I616" s="18" t="n">
        <x:v>0</x:v>
      </x:c>
      <x:c r="J616" t="n">
        <x:f>IF(A616=A615,IFERROR(IF(B616=EDATE(B615,1),C615,0),0),0)</x:f>
        <x:v>1</x:v>
      </x:c>
      <x:c r="K616" t="n">
        <x:f>IF(AND(J616=1,C616=0),1,0)</x:f>
        <x:v>1</x:v>
      </x:c>
      <x:c r="L616" t="str">
        <x:f>IFERROR(INDEX(Customers!$C$2:$C$451,MATCH(A616,Customers!$A$2:$A$451,0)),"Unknown")</x:f>
        <x:v>Premium</x:v>
      </x:c>
    </x:row>
    <x:row r="617">
      <x:c r="A617" t="n">
        <x:v>110</x:v>
      </x:c>
      <x:c r="B617" s="16" t="n">
        <x:v>46235</x:v>
      </x:c>
      <x:c r="C617" t="n">
        <x:v>0</x:v>
      </x:c>
      <x:c r="D617" t="n">
        <x:v>0</x:v>
      </x:c>
      <x:c r="E617" s="18" t="n">
        <x:v>0</x:v>
      </x:c>
      <x:c r="F617" s="18" t="n">
        <x:v>0</x:v>
      </x:c>
      <x:c r="G617" s="18" t="n">
        <x:v>0</x:v>
      </x:c>
      <x:c r="H617" s="18" t="n">
        <x:v>0</x:v>
      </x:c>
      <x:c r="I617" s="18" t="n">
        <x:v>0</x:v>
      </x:c>
      <x:c r="J617" t="n">
        <x:f>IF(A617=A616,IFERROR(IF(B617=EDATE(B616,1),C616,0),0),0)</x:f>
        <x:v>0</x:v>
      </x:c>
      <x:c r="K617" t="n">
        <x:f>IF(AND(J617=1,C617=0),1,0)</x:f>
        <x:v>0</x:v>
      </x:c>
      <x:c r="L617" t="str">
        <x:f>IFERROR(INDEX(Customers!$C$2:$C$451,MATCH(A617,Customers!$A$2:$A$451,0)),"Unknown")</x:f>
        <x:v>Premium</x:v>
      </x:c>
    </x:row>
    <x:row r="618">
      <x:c r="A618" t="n">
        <x:v>110</x:v>
      </x:c>
      <x:c r="B618" s="16" t="n">
        <x:v>46266</x:v>
      </x:c>
      <x:c r="C618" t="n">
        <x:v>0</x:v>
      </x:c>
      <x:c r="D618" t="n">
        <x:v>0</x:v>
      </x:c>
      <x:c r="E618" s="18" t="n">
        <x:v>0</x:v>
      </x:c>
      <x:c r="F618" s="18" t="n">
        <x:v>0</x:v>
      </x:c>
      <x:c r="G618" s="18" t="n">
        <x:v>0</x:v>
      </x:c>
      <x:c r="H618" s="18" t="n">
        <x:v>0</x:v>
      </x:c>
      <x:c r="I618" s="18" t="n">
        <x:v>0</x:v>
      </x:c>
      <x:c r="J618" t="n">
        <x:f>IF(A618=A617,IFERROR(IF(B618=EDATE(B617,1),C617,0),0),0)</x:f>
        <x:v>0</x:v>
      </x:c>
      <x:c r="K618" t="n">
        <x:f>IF(AND(J618=1,C618=0),1,0)</x:f>
        <x:v>0</x:v>
      </x:c>
      <x:c r="L618" t="str">
        <x:f>IFERROR(INDEX(Customers!$C$2:$C$451,MATCH(A618,Customers!$A$2:$A$451,0)),"Unknown")</x:f>
        <x:v>Premium</x:v>
      </x:c>
    </x:row>
    <x:row r="619">
      <x:c r="A619" t="n">
        <x:v>111</x:v>
      </x:c>
      <x:c r="B619" s="16" t="n">
        <x:v>46113</x:v>
      </x:c>
      <x:c r="C619" t="n">
        <x:v>1</x:v>
      </x:c>
      <x:c r="D619" t="n">
        <x:v>6</x:v>
      </x:c>
      <x:c r="E619" s="18" t="n">
        <x:v>308.44</x:v>
      </x:c>
      <x:c r="F619" s="18" t="n">
        <x:v>17</x:v>
      </x:c>
      <x:c r="G619" s="18" t="n">
        <x:v>1.39</x:v>
      </x:c>
      <x:c r="H619" s="18" t="n">
        <x:v>0.46</x:v>
      </x:c>
      <x:c r="I619" s="18" t="n">
        <x:v>18.85</x:v>
      </x:c>
      <x:c r="J619" t="n">
        <x:f>IF(A619=A618,IFERROR(IF(B619=EDATE(B618,1),C618,0),0),0)</x:f>
        <x:v>0</x:v>
      </x:c>
      <x:c r="K619" t="n">
        <x:f>IF(AND(J619=1,C619=0),1,0)</x:f>
        <x:v>0</x:v>
      </x:c>
      <x:c r="L619" t="str">
        <x:f>IFERROR(INDEX(Customers!$C$2:$C$451,MATCH(A619,Customers!$A$2:$A$451,0)),"Unknown")</x:f>
        <x:v>Premium</x:v>
      </x:c>
    </x:row>
    <x:row r="620">
      <x:c r="A620" t="n">
        <x:v>111</x:v>
      </x:c>
      <x:c r="B620" s="16" t="n">
        <x:v>46143</x:v>
      </x:c>
      <x:c r="C620" t="n">
        <x:v>1</x:v>
      </x:c>
      <x:c r="D620" t="n">
        <x:v>8</x:v>
      </x:c>
      <x:c r="E620" s="18" t="n">
        <x:v>516.27</x:v>
      </x:c>
      <x:c r="F620" s="18" t="n">
        <x:v>17</x:v>
      </x:c>
      <x:c r="G620" s="18" t="n">
        <x:v>2.32</x:v>
      </x:c>
      <x:c r="H620" s="18" t="n">
        <x:v>0.97</x:v>
      </x:c>
      <x:c r="I620" s="18" t="n">
        <x:v>20.29</x:v>
      </x:c>
      <x:c r="J620" t="n">
        <x:f>IF(A620=A619,IFERROR(IF(B620=EDATE(B619,1),C619,0),0),0)</x:f>
        <x:v>1</x:v>
      </x:c>
      <x:c r="K620" t="n">
        <x:f>IF(AND(J620=1,C620=0),1,0)</x:f>
        <x:v>0</x:v>
      </x:c>
      <x:c r="L620" t="str">
        <x:f>IFERROR(INDEX(Customers!$C$2:$C$451,MATCH(A620,Customers!$A$2:$A$451,0)),"Unknown")</x:f>
        <x:v>Premium</x:v>
      </x:c>
    </x:row>
    <x:row r="621">
      <x:c r="A621" t="n">
        <x:v>111</x:v>
      </x:c>
      <x:c r="B621" s="16" t="n">
        <x:v>46174</x:v>
      </x:c>
      <x:c r="C621" t="n">
        <x:v>1</x:v>
      </x:c>
      <x:c r="D621" t="n">
        <x:v>16</x:v>
      </x:c>
      <x:c r="E621" s="18" t="n">
        <x:v>2109.12</x:v>
      </x:c>
      <x:c r="F621" s="18" t="n">
        <x:v>17</x:v>
      </x:c>
      <x:c r="G621" s="18" t="n">
        <x:v>9.49</x:v>
      </x:c>
      <x:c r="H621" s="18" t="n">
        <x:v>4.43</x:v>
      </x:c>
      <x:c r="I621" s="18" t="n">
        <x:v>30.92</x:v>
      </x:c>
      <x:c r="J621" t="n">
        <x:f>IF(A621=A620,IFERROR(IF(B621=EDATE(B620,1),C620,0),0),0)</x:f>
        <x:v>1</x:v>
      </x:c>
      <x:c r="K621" t="n">
        <x:f>IF(AND(J621=1,C621=0),1,0)</x:f>
        <x:v>0</x:v>
      </x:c>
      <x:c r="L621" t="str">
        <x:f>IFERROR(INDEX(Customers!$C$2:$C$451,MATCH(A621,Customers!$A$2:$A$451,0)),"Unknown")</x:f>
        <x:v>Premium</x:v>
      </x:c>
    </x:row>
    <x:row r="622">
      <x:c r="A622" t="n">
        <x:v>111</x:v>
      </x:c>
      <x:c r="B622" s="16" t="n">
        <x:v>46204</x:v>
      </x:c>
      <x:c r="C622" t="n">
        <x:v>1</x:v>
      </x:c>
      <x:c r="D622" t="n">
        <x:v>31</x:v>
      </x:c>
      <x:c r="E622" s="18" t="n">
        <x:v>4187.79</x:v>
      </x:c>
      <x:c r="F622" s="18" t="n">
        <x:v>17</x:v>
      </x:c>
      <x:c r="G622" s="18" t="n">
        <x:v>18.85</x:v>
      </x:c>
      <x:c r="H622" s="18" t="n">
        <x:v>8.61</x:v>
      </x:c>
      <x:c r="I622" s="18" t="n">
        <x:v>44.46</x:v>
      </x:c>
      <x:c r="J622" t="n">
        <x:f>IF(A622=A621,IFERROR(IF(B622=EDATE(B621,1),C621,0),0),0)</x:f>
        <x:v>1</x:v>
      </x:c>
      <x:c r="K622" t="n">
        <x:f>IF(AND(J622=1,C622=0),1,0)</x:f>
        <x:v>0</x:v>
      </x:c>
      <x:c r="L622" t="str">
        <x:f>IFERROR(INDEX(Customers!$C$2:$C$451,MATCH(A622,Customers!$A$2:$A$451,0)),"Unknown")</x:f>
        <x:v>Premium</x:v>
      </x:c>
    </x:row>
    <x:row r="623">
      <x:c r="A623" t="n">
        <x:v>111</x:v>
      </x:c>
      <x:c r="B623" s="16" t="n">
        <x:v>46235</x:v>
      </x:c>
      <x:c r="C623" t="n">
        <x:v>0</x:v>
      </x:c>
      <x:c r="D623" t="n">
        <x:v>0</x:v>
      </x:c>
      <x:c r="E623" s="18" t="n">
        <x:v>0</x:v>
      </x:c>
      <x:c r="F623" s="18" t="n">
        <x:v>0</x:v>
      </x:c>
      <x:c r="G623" s="18" t="n">
        <x:v>0</x:v>
      </x:c>
      <x:c r="H623" s="18" t="n">
        <x:v>0</x:v>
      </x:c>
      <x:c r="I623" s="18" t="n">
        <x:v>0</x:v>
      </x:c>
      <x:c r="J623" t="n">
        <x:f>IF(A623=A622,IFERROR(IF(B623=EDATE(B622,1),C622,0),0),0)</x:f>
        <x:v>1</x:v>
      </x:c>
      <x:c r="K623" t="n">
        <x:f>IF(AND(J623=1,C623=0),1,0)</x:f>
        <x:v>1</x:v>
      </x:c>
      <x:c r="L623" t="str">
        <x:f>IFERROR(INDEX(Customers!$C$2:$C$451,MATCH(A623,Customers!$A$2:$A$451,0)),"Unknown")</x:f>
        <x:v>Premium</x:v>
      </x:c>
    </x:row>
    <x:row r="624">
      <x:c r="A624" t="n">
        <x:v>111</x:v>
      </x:c>
      <x:c r="B624" s="16" t="n">
        <x:v>46266</x:v>
      </x:c>
      <x:c r="C624" t="n">
        <x:v>1</x:v>
      </x:c>
      <x:c r="D624" t="n">
        <x:v>14</x:v>
      </x:c>
      <x:c r="E624" s="18" t="n">
        <x:v>693.92</x:v>
      </x:c>
      <x:c r="F624" s="18" t="n">
        <x:v>17</x:v>
      </x:c>
      <x:c r="G624" s="18" t="n">
        <x:v>3.12</x:v>
      </x:c>
      <x:c r="H624" s="18" t="n">
        <x:v>1.81</x:v>
      </x:c>
      <x:c r="I624" s="18" t="n">
        <x:v>21.93</x:v>
      </x:c>
      <x:c r="J624" t="n">
        <x:f>IF(A624=A623,IFERROR(IF(B624=EDATE(B623,1),C623,0),0),0)</x:f>
        <x:v>0</x:v>
      </x:c>
      <x:c r="K624" t="n">
        <x:f>IF(AND(J624=1,C624=0),1,0)</x:f>
        <x:v>0</x:v>
      </x:c>
      <x:c r="L624" t="str">
        <x:f>IFERROR(INDEX(Customers!$C$2:$C$451,MATCH(A624,Customers!$A$2:$A$451,0)),"Unknown")</x:f>
        <x:v>Premium</x:v>
      </x:c>
    </x:row>
    <x:row r="625">
      <x:c r="A625" t="n">
        <x:v>112</x:v>
      </x:c>
      <x:c r="B625" s="16" t="n">
        <x:v>46143</x:v>
      </x:c>
      <x:c r="C625" t="n">
        <x:v>1</x:v>
      </x:c>
      <x:c r="D625" t="n">
        <x:v>33</x:v>
      </x:c>
      <x:c r="E625" s="18" t="n">
        <x:v>2455.59</x:v>
      </x:c>
      <x:c r="F625" s="18" t="n">
        <x:v>0</x:v>
      </x:c>
      <x:c r="G625" s="18" t="n">
        <x:v>11.05</x:v>
      </x:c>
      <x:c r="H625" s="18" t="n">
        <x:v>7.76</x:v>
      </x:c>
      <x:c r="I625" s="18" t="n">
        <x:v>18.81</x:v>
      </x:c>
      <x:c r="J625" t="n">
        <x:f>IF(A625=A624,IFERROR(IF(B625=EDATE(B624,1),C624,0),0),0)</x:f>
        <x:v>0</x:v>
      </x:c>
      <x:c r="K625" t="n">
        <x:f>IF(AND(J625=1,C625=0),1,0)</x:f>
        <x:v>0</x:v>
      </x:c>
      <x:c r="L625" t="str">
        <x:f>IFERROR(INDEX(Customers!$C$2:$C$451,MATCH(A625,Customers!$A$2:$A$451,0)),"Unknown")</x:f>
        <x:v>Standard</x:v>
      </x:c>
    </x:row>
    <x:row r="626">
      <x:c r="A626" t="n">
        <x:v>112</x:v>
      </x:c>
      <x:c r="B626" s="16" t="n">
        <x:v>46174</x:v>
      </x:c>
      <x:c r="C626" t="n">
        <x:v>1</x:v>
      </x:c>
      <x:c r="D626" t="n">
        <x:v>11</x:v>
      </x:c>
      <x:c r="E626" s="18" t="n">
        <x:v>844.35</x:v>
      </x:c>
      <x:c r="F626" s="18" t="n">
        <x:v>0</x:v>
      </x:c>
      <x:c r="G626" s="18" t="n">
        <x:v>3.8</x:v>
      </x:c>
      <x:c r="H626" s="18" t="n">
        <x:v>3</x:v>
      </x:c>
      <x:c r="I626" s="18" t="n">
        <x:v>6.8</x:v>
      </x:c>
      <x:c r="J626" t="n">
        <x:f>IF(A626=A625,IFERROR(IF(B626=EDATE(B625,1),C625,0),0),0)</x:f>
        <x:v>1</x:v>
      </x:c>
      <x:c r="K626" t="n">
        <x:f>IF(AND(J626=1,C626=0),1,0)</x:f>
        <x:v>0</x:v>
      </x:c>
      <x:c r="L626" t="str">
        <x:f>IFERROR(INDEX(Customers!$C$2:$C$451,MATCH(A626,Customers!$A$2:$A$451,0)),"Unknown")</x:f>
        <x:v>Standard</x:v>
      </x:c>
    </x:row>
    <x:row r="627">
      <x:c r="A627" t="n">
        <x:v>112</x:v>
      </x:c>
      <x:c r="B627" s="16" t="n">
        <x:v>46204</x:v>
      </x:c>
      <x:c r="C627" t="n">
        <x:v>1</x:v>
      </x:c>
      <x:c r="D627" t="n">
        <x:v>8</x:v>
      </x:c>
      <x:c r="E627" s="18" t="n">
        <x:v>692.77</x:v>
      </x:c>
      <x:c r="F627" s="18" t="n">
        <x:v>0</x:v>
      </x:c>
      <x:c r="G627" s="18" t="n">
        <x:v>3.12</x:v>
      </x:c>
      <x:c r="H627" s="18" t="n">
        <x:v>0.57</x:v>
      </x:c>
      <x:c r="I627" s="18" t="n">
        <x:v>3.69</x:v>
      </x:c>
      <x:c r="J627" t="n">
        <x:f>IF(A627=A626,IFERROR(IF(B627=EDATE(B626,1),C626,0),0),0)</x:f>
        <x:v>1</x:v>
      </x:c>
      <x:c r="K627" t="n">
        <x:f>IF(AND(J627=1,C627=0),1,0)</x:f>
        <x:v>0</x:v>
      </x:c>
      <x:c r="L627" t="str">
        <x:f>IFERROR(INDEX(Customers!$C$2:$C$451,MATCH(A627,Customers!$A$2:$A$451,0)),"Unknown")</x:f>
        <x:v>Standard</x:v>
      </x:c>
    </x:row>
    <x:row r="628">
      <x:c r="A628" t="n">
        <x:v>112</x:v>
      </x:c>
      <x:c r="B628" s="16" t="n">
        <x:v>46235</x:v>
      </x:c>
      <x:c r="C628" t="n">
        <x:v>1</x:v>
      </x:c>
      <x:c r="D628" t="n">
        <x:v>32</x:v>
      </x:c>
      <x:c r="E628" s="18" t="n">
        <x:v>2931</x:v>
      </x:c>
      <x:c r="F628" s="18" t="n">
        <x:v>0</x:v>
      </x:c>
      <x:c r="G628" s="18" t="n">
        <x:v>13.19</x:v>
      </x:c>
      <x:c r="H628" s="18" t="n">
        <x:v>10.59</x:v>
      </x:c>
      <x:c r="I628" s="18" t="n">
        <x:v>23.78</x:v>
      </x:c>
      <x:c r="J628" t="n">
        <x:f>IF(A628=A627,IFERROR(IF(B628=EDATE(B627,1),C627,0),0),0)</x:f>
        <x:v>1</x:v>
      </x:c>
      <x:c r="K628" t="n">
        <x:f>IF(AND(J628=1,C628=0),1,0)</x:f>
        <x:v>0</x:v>
      </x:c>
      <x:c r="L628" t="str">
        <x:f>IFERROR(INDEX(Customers!$C$2:$C$451,MATCH(A628,Customers!$A$2:$A$451,0)),"Unknown")</x:f>
        <x:v>Standard</x:v>
      </x:c>
    </x:row>
    <x:row r="629">
      <x:c r="A629" t="n">
        <x:v>112</x:v>
      </x:c>
      <x:c r="B629" s="16" t="n">
        <x:v>46266</x:v>
      </x:c>
      <x:c r="C629" t="n">
        <x:v>0</x:v>
      </x:c>
      <x:c r="D629" t="n">
        <x:v>0</x:v>
      </x:c>
      <x:c r="E629" s="18" t="n">
        <x:v>0</x:v>
      </x:c>
      <x:c r="F629" s="18" t="n">
        <x:v>0</x:v>
      </x:c>
      <x:c r="G629" s="18" t="n">
        <x:v>0</x:v>
      </x:c>
      <x:c r="H629" s="18" t="n">
        <x:v>0</x:v>
      </x:c>
      <x:c r="I629" s="18" t="n">
        <x:v>0</x:v>
      </x:c>
      <x:c r="J629" t="n">
        <x:f>IF(A629=A628,IFERROR(IF(B629=EDATE(B628,1),C628,0),0),0)</x:f>
        <x:v>1</x:v>
      </x:c>
      <x:c r="K629" t="n">
        <x:f>IF(AND(J629=1,C629=0),1,0)</x:f>
        <x:v>1</x:v>
      </x:c>
      <x:c r="L629" t="str">
        <x:f>IFERROR(INDEX(Customers!$C$2:$C$451,MATCH(A629,Customers!$A$2:$A$451,0)),"Unknown")</x:f>
        <x:v>Standard</x:v>
      </x:c>
    </x:row>
    <x:row r="630">
      <x:c r="A630" t="n">
        <x:v>113</x:v>
      </x:c>
      <x:c r="B630" s="16" t="n">
        <x:v>46174</x:v>
      </x:c>
      <x:c r="C630" t="n">
        <x:v>1</x:v>
      </x:c>
      <x:c r="D630" t="n">
        <x:v>28</x:v>
      </x:c>
      <x:c r="E630" s="18" t="n">
        <x:v>2759.36</x:v>
      </x:c>
      <x:c r="F630" s="18" t="n">
        <x:v>0</x:v>
      </x:c>
      <x:c r="G630" s="18" t="n">
        <x:v>12.42</x:v>
      </x:c>
      <x:c r="H630" s="18" t="n">
        <x:v>5.01</x:v>
      </x:c>
      <x:c r="I630" s="18" t="n">
        <x:v>17.43</x:v>
      </x:c>
      <x:c r="J630" t="n">
        <x:f>IF(A630=A629,IFERROR(IF(B630=EDATE(B629,1),C629,0),0),0)</x:f>
        <x:v>0</x:v>
      </x:c>
      <x:c r="K630" t="n">
        <x:f>IF(AND(J630=1,C630=0),1,0)</x:f>
        <x:v>0</x:v>
      </x:c>
      <x:c r="L630" t="str">
        <x:f>IFERROR(INDEX(Customers!$C$2:$C$451,MATCH(A630,Customers!$A$2:$A$451,0)),"Unknown")</x:f>
        <x:v>Standard</x:v>
      </x:c>
    </x:row>
    <x:row r="631">
      <x:c r="A631" t="n">
        <x:v>113</x:v>
      </x:c>
      <x:c r="B631" s="16" t="n">
        <x:v>46204</x:v>
      </x:c>
      <x:c r="C631" t="n">
        <x:v>0</x:v>
      </x:c>
      <x:c r="D631" t="n">
        <x:v>0</x:v>
      </x:c>
      <x:c r="E631" s="18" t="n">
        <x:v>0</x:v>
      </x:c>
      <x:c r="F631" s="18" t="n">
        <x:v>0</x:v>
      </x:c>
      <x:c r="G631" s="18" t="n">
        <x:v>0</x:v>
      </x:c>
      <x:c r="H631" s="18" t="n">
        <x:v>0</x:v>
      </x:c>
      <x:c r="I631" s="18" t="n">
        <x:v>0</x:v>
      </x:c>
      <x:c r="J631" t="n">
        <x:f>IF(A631=A630,IFERROR(IF(B631=EDATE(B630,1),C630,0),0),0)</x:f>
        <x:v>1</x:v>
      </x:c>
      <x:c r="K631" t="n">
        <x:f>IF(AND(J631=1,C631=0),1,0)</x:f>
        <x:v>1</x:v>
      </x:c>
      <x:c r="L631" t="str">
        <x:f>IFERROR(INDEX(Customers!$C$2:$C$451,MATCH(A631,Customers!$A$2:$A$451,0)),"Unknown")</x:f>
        <x:v>Standard</x:v>
      </x:c>
    </x:row>
    <x:row r="632">
      <x:c r="A632" t="n">
        <x:v>113</x:v>
      </x:c>
      <x:c r="B632" s="16" t="n">
        <x:v>46235</x:v>
      </x:c>
      <x:c r="C632" t="n">
        <x:v>1</x:v>
      </x:c>
      <x:c r="D632" t="n">
        <x:v>35</x:v>
      </x:c>
      <x:c r="E632" s="18" t="n">
        <x:v>1980.81</x:v>
      </x:c>
      <x:c r="F632" s="18" t="n">
        <x:v>0</x:v>
      </x:c>
      <x:c r="G632" s="18" t="n">
        <x:v>8.91</x:v>
      </x:c>
      <x:c r="H632" s="18" t="n">
        <x:v>6.74</x:v>
      </x:c>
      <x:c r="I632" s="18" t="n">
        <x:v>15.65</x:v>
      </x:c>
      <x:c r="J632" t="n">
        <x:f>IF(A632=A631,IFERROR(IF(B632=EDATE(B631,1),C631,0),0),0)</x:f>
        <x:v>0</x:v>
      </x:c>
      <x:c r="K632" t="n">
        <x:f>IF(AND(J632=1,C632=0),1,0)</x:f>
        <x:v>0</x:v>
      </x:c>
      <x:c r="L632" t="str">
        <x:f>IFERROR(INDEX(Customers!$C$2:$C$451,MATCH(A632,Customers!$A$2:$A$451,0)),"Unknown")</x:f>
        <x:v>Standard</x:v>
      </x:c>
    </x:row>
    <x:row r="633">
      <x:c r="A633" t="n">
        <x:v>113</x:v>
      </x:c>
      <x:c r="B633" s="16" t="n">
        <x:v>46266</x:v>
      </x:c>
      <x:c r="C633" t="n">
        <x:v>0</x:v>
      </x:c>
      <x:c r="D633" t="n">
        <x:v>0</x:v>
      </x:c>
      <x:c r="E633" s="18" t="n">
        <x:v>0</x:v>
      </x:c>
      <x:c r="F633" s="18" t="n">
        <x:v>0</x:v>
      </x:c>
      <x:c r="G633" s="18" t="n">
        <x:v>0</x:v>
      </x:c>
      <x:c r="H633" s="18" t="n">
        <x:v>0</x:v>
      </x:c>
      <x:c r="I633" s="18" t="n">
        <x:v>0</x:v>
      </x:c>
      <x:c r="J633" t="n">
        <x:f>IF(A633=A632,IFERROR(IF(B633=EDATE(B632,1),C632,0),0),0)</x:f>
        <x:v>1</x:v>
      </x:c>
      <x:c r="K633" t="n">
        <x:f>IF(AND(J633=1,C633=0),1,0)</x:f>
        <x:v>1</x:v>
      </x:c>
      <x:c r="L633" t="str">
        <x:f>IFERROR(INDEX(Customers!$C$2:$C$451,MATCH(A633,Customers!$A$2:$A$451,0)),"Unknown")</x:f>
        <x:v>Standard</x:v>
      </x:c>
    </x:row>
    <x:row r="634">
      <x:c r="A634" t="n">
        <x:v>114</x:v>
      </x:c>
      <x:c r="B634" s="16" t="n">
        <x:v>46143</x:v>
      </x:c>
      <x:c r="C634" t="n">
        <x:v>1</x:v>
      </x:c>
      <x:c r="D634" t="n">
        <x:v>14</x:v>
      </x:c>
      <x:c r="E634" s="18" t="n">
        <x:v>1904.73</x:v>
      </x:c>
      <x:c r="F634" s="18" t="n">
        <x:v>0</x:v>
      </x:c>
      <x:c r="G634" s="18" t="n">
        <x:v>8.57</x:v>
      </x:c>
      <x:c r="H634" s="18" t="n">
        <x:v>1.69</x:v>
      </x:c>
      <x:c r="I634" s="18" t="n">
        <x:v>10.26</x:v>
      </x:c>
      <x:c r="J634" t="n">
        <x:f>IF(A634=A633,IFERROR(IF(B634=EDATE(B633,1),C633,0),0),0)</x:f>
        <x:v>0</x:v>
      </x:c>
      <x:c r="K634" t="n">
        <x:f>IF(AND(J634=1,C634=0),1,0)</x:f>
        <x:v>0</x:v>
      </x:c>
      <x:c r="L634" t="str">
        <x:f>IFERROR(INDEX(Customers!$C$2:$C$451,MATCH(A634,Customers!$A$2:$A$451,0)),"Unknown")</x:f>
        <x:v>Standard</x:v>
      </x:c>
    </x:row>
    <x:row r="635">
      <x:c r="A635" t="n">
        <x:v>114</x:v>
      </x:c>
      <x:c r="B635" s="16" t="n">
        <x:v>46174</x:v>
      </x:c>
      <x:c r="C635" t="n">
        <x:v>1</x:v>
      </x:c>
      <x:c r="D635" t="n">
        <x:v>19</x:v>
      </x:c>
      <x:c r="E635" s="18" t="n">
        <x:v>2180.05</x:v>
      </x:c>
      <x:c r="F635" s="18" t="n">
        <x:v>0</x:v>
      </x:c>
      <x:c r="G635" s="18" t="n">
        <x:v>9.81</x:v>
      </x:c>
      <x:c r="H635" s="18" t="n">
        <x:v>4.61</x:v>
      </x:c>
      <x:c r="I635" s="18" t="n">
        <x:v>14.42</x:v>
      </x:c>
      <x:c r="J635" t="n">
        <x:f>IF(A635=A634,IFERROR(IF(B635=EDATE(B634,1),C634,0),0),0)</x:f>
        <x:v>1</x:v>
      </x:c>
      <x:c r="K635" t="n">
        <x:f>IF(AND(J635=1,C635=0),1,0)</x:f>
        <x:v>0</x:v>
      </x:c>
      <x:c r="L635" t="str">
        <x:f>IFERROR(INDEX(Customers!$C$2:$C$451,MATCH(A635,Customers!$A$2:$A$451,0)),"Unknown")</x:f>
        <x:v>Standard</x:v>
      </x:c>
    </x:row>
    <x:row r="636">
      <x:c r="A636" t="n">
        <x:v>114</x:v>
      </x:c>
      <x:c r="B636" s="16" t="n">
        <x:v>46204</x:v>
      </x:c>
      <x:c r="C636" t="n">
        <x:v>0</x:v>
      </x:c>
      <x:c r="D636" t="n">
        <x:v>0</x:v>
      </x:c>
      <x:c r="E636" s="18" t="n">
        <x:v>0</x:v>
      </x:c>
      <x:c r="F636" s="18" t="n">
        <x:v>0</x:v>
      </x:c>
      <x:c r="G636" s="18" t="n">
        <x:v>0</x:v>
      </x:c>
      <x:c r="H636" s="18" t="n">
        <x:v>0</x:v>
      </x:c>
      <x:c r="I636" s="18" t="n">
        <x:v>0</x:v>
      </x:c>
      <x:c r="J636" t="n">
        <x:f>IF(A636=A635,IFERROR(IF(B636=EDATE(B635,1),C635,0),0),0)</x:f>
        <x:v>1</x:v>
      </x:c>
      <x:c r="K636" t="n">
        <x:f>IF(AND(J636=1,C636=0),1,0)</x:f>
        <x:v>1</x:v>
      </x:c>
      <x:c r="L636" t="str">
        <x:f>IFERROR(INDEX(Customers!$C$2:$C$451,MATCH(A636,Customers!$A$2:$A$451,0)),"Unknown")</x:f>
        <x:v>Standard</x:v>
      </x:c>
    </x:row>
    <x:row r="637">
      <x:c r="A637" t="n">
        <x:v>114</x:v>
      </x:c>
      <x:c r="B637" s="16" t="n">
        <x:v>46235</x:v>
      </x:c>
      <x:c r="C637" t="n">
        <x:v>1</x:v>
      </x:c>
      <x:c r="D637" t="n">
        <x:v>21</x:v>
      </x:c>
      <x:c r="E637" s="18" t="n">
        <x:v>1536.5</x:v>
      </x:c>
      <x:c r="F637" s="18" t="n">
        <x:v>0</x:v>
      </x:c>
      <x:c r="G637" s="18" t="n">
        <x:v>6.91</x:v>
      </x:c>
      <x:c r="H637" s="18" t="n">
        <x:v>2.72</x:v>
      </x:c>
      <x:c r="I637" s="18" t="n">
        <x:v>9.63</x:v>
      </x:c>
      <x:c r="J637" t="n">
        <x:f>IF(A637=A636,IFERROR(IF(B637=EDATE(B636,1),C636,0),0),0)</x:f>
        <x:v>0</x:v>
      </x:c>
      <x:c r="K637" t="n">
        <x:f>IF(AND(J637=1,C637=0),1,0)</x:f>
        <x:v>0</x:v>
      </x:c>
      <x:c r="L637" t="str">
        <x:f>IFERROR(INDEX(Customers!$C$2:$C$451,MATCH(A637,Customers!$A$2:$A$451,0)),"Unknown")</x:f>
        <x:v>Standard</x:v>
      </x:c>
    </x:row>
    <x:row r="638">
      <x:c r="A638" t="n">
        <x:v>114</x:v>
      </x:c>
      <x:c r="B638" s="16" t="n">
        <x:v>46266</x:v>
      </x:c>
      <x:c r="C638" t="n">
        <x:v>0</x:v>
      </x:c>
      <x:c r="D638" t="n">
        <x:v>0</x:v>
      </x:c>
      <x:c r="E638" s="18" t="n">
        <x:v>0</x:v>
      </x:c>
      <x:c r="F638" s="18" t="n">
        <x:v>0</x:v>
      </x:c>
      <x:c r="G638" s="18" t="n">
        <x:v>0</x:v>
      </x:c>
      <x:c r="H638" s="18" t="n">
        <x:v>0</x:v>
      </x:c>
      <x:c r="I638" s="18" t="n">
        <x:v>0</x:v>
      </x:c>
      <x:c r="J638" t="n">
        <x:f>IF(A638=A637,IFERROR(IF(B638=EDATE(B637,1),C637,0),0),0)</x:f>
        <x:v>1</x:v>
      </x:c>
      <x:c r="K638" t="n">
        <x:f>IF(AND(J638=1,C638=0),1,0)</x:f>
        <x:v>1</x:v>
      </x:c>
      <x:c r="L638" t="str">
        <x:f>IFERROR(INDEX(Customers!$C$2:$C$451,MATCH(A638,Customers!$A$2:$A$451,0)),"Unknown")</x:f>
        <x:v>Standard</x:v>
      </x:c>
    </x:row>
    <x:row r="639">
      <x:c r="A639" t="n">
        <x:v>115</x:v>
      </x:c>
      <x:c r="B639" s="16" t="n">
        <x:v>46113</x:v>
      </x:c>
      <x:c r="C639" t="n">
        <x:v>1</x:v>
      </x:c>
      <x:c r="D639" t="n">
        <x:v>8</x:v>
      </x:c>
      <x:c r="E639" s="18" t="n">
        <x:v>762.96</x:v>
      </x:c>
      <x:c r="F639" s="18" t="n">
        <x:v>17</x:v>
      </x:c>
      <x:c r="G639" s="18" t="n">
        <x:v>3.43</x:v>
      </x:c>
      <x:c r="H639" s="18" t="n">
        <x:v>2.17</x:v>
      </x:c>
      <x:c r="I639" s="18" t="n">
        <x:v>22.6</x:v>
      </x:c>
      <x:c r="J639" t="n">
        <x:f>IF(A639=A638,IFERROR(IF(B639=EDATE(B638,1),C638,0),0),0)</x:f>
        <x:v>0</x:v>
      </x:c>
      <x:c r="K639" t="n">
        <x:f>IF(AND(J639=1,C639=0),1,0)</x:f>
        <x:v>0</x:v>
      </x:c>
      <x:c r="L639" t="str">
        <x:f>IFERROR(INDEX(Customers!$C$2:$C$451,MATCH(A639,Customers!$A$2:$A$451,0)),"Unknown")</x:f>
        <x:v>Premium</x:v>
      </x:c>
    </x:row>
    <x:row r="640">
      <x:c r="A640" t="n">
        <x:v>115</x:v>
      </x:c>
      <x:c r="B640" s="16" t="n">
        <x:v>46143</x:v>
      </x:c>
      <x:c r="C640" t="n">
        <x:v>1</x:v>
      </x:c>
      <x:c r="D640" t="n">
        <x:v>18</x:v>
      </x:c>
      <x:c r="E640" s="18" t="n">
        <x:v>2268.23</x:v>
      </x:c>
      <x:c r="F640" s="18" t="n">
        <x:v>17</x:v>
      </x:c>
      <x:c r="G640" s="18" t="n">
        <x:v>10.21</x:v>
      </x:c>
      <x:c r="H640" s="18" t="n">
        <x:v>3.37</x:v>
      </x:c>
      <x:c r="I640" s="18" t="n">
        <x:v>30.58</x:v>
      </x:c>
      <x:c r="J640" t="n">
        <x:f>IF(A640=A639,IFERROR(IF(B640=EDATE(B639,1),C639,0),0),0)</x:f>
        <x:v>1</x:v>
      </x:c>
      <x:c r="K640" t="n">
        <x:f>IF(AND(J640=1,C640=0),1,0)</x:f>
        <x:v>0</x:v>
      </x:c>
      <x:c r="L640" t="str">
        <x:f>IFERROR(INDEX(Customers!$C$2:$C$451,MATCH(A640,Customers!$A$2:$A$451,0)),"Unknown")</x:f>
        <x:v>Premium</x:v>
      </x:c>
    </x:row>
    <x:row r="641">
      <x:c r="A641" t="n">
        <x:v>115</x:v>
      </x:c>
      <x:c r="B641" s="16" t="n">
        <x:v>46174</x:v>
      </x:c>
      <x:c r="C641" t="n">
        <x:v>0</x:v>
      </x:c>
      <x:c r="D641" t="n">
        <x:v>0</x:v>
      </x:c>
      <x:c r="E641" s="18" t="n">
        <x:v>0</x:v>
      </x:c>
      <x:c r="F641" s="18" t="n">
        <x:v>0</x:v>
      </x:c>
      <x:c r="G641" s="18" t="n">
        <x:v>0</x:v>
      </x:c>
      <x:c r="H641" s="18" t="n">
        <x:v>0</x:v>
      </x:c>
      <x:c r="I641" s="18" t="n">
        <x:v>0</x:v>
      </x:c>
      <x:c r="J641" t="n">
        <x:f>IF(A641=A640,IFERROR(IF(B641=EDATE(B640,1),C640,0),0),0)</x:f>
        <x:v>1</x:v>
      </x:c>
      <x:c r="K641" t="n">
        <x:f>IF(AND(J641=1,C641=0),1,0)</x:f>
        <x:v>1</x:v>
      </x:c>
      <x:c r="L641" t="str">
        <x:f>IFERROR(INDEX(Customers!$C$2:$C$451,MATCH(A641,Customers!$A$2:$A$451,0)),"Unknown")</x:f>
        <x:v>Premium</x:v>
      </x:c>
    </x:row>
    <x:row r="642">
      <x:c r="A642" t="n">
        <x:v>115</x:v>
      </x:c>
      <x:c r="B642" s="16" t="n">
        <x:v>46204</x:v>
      </x:c>
      <x:c r="C642" t="n">
        <x:v>1</x:v>
      </x:c>
      <x:c r="D642" t="n">
        <x:v>21</x:v>
      </x:c>
      <x:c r="E642" s="18" t="n">
        <x:v>2806.03</x:v>
      </x:c>
      <x:c r="F642" s="18" t="n">
        <x:v>17</x:v>
      </x:c>
      <x:c r="G642" s="18" t="n">
        <x:v>12.63</x:v>
      </x:c>
      <x:c r="H642" s="18" t="n">
        <x:v>5.32</x:v>
      </x:c>
      <x:c r="I642" s="18" t="n">
        <x:v>34.95</x:v>
      </x:c>
      <x:c r="J642" t="n">
        <x:f>IF(A642=A641,IFERROR(IF(B642=EDATE(B641,1),C641,0),0),0)</x:f>
        <x:v>0</x:v>
      </x:c>
      <x:c r="K642" t="n">
        <x:f>IF(AND(J642=1,C642=0),1,0)</x:f>
        <x:v>0</x:v>
      </x:c>
      <x:c r="L642" t="str">
        <x:f>IFERROR(INDEX(Customers!$C$2:$C$451,MATCH(A642,Customers!$A$2:$A$451,0)),"Unknown")</x:f>
        <x:v>Premium</x:v>
      </x:c>
    </x:row>
    <x:row r="643">
      <x:c r="A643" t="n">
        <x:v>115</x:v>
      </x:c>
      <x:c r="B643" s="16" t="n">
        <x:v>46235</x:v>
      </x:c>
      <x:c r="C643" t="n">
        <x:v>1</x:v>
      </x:c>
      <x:c r="D643" t="n">
        <x:v>18</x:v>
      </x:c>
      <x:c r="E643" s="18" t="n">
        <x:v>1747.77</x:v>
      </x:c>
      <x:c r="F643" s="18" t="n">
        <x:v>17</x:v>
      </x:c>
      <x:c r="G643" s="18" t="n">
        <x:v>7.86</x:v>
      </x:c>
      <x:c r="H643" s="18" t="n">
        <x:v>4.07</x:v>
      </x:c>
      <x:c r="I643" s="18" t="n">
        <x:v>28.93</x:v>
      </x:c>
      <x:c r="J643" t="n">
        <x:f>IF(A643=A642,IFERROR(IF(B643=EDATE(B642,1),C642,0),0),0)</x:f>
        <x:v>1</x:v>
      </x:c>
      <x:c r="K643" t="n">
        <x:f>IF(AND(J643=1,C643=0),1,0)</x:f>
        <x:v>0</x:v>
      </x:c>
      <x:c r="L643" t="str">
        <x:f>IFERROR(INDEX(Customers!$C$2:$C$451,MATCH(A643,Customers!$A$2:$A$451,0)),"Unknown")</x:f>
        <x:v>Premium</x:v>
      </x:c>
    </x:row>
    <x:row r="644">
      <x:c r="A644" t="n">
        <x:v>115</x:v>
      </x:c>
      <x:c r="B644" s="16" t="n">
        <x:v>46266</x:v>
      </x:c>
      <x:c r="C644" t="n">
        <x:v>1</x:v>
      </x:c>
      <x:c r="D644" t="n">
        <x:v>24</x:v>
      </x:c>
      <x:c r="E644" s="18" t="n">
        <x:v>2482.03</x:v>
      </x:c>
      <x:c r="F644" s="18" t="n">
        <x:v>17</x:v>
      </x:c>
      <x:c r="G644" s="18" t="n">
        <x:v>11.17</x:v>
      </x:c>
      <x:c r="H644" s="18" t="n">
        <x:v>9.27</x:v>
      </x:c>
      <x:c r="I644" s="18" t="n">
        <x:v>37.44</x:v>
      </x:c>
      <x:c r="J644" t="n">
        <x:f>IF(A644=A643,IFERROR(IF(B644=EDATE(B643,1),C643,0),0),0)</x:f>
        <x:v>1</x:v>
      </x:c>
      <x:c r="K644" t="n">
        <x:f>IF(AND(J644=1,C644=0),1,0)</x:f>
        <x:v>0</x:v>
      </x:c>
      <x:c r="L644" t="str">
        <x:f>IFERROR(INDEX(Customers!$C$2:$C$451,MATCH(A644,Customers!$A$2:$A$451,0)),"Unknown")</x:f>
        <x:v>Premium</x:v>
      </x:c>
    </x:row>
    <x:row r="645">
      <x:c r="A645" t="n">
        <x:v>116</x:v>
      </x:c>
      <x:c r="B645" s="16" t="n">
        <x:v>46174</x:v>
      </x:c>
      <x:c r="C645" t="n">
        <x:v>1</x:v>
      </x:c>
      <x:c r="D645" t="n">
        <x:v>35</x:v>
      </x:c>
      <x:c r="E645" s="18" t="n">
        <x:v>4183.26</x:v>
      </x:c>
      <x:c r="F645" s="18" t="n">
        <x:v>0</x:v>
      </x:c>
      <x:c r="G645" s="18" t="n">
        <x:v>18.82</x:v>
      </x:c>
      <x:c r="H645" s="18" t="n">
        <x:v>12.89</x:v>
      </x:c>
      <x:c r="I645" s="18" t="n">
        <x:v>31.71</x:v>
      </x:c>
      <x:c r="J645" t="n">
        <x:f>IF(A645=A644,IFERROR(IF(B645=EDATE(B644,1),C644,0),0),0)</x:f>
        <x:v>0</x:v>
      </x:c>
      <x:c r="K645" t="n">
        <x:f>IF(AND(J645=1,C645=0),1,0)</x:f>
        <x:v>0</x:v>
      </x:c>
      <x:c r="L645" t="str">
        <x:f>IFERROR(INDEX(Customers!$C$2:$C$451,MATCH(A645,Customers!$A$2:$A$451,0)),"Unknown")</x:f>
        <x:v>Standard</x:v>
      </x:c>
    </x:row>
    <x:row r="646">
      <x:c r="A646" t="n">
        <x:v>116</x:v>
      </x:c>
      <x:c r="B646" s="16" t="n">
        <x:v>46204</x:v>
      </x:c>
      <x:c r="C646" t="n">
        <x:v>1</x:v>
      </x:c>
      <x:c r="D646" t="n">
        <x:v>25</x:v>
      </x:c>
      <x:c r="E646" s="18" t="n">
        <x:v>1643.03</x:v>
      </x:c>
      <x:c r="F646" s="18" t="n">
        <x:v>0</x:v>
      </x:c>
      <x:c r="G646" s="18" t="n">
        <x:v>7.39</x:v>
      </x:c>
      <x:c r="H646" s="18" t="n">
        <x:v>4.5</x:v>
      </x:c>
      <x:c r="I646" s="18" t="n">
        <x:v>11.89</x:v>
      </x:c>
      <x:c r="J646" t="n">
        <x:f>IF(A646=A645,IFERROR(IF(B646=EDATE(B645,1),C645,0),0),0)</x:f>
        <x:v>1</x:v>
      </x:c>
      <x:c r="K646" t="n">
        <x:f>IF(AND(J646=1,C646=0),1,0)</x:f>
        <x:v>0</x:v>
      </x:c>
      <x:c r="L646" t="str">
        <x:f>IFERROR(INDEX(Customers!$C$2:$C$451,MATCH(A646,Customers!$A$2:$A$451,0)),"Unknown")</x:f>
        <x:v>Standard</x:v>
      </x:c>
    </x:row>
    <x:row r="647">
      <x:c r="A647" t="n">
        <x:v>116</x:v>
      </x:c>
      <x:c r="B647" s="16" t="n">
        <x:v>46235</x:v>
      </x:c>
      <x:c r="C647" t="n">
        <x:v>1</x:v>
      </x:c>
      <x:c r="D647" t="n">
        <x:v>8</x:v>
      </x:c>
      <x:c r="E647" s="18" t="n">
        <x:v>459.9</x:v>
      </x:c>
      <x:c r="F647" s="18" t="n">
        <x:v>0</x:v>
      </x:c>
      <x:c r="G647" s="18" t="n">
        <x:v>2.07</x:v>
      </x:c>
      <x:c r="H647" s="18" t="n">
        <x:v>1.01</x:v>
      </x:c>
      <x:c r="I647" s="18" t="n">
        <x:v>3.08</x:v>
      </x:c>
      <x:c r="J647" t="n">
        <x:f>IF(A647=A646,IFERROR(IF(B647=EDATE(B646,1),C646,0),0),0)</x:f>
        <x:v>1</x:v>
      </x:c>
      <x:c r="K647" t="n">
        <x:f>IF(AND(J647=1,C647=0),1,0)</x:f>
        <x:v>0</x:v>
      </x:c>
      <x:c r="L647" t="str">
        <x:f>IFERROR(INDEX(Customers!$C$2:$C$451,MATCH(A647,Customers!$A$2:$A$451,0)),"Unknown")</x:f>
        <x:v>Standard</x:v>
      </x:c>
    </x:row>
    <x:row r="648">
      <x:c r="A648" t="n">
        <x:v>116</x:v>
      </x:c>
      <x:c r="B648" s="16" t="n">
        <x:v>46266</x:v>
      </x:c>
      <x:c r="C648" t="n">
        <x:v>1</x:v>
      </x:c>
      <x:c r="D648" t="n">
        <x:v>13</x:v>
      </x:c>
      <x:c r="E648" s="18" t="n">
        <x:v>660.3</x:v>
      </x:c>
      <x:c r="F648" s="18" t="n">
        <x:v>0</x:v>
      </x:c>
      <x:c r="G648" s="18" t="n">
        <x:v>2.97</x:v>
      </x:c>
      <x:c r="H648" s="18" t="n">
        <x:v>1.36</x:v>
      </x:c>
      <x:c r="I648" s="18" t="n">
        <x:v>4.33</x:v>
      </x:c>
      <x:c r="J648" t="n">
        <x:f>IF(A648=A647,IFERROR(IF(B648=EDATE(B647,1),C647,0),0),0)</x:f>
        <x:v>1</x:v>
      </x:c>
      <x:c r="K648" t="n">
        <x:f>IF(AND(J648=1,C648=0),1,0)</x:f>
        <x:v>0</x:v>
      </x:c>
      <x:c r="L648" t="str">
        <x:f>IFERROR(INDEX(Customers!$C$2:$C$451,MATCH(A648,Customers!$A$2:$A$451,0)),"Unknown")</x:f>
        <x:v>Standard</x:v>
      </x:c>
    </x:row>
    <x:row r="649">
      <x:c r="A649" t="n">
        <x:v>117</x:v>
      </x:c>
      <x:c r="B649" s="16" t="n">
        <x:v>46113</x:v>
      </x:c>
      <x:c r="C649" t="n">
        <x:v>0</x:v>
      </x:c>
      <x:c r="D649" t="n">
        <x:v>0</x:v>
      </x:c>
      <x:c r="E649" s="18" t="n">
        <x:v>0</x:v>
      </x:c>
      <x:c r="F649" s="18" t="n">
        <x:v>0</x:v>
      </x:c>
      <x:c r="G649" s="18" t="n">
        <x:v>0</x:v>
      </x:c>
      <x:c r="H649" s="18" t="n">
        <x:v>0</x:v>
      </x:c>
      <x:c r="I649" s="18" t="n">
        <x:v>0</x:v>
      </x:c>
      <x:c r="J649" t="n">
        <x:f>IF(A649=A648,IFERROR(IF(B649=EDATE(B648,1),C648,0),0),0)</x:f>
        <x:v>0</x:v>
      </x:c>
      <x:c r="K649" t="n">
        <x:f>IF(AND(J649=1,C649=0),1,0)</x:f>
        <x:v>0</x:v>
      </x:c>
      <x:c r="L649" t="str">
        <x:f>IFERROR(INDEX(Customers!$C$2:$C$451,MATCH(A649,Customers!$A$2:$A$451,0)),"Unknown")</x:f>
        <x:v>Metal</x:v>
      </x:c>
    </x:row>
    <x:row r="650">
      <x:c r="A650" t="n">
        <x:v>117</x:v>
      </x:c>
      <x:c r="B650" s="16" t="n">
        <x:v>46143</x:v>
      </x:c>
      <x:c r="C650" t="n">
        <x:v>1</x:v>
      </x:c>
      <x:c r="D650" t="n">
        <x:v>34</x:v>
      </x:c>
      <x:c r="E650" s="18" t="n">
        <x:v>2803.04</x:v>
      </x:c>
      <x:c r="F650" s="18" t="n">
        <x:v>34</x:v>
      </x:c>
      <x:c r="G650" s="18" t="n">
        <x:v>12.61</x:v>
      </x:c>
      <x:c r="H650" s="18" t="n">
        <x:v>3.04</x:v>
      </x:c>
      <x:c r="I650" s="18" t="n">
        <x:v>49.65</x:v>
      </x:c>
      <x:c r="J650" t="n">
        <x:f>IF(A650=A649,IFERROR(IF(B650=EDATE(B649,1),C649,0),0),0)</x:f>
        <x:v>0</x:v>
      </x:c>
      <x:c r="K650" t="n">
        <x:f>IF(AND(J650=1,C650=0),1,0)</x:f>
        <x:v>0</x:v>
      </x:c>
      <x:c r="L650" t="str">
        <x:f>IFERROR(INDEX(Customers!$C$2:$C$451,MATCH(A650,Customers!$A$2:$A$451,0)),"Unknown")</x:f>
        <x:v>Metal</x:v>
      </x:c>
    </x:row>
    <x:row r="651">
      <x:c r="A651" t="n">
        <x:v>117</x:v>
      </x:c>
      <x:c r="B651" s="16" t="n">
        <x:v>46174</x:v>
      </x:c>
      <x:c r="C651" t="n">
        <x:v>1</x:v>
      </x:c>
      <x:c r="D651" t="n">
        <x:v>34</x:v>
      </x:c>
      <x:c r="E651" s="18" t="n">
        <x:v>4153.88</x:v>
      </x:c>
      <x:c r="F651" s="18" t="n">
        <x:v>34</x:v>
      </x:c>
      <x:c r="G651" s="18" t="n">
        <x:v>18.69</x:v>
      </x:c>
      <x:c r="H651" s="18" t="n">
        <x:v>8.29</x:v>
      </x:c>
      <x:c r="I651" s="18" t="n">
        <x:v>60.98</x:v>
      </x:c>
      <x:c r="J651" t="n">
        <x:f>IF(A651=A650,IFERROR(IF(B651=EDATE(B650,1),C650,0),0),0)</x:f>
        <x:v>1</x:v>
      </x:c>
      <x:c r="K651" t="n">
        <x:f>IF(AND(J651=1,C651=0),1,0)</x:f>
        <x:v>0</x:v>
      </x:c>
      <x:c r="L651" t="str">
        <x:f>IFERROR(INDEX(Customers!$C$2:$C$451,MATCH(A651,Customers!$A$2:$A$451,0)),"Unknown")</x:f>
        <x:v>Metal</x:v>
      </x:c>
    </x:row>
    <x:row r="652">
      <x:c r="A652" t="n">
        <x:v>117</x:v>
      </x:c>
      <x:c r="B652" s="16" t="n">
        <x:v>46204</x:v>
      </x:c>
      <x:c r="C652" t="n">
        <x:v>1</x:v>
      </x:c>
      <x:c r="D652" t="n">
        <x:v>34</x:v>
      </x:c>
      <x:c r="E652" s="18" t="n">
        <x:v>3091.49</x:v>
      </x:c>
      <x:c r="F652" s="18" t="n">
        <x:v>34</x:v>
      </x:c>
      <x:c r="G652" s="18" t="n">
        <x:v>13.91</x:v>
      </x:c>
      <x:c r="H652" s="18" t="n">
        <x:v>3.75</x:v>
      </x:c>
      <x:c r="I652" s="18" t="n">
        <x:v>51.66</x:v>
      </x:c>
      <x:c r="J652" t="n">
        <x:f>IF(A652=A651,IFERROR(IF(B652=EDATE(B651,1),C651,0),0),0)</x:f>
        <x:v>1</x:v>
      </x:c>
      <x:c r="K652" t="n">
        <x:f>IF(AND(J652=1,C652=0),1,0)</x:f>
        <x:v>0</x:v>
      </x:c>
      <x:c r="L652" t="str">
        <x:f>IFERROR(INDEX(Customers!$C$2:$C$451,MATCH(A652,Customers!$A$2:$A$451,0)),"Unknown")</x:f>
        <x:v>Metal</x:v>
      </x:c>
    </x:row>
    <x:row r="653">
      <x:c r="A653" t="n">
        <x:v>117</x:v>
      </x:c>
      <x:c r="B653" s="16" t="n">
        <x:v>46235</x:v>
      </x:c>
      <x:c r="C653" t="n">
        <x:v>1</x:v>
      </x:c>
      <x:c r="D653" t="n">
        <x:v>8</x:v>
      </x:c>
      <x:c r="E653" s="18" t="n">
        <x:v>948.81</x:v>
      </x:c>
      <x:c r="F653" s="18" t="n">
        <x:v>34</x:v>
      </x:c>
      <x:c r="G653" s="18" t="n">
        <x:v>4.27</x:v>
      </x:c>
      <x:c r="H653" s="18" t="n">
        <x:v>3.5</x:v>
      </x:c>
      <x:c r="I653" s="18" t="n">
        <x:v>41.77</x:v>
      </x:c>
      <x:c r="J653" t="n">
        <x:f>IF(A653=A652,IFERROR(IF(B653=EDATE(B652,1),C652,0),0),0)</x:f>
        <x:v>1</x:v>
      </x:c>
      <x:c r="K653" t="n">
        <x:f>IF(AND(J653=1,C653=0),1,0)</x:f>
        <x:v>0</x:v>
      </x:c>
      <x:c r="L653" t="str">
        <x:f>IFERROR(INDEX(Customers!$C$2:$C$451,MATCH(A653,Customers!$A$2:$A$451,0)),"Unknown")</x:f>
        <x:v>Metal</x:v>
      </x:c>
    </x:row>
    <x:row r="654">
      <x:c r="A654" t="n">
        <x:v>117</x:v>
      </x:c>
      <x:c r="B654" s="16" t="n">
        <x:v>46266</x:v>
      </x:c>
      <x:c r="C654" t="n">
        <x:v>1</x:v>
      </x:c>
      <x:c r="D654" t="n">
        <x:v>14</x:v>
      </x:c>
      <x:c r="E654" s="18" t="n">
        <x:v>1189.71</x:v>
      </x:c>
      <x:c r="F654" s="18" t="n">
        <x:v>34</x:v>
      </x:c>
      <x:c r="G654" s="18" t="n">
        <x:v>5.35</x:v>
      </x:c>
      <x:c r="H654" s="18" t="n">
        <x:v>1.54</x:v>
      </x:c>
      <x:c r="I654" s="18" t="n">
        <x:v>40.89</x:v>
      </x:c>
      <x:c r="J654" t="n">
        <x:f>IF(A654=A653,IFERROR(IF(B654=EDATE(B653,1),C653,0),0),0)</x:f>
        <x:v>1</x:v>
      </x:c>
      <x:c r="K654" t="n">
        <x:f>IF(AND(J654=1,C654=0),1,0)</x:f>
        <x:v>0</x:v>
      </x:c>
      <x:c r="L654" t="str">
        <x:f>IFERROR(INDEX(Customers!$C$2:$C$451,MATCH(A654,Customers!$A$2:$A$451,0)),"Unknown")</x:f>
        <x:v>Metal</x:v>
      </x:c>
    </x:row>
    <x:row r="655">
      <x:c r="A655" t="n">
        <x:v>118</x:v>
      </x:c>
      <x:c r="B655" s="16" t="n">
        <x:v>46113</x:v>
      </x:c>
      <x:c r="C655" t="n">
        <x:v>1</x:v>
      </x:c>
      <x:c r="D655" t="n">
        <x:v>17</x:v>
      </x:c>
      <x:c r="E655" s="18" t="n">
        <x:v>602.34</x:v>
      </x:c>
      <x:c r="F655" s="18" t="n">
        <x:v>8</x:v>
      </x:c>
      <x:c r="G655" s="18" t="n">
        <x:v>2.71</x:v>
      </x:c>
      <x:c r="H655" s="18" t="n">
        <x:v>0.91</x:v>
      </x:c>
      <x:c r="I655" s="18" t="n">
        <x:v>11.62</x:v>
      </x:c>
      <x:c r="J655" t="n">
        <x:f>IF(A655=A654,IFERROR(IF(B655=EDATE(B654,1),C654,0),0),0)</x:f>
        <x:v>0</x:v>
      </x:c>
      <x:c r="K655" t="n">
        <x:f>IF(AND(J655=1,C655=0),1,0)</x:f>
        <x:v>0</x:v>
      </x:c>
      <x:c r="L655" t="str">
        <x:f>IFERROR(INDEX(Customers!$C$2:$C$451,MATCH(A655,Customers!$A$2:$A$451,0)),"Unknown")</x:f>
        <x:v>Plus</x:v>
      </x:c>
    </x:row>
    <x:row r="656">
      <x:c r="A656" t="n">
        <x:v>118</x:v>
      </x:c>
      <x:c r="B656" s="16" t="n">
        <x:v>46143</x:v>
      </x:c>
      <x:c r="C656" t="n">
        <x:v>1</x:v>
      </x:c>
      <x:c r="D656" t="n">
        <x:v>33</x:v>
      </x:c>
      <x:c r="E656" s="18" t="n">
        <x:v>2365.78</x:v>
      </x:c>
      <x:c r="F656" s="18" t="n">
        <x:v>8</x:v>
      </x:c>
      <x:c r="G656" s="18" t="n">
        <x:v>10.65</x:v>
      </x:c>
      <x:c r="H656" s="18" t="n">
        <x:v>3.02</x:v>
      </x:c>
      <x:c r="I656" s="18" t="n">
        <x:v>21.67</x:v>
      </x:c>
      <x:c r="J656" t="n">
        <x:f>IF(A656=A655,IFERROR(IF(B656=EDATE(B655,1),C655,0),0),0)</x:f>
        <x:v>1</x:v>
      </x:c>
      <x:c r="K656" t="n">
        <x:f>IF(AND(J656=1,C656=0),1,0)</x:f>
        <x:v>0</x:v>
      </x:c>
      <x:c r="L656" t="str">
        <x:f>IFERROR(INDEX(Customers!$C$2:$C$451,MATCH(A656,Customers!$A$2:$A$451,0)),"Unknown")</x:f>
        <x:v>Plus</x:v>
      </x:c>
    </x:row>
    <x:row r="657">
      <x:c r="A657" t="n">
        <x:v>118</x:v>
      </x:c>
      <x:c r="B657" s="16" t="n">
        <x:v>46174</x:v>
      </x:c>
      <x:c r="C657" t="n">
        <x:v>1</x:v>
      </x:c>
      <x:c r="D657" t="n">
        <x:v>8</x:v>
      </x:c>
      <x:c r="E657" s="18" t="n">
        <x:v>701.32</x:v>
      </x:c>
      <x:c r="F657" s="18" t="n">
        <x:v>8</x:v>
      </x:c>
      <x:c r="G657" s="18" t="n">
        <x:v>3.16</x:v>
      </x:c>
      <x:c r="H657" s="18" t="n">
        <x:v>2.34</x:v>
      </x:c>
      <x:c r="I657" s="18" t="n">
        <x:v>13.5</x:v>
      </x:c>
      <x:c r="J657" t="n">
        <x:f>IF(A657=A656,IFERROR(IF(B657=EDATE(B656,1),C656,0),0),0)</x:f>
        <x:v>1</x:v>
      </x:c>
      <x:c r="K657" t="n">
        <x:f>IF(AND(J657=1,C657=0),1,0)</x:f>
        <x:v>0</x:v>
      </x:c>
      <x:c r="L657" t="str">
        <x:f>IFERROR(INDEX(Customers!$C$2:$C$451,MATCH(A657,Customers!$A$2:$A$451,0)),"Unknown")</x:f>
        <x:v>Plus</x:v>
      </x:c>
    </x:row>
    <x:row r="658">
      <x:c r="A658" t="n">
        <x:v>118</x:v>
      </x:c>
      <x:c r="B658" s="16" t="n">
        <x:v>46204</x:v>
      </x:c>
      <x:c r="C658" t="n">
        <x:v>1</x:v>
      </x:c>
      <x:c r="D658" t="n">
        <x:v>9</x:v>
      </x:c>
      <x:c r="E658" s="18" t="n">
        <x:v>659.47</x:v>
      </x:c>
      <x:c r="F658" s="18" t="n">
        <x:v>8</x:v>
      </x:c>
      <x:c r="G658" s="18" t="n">
        <x:v>2.97</x:v>
      </x:c>
      <x:c r="H658" s="18" t="n">
        <x:v>1.79</x:v>
      </x:c>
      <x:c r="I658" s="18" t="n">
        <x:v>12.76</x:v>
      </x:c>
      <x:c r="J658" t="n">
        <x:f>IF(A658=A657,IFERROR(IF(B658=EDATE(B657,1),C657,0),0),0)</x:f>
        <x:v>1</x:v>
      </x:c>
      <x:c r="K658" t="n">
        <x:f>IF(AND(J658=1,C658=0),1,0)</x:f>
        <x:v>0</x:v>
      </x:c>
      <x:c r="L658" t="str">
        <x:f>IFERROR(INDEX(Customers!$C$2:$C$451,MATCH(A658,Customers!$A$2:$A$451,0)),"Unknown")</x:f>
        <x:v>Plus</x:v>
      </x:c>
    </x:row>
    <x:row r="659">
      <x:c r="A659" t="n">
        <x:v>118</x:v>
      </x:c>
      <x:c r="B659" s="16" t="n">
        <x:v>46235</x:v>
      </x:c>
      <x:c r="C659" t="n">
        <x:v>1</x:v>
      </x:c>
      <x:c r="D659" t="n">
        <x:v>35</x:v>
      </x:c>
      <x:c r="E659" s="18" t="n">
        <x:v>3419.51</x:v>
      </x:c>
      <x:c r="F659" s="18" t="n">
        <x:v>8</x:v>
      </x:c>
      <x:c r="G659" s="18" t="n">
        <x:v>15.39</x:v>
      </x:c>
      <x:c r="H659" s="18" t="n">
        <x:v>8.11</x:v>
      </x:c>
      <x:c r="I659" s="18" t="n">
        <x:v>31.5</x:v>
      </x:c>
      <x:c r="J659" t="n">
        <x:f>IF(A659=A658,IFERROR(IF(B659=EDATE(B658,1),C658,0),0),0)</x:f>
        <x:v>1</x:v>
      </x:c>
      <x:c r="K659" t="n">
        <x:f>IF(AND(J659=1,C659=0),1,0)</x:f>
        <x:v>0</x:v>
      </x:c>
      <x:c r="L659" t="str">
        <x:f>IFERROR(INDEX(Customers!$C$2:$C$451,MATCH(A659,Customers!$A$2:$A$451,0)),"Unknown")</x:f>
        <x:v>Plus</x:v>
      </x:c>
    </x:row>
    <x:row r="660">
      <x:c r="A660" t="n">
        <x:v>118</x:v>
      </x:c>
      <x:c r="B660" s="16" t="n">
        <x:v>46266</x:v>
      </x:c>
      <x:c r="C660" t="n">
        <x:v>1</x:v>
      </x:c>
      <x:c r="D660" t="n">
        <x:v>35</x:v>
      </x:c>
      <x:c r="E660" s="18" t="n">
        <x:v>2864.54</x:v>
      </x:c>
      <x:c r="F660" s="18" t="n">
        <x:v>8</x:v>
      </x:c>
      <x:c r="G660" s="18" t="n">
        <x:v>12.89</x:v>
      </x:c>
      <x:c r="H660" s="18" t="n">
        <x:v>10.28</x:v>
      </x:c>
      <x:c r="I660" s="18" t="n">
        <x:v>31.17</x:v>
      </x:c>
      <x:c r="J660" t="n">
        <x:f>IF(A660=A659,IFERROR(IF(B660=EDATE(B659,1),C659,0),0),0)</x:f>
        <x:v>1</x:v>
      </x:c>
      <x:c r="K660" t="n">
        <x:f>IF(AND(J660=1,C660=0),1,0)</x:f>
        <x:v>0</x:v>
      </x:c>
      <x:c r="L660" t="str">
        <x:f>IFERROR(INDEX(Customers!$C$2:$C$451,MATCH(A660,Customers!$A$2:$A$451,0)),"Unknown")</x:f>
        <x:v>Plus</x:v>
      </x:c>
    </x:row>
    <x:row r="661">
      <x:c r="A661" t="n">
        <x:v>119</x:v>
      </x:c>
      <x:c r="B661" s="16" t="n">
        <x:v>46174</x:v>
      </x:c>
      <x:c r="C661" t="n">
        <x:v>1</x:v>
      </x:c>
      <x:c r="D661" t="n">
        <x:v>34</x:v>
      </x:c>
      <x:c r="E661" s="18" t="n">
        <x:v>1401.68</x:v>
      </x:c>
      <x:c r="F661" s="18" t="n">
        <x:v>0</x:v>
      </x:c>
      <x:c r="G661" s="18" t="n">
        <x:v>6.31</x:v>
      </x:c>
      <x:c r="H661" s="18" t="n">
        <x:v>4.01</x:v>
      </x:c>
      <x:c r="I661" s="18" t="n">
        <x:v>10.32</x:v>
      </x:c>
      <x:c r="J661" t="n">
        <x:f>IF(A661=A660,IFERROR(IF(B661=EDATE(B660,1),C660,0),0),0)</x:f>
        <x:v>0</x:v>
      </x:c>
      <x:c r="K661" t="n">
        <x:f>IF(AND(J661=1,C661=0),1,0)</x:f>
        <x:v>0</x:v>
      </x:c>
      <x:c r="L661" t="str">
        <x:f>IFERROR(INDEX(Customers!$C$2:$C$451,MATCH(A661,Customers!$A$2:$A$451,0)),"Unknown")</x:f>
        <x:v>Standard</x:v>
      </x:c>
    </x:row>
    <x:row r="662">
      <x:c r="A662" t="n">
        <x:v>119</x:v>
      </x:c>
      <x:c r="B662" s="16" t="n">
        <x:v>46204</x:v>
      </x:c>
      <x:c r="C662" t="n">
        <x:v>1</x:v>
      </x:c>
      <x:c r="D662" t="n">
        <x:v>16</x:v>
      </x:c>
      <x:c r="E662" s="18" t="n">
        <x:v>1506.21</x:v>
      </x:c>
      <x:c r="F662" s="18" t="n">
        <x:v>0</x:v>
      </x:c>
      <x:c r="G662" s="18" t="n">
        <x:v>6.78</x:v>
      </x:c>
      <x:c r="H662" s="18" t="n">
        <x:v>1.96</x:v>
      </x:c>
      <x:c r="I662" s="18" t="n">
        <x:v>8.74</x:v>
      </x:c>
      <x:c r="J662" t="n">
        <x:f>IF(A662=A661,IFERROR(IF(B662=EDATE(B661,1),C661,0),0),0)</x:f>
        <x:v>1</x:v>
      </x:c>
      <x:c r="K662" t="n">
        <x:f>IF(AND(J662=1,C662=0),1,0)</x:f>
        <x:v>0</x:v>
      </x:c>
      <x:c r="L662" t="str">
        <x:f>IFERROR(INDEX(Customers!$C$2:$C$451,MATCH(A662,Customers!$A$2:$A$451,0)),"Unknown")</x:f>
        <x:v>Standard</x:v>
      </x:c>
    </x:row>
    <x:row r="663">
      <x:c r="A663" t="n">
        <x:v>119</x:v>
      </x:c>
      <x:c r="B663" s="16" t="n">
        <x:v>46235</x:v>
      </x:c>
      <x:c r="C663" t="n">
        <x:v>1</x:v>
      </x:c>
      <x:c r="D663" t="n">
        <x:v>7</x:v>
      </x:c>
      <x:c r="E663" s="18" t="n">
        <x:v>641.06</x:v>
      </x:c>
      <x:c r="F663" s="18" t="n">
        <x:v>0</x:v>
      </x:c>
      <x:c r="G663" s="18" t="n">
        <x:v>2.88</x:v>
      </x:c>
      <x:c r="H663" s="18" t="n">
        <x:v>1.13</x:v>
      </x:c>
      <x:c r="I663" s="18" t="n">
        <x:v>4.01</x:v>
      </x:c>
      <x:c r="J663" t="n">
        <x:f>IF(A663=A662,IFERROR(IF(B663=EDATE(B662,1),C662,0),0),0)</x:f>
        <x:v>1</x:v>
      </x:c>
      <x:c r="K663" t="n">
        <x:f>IF(AND(J663=1,C663=0),1,0)</x:f>
        <x:v>0</x:v>
      </x:c>
      <x:c r="L663" t="str">
        <x:f>IFERROR(INDEX(Customers!$C$2:$C$451,MATCH(A663,Customers!$A$2:$A$451,0)),"Unknown")</x:f>
        <x:v>Standard</x:v>
      </x:c>
    </x:row>
    <x:row r="664">
      <x:c r="A664" t="n">
        <x:v>119</x:v>
      </x:c>
      <x:c r="B664" s="16" t="n">
        <x:v>46266</x:v>
      </x:c>
      <x:c r="C664" t="n">
        <x:v>1</x:v>
      </x:c>
      <x:c r="D664" t="n">
        <x:v>15</x:v>
      </x:c>
      <x:c r="E664" s="18" t="n">
        <x:v>551.64</x:v>
      </x:c>
      <x:c r="F664" s="18" t="n">
        <x:v>0</x:v>
      </x:c>
      <x:c r="G664" s="18" t="n">
        <x:v>2.48</x:v>
      </x:c>
      <x:c r="H664" s="18" t="n">
        <x:v>1.45</x:v>
      </x:c>
      <x:c r="I664" s="18" t="n">
        <x:v>3.93</x:v>
      </x:c>
      <x:c r="J664" t="n">
        <x:f>IF(A664=A663,IFERROR(IF(B664=EDATE(B663,1),C663,0),0),0)</x:f>
        <x:v>1</x:v>
      </x:c>
      <x:c r="K664" t="n">
        <x:f>IF(AND(J664=1,C664=0),1,0)</x:f>
        <x:v>0</x:v>
      </x:c>
      <x:c r="L664" t="str">
        <x:f>IFERROR(INDEX(Customers!$C$2:$C$451,MATCH(A664,Customers!$A$2:$A$451,0)),"Unknown")</x:f>
        <x:v>Standard</x:v>
      </x:c>
    </x:row>
    <x:row r="665">
      <x:c r="A665" t="n">
        <x:v>120</x:v>
      </x:c>
      <x:c r="B665" s="16" t="n">
        <x:v>46113</x:v>
      </x:c>
      <x:c r="C665" t="n">
        <x:v>1</x:v>
      </x:c>
      <x:c r="D665" t="n">
        <x:v>18</x:v>
      </x:c>
      <x:c r="E665" s="18" t="n">
        <x:v>2312.99</x:v>
      </x:c>
      <x:c r="F665" s="18" t="n">
        <x:v>8</x:v>
      </x:c>
      <x:c r="G665" s="18" t="n">
        <x:v>10.41</x:v>
      </x:c>
      <x:c r="H665" s="18" t="n">
        <x:v>3.21</x:v>
      </x:c>
      <x:c r="I665" s="18" t="n">
        <x:v>21.62</x:v>
      </x:c>
      <x:c r="J665" t="n">
        <x:f>IF(A665=A664,IFERROR(IF(B665=EDATE(B664,1),C664,0),0),0)</x:f>
        <x:v>0</x:v>
      </x:c>
      <x:c r="K665" t="n">
        <x:f>IF(AND(J665=1,C665=0),1,0)</x:f>
        <x:v>0</x:v>
      </x:c>
      <x:c r="L665" t="str">
        <x:f>IFERROR(INDEX(Customers!$C$2:$C$451,MATCH(A665,Customers!$A$2:$A$451,0)),"Unknown")</x:f>
        <x:v>Plus</x:v>
      </x:c>
    </x:row>
    <x:row r="666">
      <x:c r="A666" t="n">
        <x:v>120</x:v>
      </x:c>
      <x:c r="B666" s="16" t="n">
        <x:v>46143</x:v>
      </x:c>
      <x:c r="C666" t="n">
        <x:v>0</x:v>
      </x:c>
      <x:c r="D666" t="n">
        <x:v>0</x:v>
      </x:c>
      <x:c r="E666" s="18" t="n">
        <x:v>0</x:v>
      </x:c>
      <x:c r="F666" s="18" t="n">
        <x:v>0</x:v>
      </x:c>
      <x:c r="G666" s="18" t="n">
        <x:v>0</x:v>
      </x:c>
      <x:c r="H666" s="18" t="n">
        <x:v>0</x:v>
      </x:c>
      <x:c r="I666" s="18" t="n">
        <x:v>0</x:v>
      </x:c>
      <x:c r="J666" t="n">
        <x:f>IF(A666=A665,IFERROR(IF(B666=EDATE(B665,1),C665,0),0),0)</x:f>
        <x:v>1</x:v>
      </x:c>
      <x:c r="K666" t="n">
        <x:f>IF(AND(J666=1,C666=0),1,0)</x:f>
        <x:v>1</x:v>
      </x:c>
      <x:c r="L666" t="str">
        <x:f>IFERROR(INDEX(Customers!$C$2:$C$451,MATCH(A666,Customers!$A$2:$A$451,0)),"Unknown")</x:f>
        <x:v>Plus</x:v>
      </x:c>
    </x:row>
    <x:row r="667">
      <x:c r="A667" t="n">
        <x:v>120</x:v>
      </x:c>
      <x:c r="B667" s="16" t="n">
        <x:v>46174</x:v>
      </x:c>
      <x:c r="C667" t="n">
        <x:v>1</x:v>
      </x:c>
      <x:c r="D667" t="n">
        <x:v>11</x:v>
      </x:c>
      <x:c r="E667" s="18" t="n">
        <x:v>817.71</x:v>
      </x:c>
      <x:c r="F667" s="18" t="n">
        <x:v>8</x:v>
      </x:c>
      <x:c r="G667" s="18" t="n">
        <x:v>3.68</x:v>
      </x:c>
      <x:c r="H667" s="18" t="n">
        <x:v>1.33</x:v>
      </x:c>
      <x:c r="I667" s="18" t="n">
        <x:v>13.01</x:v>
      </x:c>
      <x:c r="J667" t="n">
        <x:f>IF(A667=A666,IFERROR(IF(B667=EDATE(B666,1),C666,0),0),0)</x:f>
        <x:v>0</x:v>
      </x:c>
      <x:c r="K667" t="n">
        <x:f>IF(AND(J667=1,C667=0),1,0)</x:f>
        <x:v>0</x:v>
      </x:c>
      <x:c r="L667" t="str">
        <x:f>IFERROR(INDEX(Customers!$C$2:$C$451,MATCH(A667,Customers!$A$2:$A$451,0)),"Unknown")</x:f>
        <x:v>Plus</x:v>
      </x:c>
    </x:row>
    <x:row r="668">
      <x:c r="A668" t="n">
        <x:v>120</x:v>
      </x:c>
      <x:c r="B668" s="16" t="n">
        <x:v>46204</x:v>
      </x:c>
      <x:c r="C668" t="n">
        <x:v>1</x:v>
      </x:c>
      <x:c r="D668" t="n">
        <x:v>26</x:v>
      </x:c>
      <x:c r="E668" s="18" t="n">
        <x:v>941.79</x:v>
      </x:c>
      <x:c r="F668" s="18" t="n">
        <x:v>8</x:v>
      </x:c>
      <x:c r="G668" s="18" t="n">
        <x:v>4.24</x:v>
      </x:c>
      <x:c r="H668" s="18" t="n">
        <x:v>3.5</x:v>
      </x:c>
      <x:c r="I668" s="18" t="n">
        <x:v>15.74</x:v>
      </x:c>
      <x:c r="J668" t="n">
        <x:f>IF(A668=A667,IFERROR(IF(B668=EDATE(B667,1),C667,0),0),0)</x:f>
        <x:v>1</x:v>
      </x:c>
      <x:c r="K668" t="n">
        <x:f>IF(AND(J668=1,C668=0),1,0)</x:f>
        <x:v>0</x:v>
      </x:c>
      <x:c r="L668" t="str">
        <x:f>IFERROR(INDEX(Customers!$C$2:$C$451,MATCH(A668,Customers!$A$2:$A$451,0)),"Unknown")</x:f>
        <x:v>Plus</x:v>
      </x:c>
    </x:row>
    <x:row r="669">
      <x:c r="A669" t="n">
        <x:v>120</x:v>
      </x:c>
      <x:c r="B669" s="16" t="n">
        <x:v>46235</x:v>
      </x:c>
      <x:c r="C669" t="n">
        <x:v>1</x:v>
      </x:c>
      <x:c r="D669" t="n">
        <x:v>17</x:v>
      </x:c>
      <x:c r="E669" s="18" t="n">
        <x:v>2309.73</x:v>
      </x:c>
      <x:c r="F669" s="18" t="n">
        <x:v>8</x:v>
      </x:c>
      <x:c r="G669" s="18" t="n">
        <x:v>10.39</x:v>
      </x:c>
      <x:c r="H669" s="18" t="n">
        <x:v>4.76</x:v>
      </x:c>
      <x:c r="I669" s="18" t="n">
        <x:v>23.15</x:v>
      </x:c>
      <x:c r="J669" t="n">
        <x:f>IF(A669=A668,IFERROR(IF(B669=EDATE(B668,1),C668,0),0),0)</x:f>
        <x:v>1</x:v>
      </x:c>
      <x:c r="K669" t="n">
        <x:f>IF(AND(J669=1,C669=0),1,0)</x:f>
        <x:v>0</x:v>
      </x:c>
      <x:c r="L669" t="str">
        <x:f>IFERROR(INDEX(Customers!$C$2:$C$451,MATCH(A669,Customers!$A$2:$A$451,0)),"Unknown")</x:f>
        <x:v>Plus</x:v>
      </x:c>
    </x:row>
    <x:row r="670">
      <x:c r="A670" t="n">
        <x:v>120</x:v>
      </x:c>
      <x:c r="B670" s="16" t="n">
        <x:v>46266</x:v>
      </x:c>
      <x:c r="C670" t="n">
        <x:v>0</x:v>
      </x:c>
      <x:c r="D670" t="n">
        <x:v>0</x:v>
      </x:c>
      <x:c r="E670" s="18" t="n">
        <x:v>0</x:v>
      </x:c>
      <x:c r="F670" s="18" t="n">
        <x:v>0</x:v>
      </x:c>
      <x:c r="G670" s="18" t="n">
        <x:v>0</x:v>
      </x:c>
      <x:c r="H670" s="18" t="n">
        <x:v>0</x:v>
      </x:c>
      <x:c r="I670" s="18" t="n">
        <x:v>0</x:v>
      </x:c>
      <x:c r="J670" t="n">
        <x:f>IF(A670=A669,IFERROR(IF(B670=EDATE(B669,1),C669,0),0),0)</x:f>
        <x:v>1</x:v>
      </x:c>
      <x:c r="K670" t="n">
        <x:f>IF(AND(J670=1,C670=0),1,0)</x:f>
        <x:v>1</x:v>
      </x:c>
      <x:c r="L670" t="str">
        <x:f>IFERROR(INDEX(Customers!$C$2:$C$451,MATCH(A670,Customers!$A$2:$A$451,0)),"Unknown")</x:f>
        <x:v>Plus</x:v>
      </x:c>
    </x:row>
    <x:row r="671">
      <x:c r="A671" t="n">
        <x:v>121</x:v>
      </x:c>
      <x:c r="B671" s="16" t="n">
        <x:v>46143</x:v>
      </x:c>
      <x:c r="C671" t="n">
        <x:v>0</x:v>
      </x:c>
      <x:c r="D671" t="n">
        <x:v>0</x:v>
      </x:c>
      <x:c r="E671" s="18" t="n">
        <x:v>0</x:v>
      </x:c>
      <x:c r="F671" s="18" t="n">
        <x:v>0</x:v>
      </x:c>
      <x:c r="G671" s="18" t="n">
        <x:v>0</x:v>
      </x:c>
      <x:c r="H671" s="18" t="n">
        <x:v>0</x:v>
      </x:c>
      <x:c r="I671" s="18" t="n">
        <x:v>0</x:v>
      </x:c>
      <x:c r="J671" t="n">
        <x:f>IF(A671=A670,IFERROR(IF(B671=EDATE(B670,1),C670,0),0),0)</x:f>
        <x:v>0</x:v>
      </x:c>
      <x:c r="K671" t="n">
        <x:f>IF(AND(J671=1,C671=0),1,0)</x:f>
        <x:v>0</x:v>
      </x:c>
      <x:c r="L671" t="str">
        <x:f>IFERROR(INDEX(Customers!$C$2:$C$451,MATCH(A671,Customers!$A$2:$A$451,0)),"Unknown")</x:f>
        <x:v>Plus</x:v>
      </x:c>
    </x:row>
    <x:row r="672">
      <x:c r="A672" t="n">
        <x:v>121</x:v>
      </x:c>
      <x:c r="B672" s="16" t="n">
        <x:v>46174</x:v>
      </x:c>
      <x:c r="C672" t="n">
        <x:v>1</x:v>
      </x:c>
      <x:c r="D672" t="n">
        <x:v>5</x:v>
      </x:c>
      <x:c r="E672" s="18" t="n">
        <x:v>278.53</x:v>
      </x:c>
      <x:c r="F672" s="18" t="n">
        <x:v>8</x:v>
      </x:c>
      <x:c r="G672" s="18" t="n">
        <x:v>1.25</x:v>
      </x:c>
      <x:c r="H672" s="18" t="n">
        <x:v>0.8</x:v>
      </x:c>
      <x:c r="I672" s="18" t="n">
        <x:v>10.05</x:v>
      </x:c>
      <x:c r="J672" t="n">
        <x:f>IF(A672=A671,IFERROR(IF(B672=EDATE(B671,1),C671,0),0),0)</x:f>
        <x:v>0</x:v>
      </x:c>
      <x:c r="K672" t="n">
        <x:f>IF(AND(J672=1,C672=0),1,0)</x:f>
        <x:v>0</x:v>
      </x:c>
      <x:c r="L672" t="str">
        <x:f>IFERROR(INDEX(Customers!$C$2:$C$451,MATCH(A672,Customers!$A$2:$A$451,0)),"Unknown")</x:f>
        <x:v>Plus</x:v>
      </x:c>
    </x:row>
    <x:row r="673">
      <x:c r="A673" t="n">
        <x:v>121</x:v>
      </x:c>
      <x:c r="B673" s="16" t="n">
        <x:v>46204</x:v>
      </x:c>
      <x:c r="C673" t="n">
        <x:v>1</x:v>
      </x:c>
      <x:c r="D673" t="n">
        <x:v>34</x:v>
      </x:c>
      <x:c r="E673" s="18" t="n">
        <x:v>1227.85</x:v>
      </x:c>
      <x:c r="F673" s="18" t="n">
        <x:v>8</x:v>
      </x:c>
      <x:c r="G673" s="18" t="n">
        <x:v>5.53</x:v>
      </x:c>
      <x:c r="H673" s="18" t="n">
        <x:v>4.06</x:v>
      </x:c>
      <x:c r="I673" s="18" t="n">
        <x:v>17.59</x:v>
      </x:c>
      <x:c r="J673" t="n">
        <x:f>IF(A673=A672,IFERROR(IF(B673=EDATE(B672,1),C672,0),0),0)</x:f>
        <x:v>1</x:v>
      </x:c>
      <x:c r="K673" t="n">
        <x:f>IF(AND(J673=1,C673=0),1,0)</x:f>
        <x:v>0</x:v>
      </x:c>
      <x:c r="L673" t="str">
        <x:f>IFERROR(INDEX(Customers!$C$2:$C$451,MATCH(A673,Customers!$A$2:$A$451,0)),"Unknown")</x:f>
        <x:v>Plus</x:v>
      </x:c>
    </x:row>
    <x:row r="674">
      <x:c r="A674" t="n">
        <x:v>121</x:v>
      </x:c>
      <x:c r="B674" s="16" t="n">
        <x:v>46235</x:v>
      </x:c>
      <x:c r="C674" t="n">
        <x:v>1</x:v>
      </x:c>
      <x:c r="D674" t="n">
        <x:v>17</x:v>
      </x:c>
      <x:c r="E674" s="18" t="n">
        <x:v>1846.81</x:v>
      </x:c>
      <x:c r="F674" s="18" t="n">
        <x:v>8</x:v>
      </x:c>
      <x:c r="G674" s="18" t="n">
        <x:v>8.31</x:v>
      </x:c>
      <x:c r="H674" s="18" t="n">
        <x:v>2.68</x:v>
      </x:c>
      <x:c r="I674" s="18" t="n">
        <x:v>18.99</x:v>
      </x:c>
      <x:c r="J674" t="n">
        <x:f>IF(A674=A673,IFERROR(IF(B674=EDATE(B673,1),C673,0),0),0)</x:f>
        <x:v>1</x:v>
      </x:c>
      <x:c r="K674" t="n">
        <x:f>IF(AND(J674=1,C674=0),1,0)</x:f>
        <x:v>0</x:v>
      </x:c>
      <x:c r="L674" t="str">
        <x:f>IFERROR(INDEX(Customers!$C$2:$C$451,MATCH(A674,Customers!$A$2:$A$451,0)),"Unknown")</x:f>
        <x:v>Plus</x:v>
      </x:c>
    </x:row>
    <x:row r="675">
      <x:c r="A675" t="n">
        <x:v>121</x:v>
      </x:c>
      <x:c r="B675" s="16" t="n">
        <x:v>46266</x:v>
      </x:c>
      <x:c r="C675" t="n">
        <x:v>1</x:v>
      </x:c>
      <x:c r="D675" t="n">
        <x:v>13</x:v>
      </x:c>
      <x:c r="E675" s="18" t="n">
        <x:v>802.52</x:v>
      </x:c>
      <x:c r="F675" s="18" t="n">
        <x:v>8</x:v>
      </x:c>
      <x:c r="G675" s="18" t="n">
        <x:v>3.61</x:v>
      </x:c>
      <x:c r="H675" s="18" t="n">
        <x:v>2.91</x:v>
      </x:c>
      <x:c r="I675" s="18" t="n">
        <x:v>14.52</x:v>
      </x:c>
      <x:c r="J675" t="n">
        <x:f>IF(A675=A674,IFERROR(IF(B675=EDATE(B674,1),C674,0),0),0)</x:f>
        <x:v>1</x:v>
      </x:c>
      <x:c r="K675" t="n">
        <x:f>IF(AND(J675=1,C675=0),1,0)</x:f>
        <x:v>0</x:v>
      </x:c>
      <x:c r="L675" t="str">
        <x:f>IFERROR(INDEX(Customers!$C$2:$C$451,MATCH(A675,Customers!$A$2:$A$451,0)),"Unknown")</x:f>
        <x:v>Plus</x:v>
      </x:c>
    </x:row>
    <x:row r="676">
      <x:c r="A676" t="n">
        <x:v>122</x:v>
      </x:c>
      <x:c r="B676" s="16" t="n">
        <x:v>46113</x:v>
      </x:c>
      <x:c r="C676" t="n">
        <x:v>1</x:v>
      </x:c>
      <x:c r="D676" t="n">
        <x:v>14</x:v>
      </x:c>
      <x:c r="E676" s="18" t="n">
        <x:v>802.14</x:v>
      </x:c>
      <x:c r="F676" s="18" t="n">
        <x:v>17</x:v>
      </x:c>
      <x:c r="G676" s="18" t="n">
        <x:v>3.61</x:v>
      </x:c>
      <x:c r="H676" s="18" t="n">
        <x:v>1.63</x:v>
      </x:c>
      <x:c r="I676" s="18" t="n">
        <x:v>22.24</x:v>
      </x:c>
      <x:c r="J676" t="n">
        <x:f>IF(A676=A675,IFERROR(IF(B676=EDATE(B675,1),C675,0),0),0)</x:f>
        <x:v>0</x:v>
      </x:c>
      <x:c r="K676" t="n">
        <x:f>IF(AND(J676=1,C676=0),1,0)</x:f>
        <x:v>0</x:v>
      </x:c>
      <x:c r="L676" t="str">
        <x:f>IFERROR(INDEX(Customers!$C$2:$C$451,MATCH(A676,Customers!$A$2:$A$451,0)),"Unknown")</x:f>
        <x:v>Premium</x:v>
      </x:c>
    </x:row>
    <x:row r="677">
      <x:c r="A677" t="n">
        <x:v>122</x:v>
      </x:c>
      <x:c r="B677" s="16" t="n">
        <x:v>46143</x:v>
      </x:c>
      <x:c r="C677" t="n">
        <x:v>1</x:v>
      </x:c>
      <x:c r="D677" t="n">
        <x:v>32</x:v>
      </x:c>
      <x:c r="E677" s="18" t="n">
        <x:v>1930.75</x:v>
      </x:c>
      <x:c r="F677" s="18" t="n">
        <x:v>17</x:v>
      </x:c>
      <x:c r="G677" s="18" t="n">
        <x:v>8.69</x:v>
      </x:c>
      <x:c r="H677" s="18" t="n">
        <x:v>1.7</x:v>
      </x:c>
      <x:c r="I677" s="18" t="n">
        <x:v>27.39</x:v>
      </x:c>
      <x:c r="J677" t="n">
        <x:f>IF(A677=A676,IFERROR(IF(B677=EDATE(B676,1),C676,0),0),0)</x:f>
        <x:v>1</x:v>
      </x:c>
      <x:c r="K677" t="n">
        <x:f>IF(AND(J677=1,C677=0),1,0)</x:f>
        <x:v>0</x:v>
      </x:c>
      <x:c r="L677" t="str">
        <x:f>IFERROR(INDEX(Customers!$C$2:$C$451,MATCH(A677,Customers!$A$2:$A$451,0)),"Unknown")</x:f>
        <x:v>Premium</x:v>
      </x:c>
    </x:row>
    <x:row r="678">
      <x:c r="A678" t="n">
        <x:v>122</x:v>
      </x:c>
      <x:c r="B678" s="16" t="n">
        <x:v>46174</x:v>
      </x:c>
      <x:c r="C678" t="n">
        <x:v>1</x:v>
      </x:c>
      <x:c r="D678" t="n">
        <x:v>26</x:v>
      </x:c>
      <x:c r="E678" s="18" t="n">
        <x:v>2294.43</x:v>
      </x:c>
      <x:c r="F678" s="18" t="n">
        <x:v>17</x:v>
      </x:c>
      <x:c r="G678" s="18" t="n">
        <x:v>10.32</x:v>
      </x:c>
      <x:c r="H678" s="18" t="n">
        <x:v>7.26</x:v>
      </x:c>
      <x:c r="I678" s="18" t="n">
        <x:v>34.58</x:v>
      </x:c>
      <x:c r="J678" t="n">
        <x:f>IF(A678=A677,IFERROR(IF(B678=EDATE(B677,1),C677,0),0),0)</x:f>
        <x:v>1</x:v>
      </x:c>
      <x:c r="K678" t="n">
        <x:f>IF(AND(J678=1,C678=0),1,0)</x:f>
        <x:v>0</x:v>
      </x:c>
      <x:c r="L678" t="str">
        <x:f>IFERROR(INDEX(Customers!$C$2:$C$451,MATCH(A678,Customers!$A$2:$A$451,0)),"Unknown")</x:f>
        <x:v>Premium</x:v>
      </x:c>
    </x:row>
    <x:row r="679">
      <x:c r="A679" t="n">
        <x:v>122</x:v>
      </x:c>
      <x:c r="B679" s="16" t="n">
        <x:v>46204</x:v>
      </x:c>
      <x:c r="C679" t="n">
        <x:v>1</x:v>
      </x:c>
      <x:c r="D679" t="n">
        <x:v>26</x:v>
      </x:c>
      <x:c r="E679" s="18" t="n">
        <x:v>1616.54</x:v>
      </x:c>
      <x:c r="F679" s="18" t="n">
        <x:v>17</x:v>
      </x:c>
      <x:c r="G679" s="18" t="n">
        <x:v>7.27</x:v>
      </x:c>
      <x:c r="H679" s="18" t="n">
        <x:v>4.57</x:v>
      </x:c>
      <x:c r="I679" s="18" t="n">
        <x:v>28.84</x:v>
      </x:c>
      <x:c r="J679" t="n">
        <x:f>IF(A679=A678,IFERROR(IF(B679=EDATE(B678,1),C678,0),0),0)</x:f>
        <x:v>1</x:v>
      </x:c>
      <x:c r="K679" t="n">
        <x:f>IF(AND(J679=1,C679=0),1,0)</x:f>
        <x:v>0</x:v>
      </x:c>
      <x:c r="L679" t="str">
        <x:f>IFERROR(INDEX(Customers!$C$2:$C$451,MATCH(A679,Customers!$A$2:$A$451,0)),"Unknown")</x:f>
        <x:v>Premium</x:v>
      </x:c>
    </x:row>
    <x:row r="680">
      <x:c r="A680" t="n">
        <x:v>122</x:v>
      </x:c>
      <x:c r="B680" s="16" t="n">
        <x:v>46235</x:v>
      </x:c>
      <x:c r="C680" t="n">
        <x:v>1</x:v>
      </x:c>
      <x:c r="D680" t="n">
        <x:v>15</x:v>
      </x:c>
      <x:c r="E680" s="18" t="n">
        <x:v>2097.08</x:v>
      </x:c>
      <x:c r="F680" s="18" t="n">
        <x:v>17</x:v>
      </x:c>
      <x:c r="G680" s="18" t="n">
        <x:v>9.44</x:v>
      </x:c>
      <x:c r="H680" s="18" t="n">
        <x:v>7.5</x:v>
      </x:c>
      <x:c r="I680" s="18" t="n">
        <x:v>33.94</x:v>
      </x:c>
      <x:c r="J680" t="n">
        <x:f>IF(A680=A679,IFERROR(IF(B680=EDATE(B679,1),C679,0),0),0)</x:f>
        <x:v>1</x:v>
      </x:c>
      <x:c r="K680" t="n">
        <x:f>IF(AND(J680=1,C680=0),1,0)</x:f>
        <x:v>0</x:v>
      </x:c>
      <x:c r="L680" t="str">
        <x:f>IFERROR(INDEX(Customers!$C$2:$C$451,MATCH(A680,Customers!$A$2:$A$451,0)),"Unknown")</x:f>
        <x:v>Premium</x:v>
      </x:c>
    </x:row>
    <x:row r="681">
      <x:c r="A681" t="n">
        <x:v>122</x:v>
      </x:c>
      <x:c r="B681" s="16" t="n">
        <x:v>46266</x:v>
      </x:c>
      <x:c r="C681" t="n">
        <x:v>0</x:v>
      </x:c>
      <x:c r="D681" t="n">
        <x:v>0</x:v>
      </x:c>
      <x:c r="E681" s="18" t="n">
        <x:v>0</x:v>
      </x:c>
      <x:c r="F681" s="18" t="n">
        <x:v>0</x:v>
      </x:c>
      <x:c r="G681" s="18" t="n">
        <x:v>0</x:v>
      </x:c>
      <x:c r="H681" s="18" t="n">
        <x:v>0</x:v>
      </x:c>
      <x:c r="I681" s="18" t="n">
        <x:v>0</x:v>
      </x:c>
      <x:c r="J681" t="n">
        <x:f>IF(A681=A680,IFERROR(IF(B681=EDATE(B680,1),C680,0),0),0)</x:f>
        <x:v>1</x:v>
      </x:c>
      <x:c r="K681" t="n">
        <x:f>IF(AND(J681=1,C681=0),1,0)</x:f>
        <x:v>1</x:v>
      </x:c>
      <x:c r="L681" t="str">
        <x:f>IFERROR(INDEX(Customers!$C$2:$C$451,MATCH(A681,Customers!$A$2:$A$451,0)),"Unknown")</x:f>
        <x:v>Premium</x:v>
      </x:c>
    </x:row>
    <x:row r="682">
      <x:c r="A682" t="n">
        <x:v>123</x:v>
      </x:c>
      <x:c r="B682" s="16" t="n">
        <x:v>46174</x:v>
      </x:c>
      <x:c r="C682" t="n">
        <x:v>1</x:v>
      </x:c>
      <x:c r="D682" t="n">
        <x:v>11</x:v>
      </x:c>
      <x:c r="E682" s="18" t="n">
        <x:v>1133.13</x:v>
      </x:c>
      <x:c r="F682" s="18" t="n">
        <x:v>0</x:v>
      </x:c>
      <x:c r="G682" s="18" t="n">
        <x:v>5.1</x:v>
      </x:c>
      <x:c r="H682" s="18" t="n">
        <x:v>3.54</x:v>
      </x:c>
      <x:c r="I682" s="18" t="n">
        <x:v>8.64</x:v>
      </x:c>
      <x:c r="J682" t="n">
        <x:f>IF(A682=A681,IFERROR(IF(B682=EDATE(B681,1),C681,0),0),0)</x:f>
        <x:v>0</x:v>
      </x:c>
      <x:c r="K682" t="n">
        <x:f>IF(AND(J682=1,C682=0),1,0)</x:f>
        <x:v>0</x:v>
      </x:c>
      <x:c r="L682" t="str">
        <x:f>IFERROR(INDEX(Customers!$C$2:$C$451,MATCH(A682,Customers!$A$2:$A$451,0)),"Unknown")</x:f>
        <x:v>Standard</x:v>
      </x:c>
    </x:row>
    <x:row r="683">
      <x:c r="A683" t="n">
        <x:v>123</x:v>
      </x:c>
      <x:c r="B683" s="16" t="n">
        <x:v>46204</x:v>
      </x:c>
      <x:c r="C683" t="n">
        <x:v>1</x:v>
      </x:c>
      <x:c r="D683" t="n">
        <x:v>18</x:v>
      </x:c>
      <x:c r="E683" s="18" t="n">
        <x:v>1020.75</x:v>
      </x:c>
      <x:c r="F683" s="18" t="n">
        <x:v>0</x:v>
      </x:c>
      <x:c r="G683" s="18" t="n">
        <x:v>4.59</x:v>
      </x:c>
      <x:c r="H683" s="18" t="n">
        <x:v>2.4</x:v>
      </x:c>
      <x:c r="I683" s="18" t="n">
        <x:v>6.99</x:v>
      </x:c>
      <x:c r="J683" t="n">
        <x:f>IF(A683=A682,IFERROR(IF(B683=EDATE(B682,1),C682,0),0),0)</x:f>
        <x:v>1</x:v>
      </x:c>
      <x:c r="K683" t="n">
        <x:f>IF(AND(J683=1,C683=0),1,0)</x:f>
        <x:v>0</x:v>
      </x:c>
      <x:c r="L683" t="str">
        <x:f>IFERROR(INDEX(Customers!$C$2:$C$451,MATCH(A683,Customers!$A$2:$A$451,0)),"Unknown")</x:f>
        <x:v>Standard</x:v>
      </x:c>
    </x:row>
    <x:row r="684">
      <x:c r="A684" t="n">
        <x:v>123</x:v>
      </x:c>
      <x:c r="B684" s="16" t="n">
        <x:v>46235</x:v>
      </x:c>
      <x:c r="C684" t="n">
        <x:v>1</x:v>
      </x:c>
      <x:c r="D684" t="n">
        <x:v>12</x:v>
      </x:c>
      <x:c r="E684" s="18" t="n">
        <x:v>1074.76</x:v>
      </x:c>
      <x:c r="F684" s="18" t="n">
        <x:v>0</x:v>
      </x:c>
      <x:c r="G684" s="18" t="n">
        <x:v>4.84</x:v>
      </x:c>
      <x:c r="H684" s="18" t="n">
        <x:v>3.74</x:v>
      </x:c>
      <x:c r="I684" s="18" t="n">
        <x:v>8.58</x:v>
      </x:c>
      <x:c r="J684" t="n">
        <x:f>IF(A684=A683,IFERROR(IF(B684=EDATE(B683,1),C683,0),0),0)</x:f>
        <x:v>1</x:v>
      </x:c>
      <x:c r="K684" t="n">
        <x:f>IF(AND(J684=1,C684=0),1,0)</x:f>
        <x:v>0</x:v>
      </x:c>
      <x:c r="L684" t="str">
        <x:f>IFERROR(INDEX(Customers!$C$2:$C$451,MATCH(A684,Customers!$A$2:$A$451,0)),"Unknown")</x:f>
        <x:v>Standard</x:v>
      </x:c>
    </x:row>
    <x:row r="685">
      <x:c r="A685" t="n">
        <x:v>123</x:v>
      </x:c>
      <x:c r="B685" s="16" t="n">
        <x:v>46266</x:v>
      </x:c>
      <x:c r="C685" t="n">
        <x:v>1</x:v>
      </x:c>
      <x:c r="D685" t="n">
        <x:v>4</x:v>
      </x:c>
      <x:c r="E685" s="18" t="n">
        <x:v>143.36</x:v>
      </x:c>
      <x:c r="F685" s="18" t="n">
        <x:v>0</x:v>
      </x:c>
      <x:c r="G685" s="18" t="n">
        <x:v>0.65</x:v>
      </x:c>
      <x:c r="H685" s="18" t="n">
        <x:v>0.17</x:v>
      </x:c>
      <x:c r="I685" s="18" t="n">
        <x:v>0.82</x:v>
      </x:c>
      <x:c r="J685" t="n">
        <x:f>IF(A685=A684,IFERROR(IF(B685=EDATE(B684,1),C684,0),0),0)</x:f>
        <x:v>1</x:v>
      </x:c>
      <x:c r="K685" t="n">
        <x:f>IF(AND(J685=1,C685=0),1,0)</x:f>
        <x:v>0</x:v>
      </x:c>
      <x:c r="L685" t="str">
        <x:f>IFERROR(INDEX(Customers!$C$2:$C$451,MATCH(A685,Customers!$A$2:$A$451,0)),"Unknown")</x:f>
        <x:v>Standard</x:v>
      </x:c>
    </x:row>
    <x:row r="686">
      <x:c r="A686" t="n">
        <x:v>124</x:v>
      </x:c>
      <x:c r="B686" s="16" t="n">
        <x:v>46113</x:v>
      </x:c>
      <x:c r="C686" t="n">
        <x:v>1</x:v>
      </x:c>
      <x:c r="D686" t="n">
        <x:v>21</x:v>
      </x:c>
      <x:c r="E686" s="18" t="n">
        <x:v>1232.17</x:v>
      </x:c>
      <x:c r="F686" s="18" t="n">
        <x:v>0</x:v>
      </x:c>
      <x:c r="G686" s="18" t="n">
        <x:v>5.54</x:v>
      </x:c>
      <x:c r="H686" s="18" t="n">
        <x:v>1.61</x:v>
      </x:c>
      <x:c r="I686" s="18" t="n">
        <x:v>7.15</x:v>
      </x:c>
      <x:c r="J686" t="n">
        <x:f>IF(A686=A685,IFERROR(IF(B686=EDATE(B685,1),C685,0),0),0)</x:f>
        <x:v>0</x:v>
      </x:c>
      <x:c r="K686" t="n">
        <x:f>IF(AND(J686=1,C686=0),1,0)</x:f>
        <x:v>0</x:v>
      </x:c>
      <x:c r="L686" t="str">
        <x:f>IFERROR(INDEX(Customers!$C$2:$C$451,MATCH(A686,Customers!$A$2:$A$451,0)),"Unknown")</x:f>
        <x:v>Standard</x:v>
      </x:c>
    </x:row>
    <x:row r="687">
      <x:c r="A687" t="n">
        <x:v>124</x:v>
      </x:c>
      <x:c r="B687" s="16" t="n">
        <x:v>46143</x:v>
      </x:c>
      <x:c r="C687" t="n">
        <x:v>1</x:v>
      </x:c>
      <x:c r="D687" t="n">
        <x:v>18</x:v>
      </x:c>
      <x:c r="E687" s="18" t="n">
        <x:v>1847.33</x:v>
      </x:c>
      <x:c r="F687" s="18" t="n">
        <x:v>0</x:v>
      </x:c>
      <x:c r="G687" s="18" t="n">
        <x:v>8.31</x:v>
      </x:c>
      <x:c r="H687" s="18" t="n">
        <x:v>1.82</x:v>
      </x:c>
      <x:c r="I687" s="18" t="n">
        <x:v>10.13</x:v>
      </x:c>
      <x:c r="J687" t="n">
        <x:f>IF(A687=A686,IFERROR(IF(B687=EDATE(B686,1),C686,0),0),0)</x:f>
        <x:v>1</x:v>
      </x:c>
      <x:c r="K687" t="n">
        <x:f>IF(AND(J687=1,C687=0),1,0)</x:f>
        <x:v>0</x:v>
      </x:c>
      <x:c r="L687" t="str">
        <x:f>IFERROR(INDEX(Customers!$C$2:$C$451,MATCH(A687,Customers!$A$2:$A$451,0)),"Unknown")</x:f>
        <x:v>Standard</x:v>
      </x:c>
    </x:row>
    <x:row r="688">
      <x:c r="A688" t="n">
        <x:v>124</x:v>
      </x:c>
      <x:c r="B688" s="16" t="n">
        <x:v>46174</x:v>
      </x:c>
      <x:c r="C688" t="n">
        <x:v>0</x:v>
      </x:c>
      <x:c r="D688" t="n">
        <x:v>0</x:v>
      </x:c>
      <x:c r="E688" s="18" t="n">
        <x:v>0</x:v>
      </x:c>
      <x:c r="F688" s="18" t="n">
        <x:v>0</x:v>
      </x:c>
      <x:c r="G688" s="18" t="n">
        <x:v>0</x:v>
      </x:c>
      <x:c r="H688" s="18" t="n">
        <x:v>0</x:v>
      </x:c>
      <x:c r="I688" s="18" t="n">
        <x:v>0</x:v>
      </x:c>
      <x:c r="J688" t="n">
        <x:f>IF(A688=A687,IFERROR(IF(B688=EDATE(B687,1),C687,0),0),0)</x:f>
        <x:v>1</x:v>
      </x:c>
      <x:c r="K688" t="n">
        <x:f>IF(AND(J688=1,C688=0),1,0)</x:f>
        <x:v>1</x:v>
      </x:c>
      <x:c r="L688" t="str">
        <x:f>IFERROR(INDEX(Customers!$C$2:$C$451,MATCH(A688,Customers!$A$2:$A$451,0)),"Unknown")</x:f>
        <x:v>Standard</x:v>
      </x:c>
    </x:row>
    <x:row r="689">
      <x:c r="A689" t="n">
        <x:v>124</x:v>
      </x:c>
      <x:c r="B689" s="16" t="n">
        <x:v>46204</x:v>
      </x:c>
      <x:c r="C689" t="n">
        <x:v>1</x:v>
      </x:c>
      <x:c r="D689" t="n">
        <x:v>7</x:v>
      </x:c>
      <x:c r="E689" s="18" t="n">
        <x:v>828.72</x:v>
      </x:c>
      <x:c r="F689" s="18" t="n">
        <x:v>0</x:v>
      </x:c>
      <x:c r="G689" s="18" t="n">
        <x:v>3.73</x:v>
      </x:c>
      <x:c r="H689" s="18" t="n">
        <x:v>2.66</x:v>
      </x:c>
      <x:c r="I689" s="18" t="n">
        <x:v>6.39</x:v>
      </x:c>
      <x:c r="J689" t="n">
        <x:f>IF(A689=A688,IFERROR(IF(B689=EDATE(B688,1),C688,0),0),0)</x:f>
        <x:v>0</x:v>
      </x:c>
      <x:c r="K689" t="n">
        <x:f>IF(AND(J689=1,C689=0),1,0)</x:f>
        <x:v>0</x:v>
      </x:c>
      <x:c r="L689" t="str">
        <x:f>IFERROR(INDEX(Customers!$C$2:$C$451,MATCH(A689,Customers!$A$2:$A$451,0)),"Unknown")</x:f>
        <x:v>Standard</x:v>
      </x:c>
    </x:row>
    <x:row r="690">
      <x:c r="A690" t="n">
        <x:v>124</x:v>
      </x:c>
      <x:c r="B690" s="16" t="n">
        <x:v>46235</x:v>
      </x:c>
      <x:c r="C690" t="n">
        <x:v>0</x:v>
      </x:c>
      <x:c r="D690" t="n">
        <x:v>0</x:v>
      </x:c>
      <x:c r="E690" s="18" t="n">
        <x:v>0</x:v>
      </x:c>
      <x:c r="F690" s="18" t="n">
        <x:v>0</x:v>
      </x:c>
      <x:c r="G690" s="18" t="n">
        <x:v>0</x:v>
      </x:c>
      <x:c r="H690" s="18" t="n">
        <x:v>0</x:v>
      </x:c>
      <x:c r="I690" s="18" t="n">
        <x:v>0</x:v>
      </x:c>
      <x:c r="J690" t="n">
        <x:f>IF(A690=A689,IFERROR(IF(B690=EDATE(B689,1),C689,0),0),0)</x:f>
        <x:v>1</x:v>
      </x:c>
      <x:c r="K690" t="n">
        <x:f>IF(AND(J690=1,C690=0),1,0)</x:f>
        <x:v>1</x:v>
      </x:c>
      <x:c r="L690" t="str">
        <x:f>IFERROR(INDEX(Customers!$C$2:$C$451,MATCH(A690,Customers!$A$2:$A$451,0)),"Unknown")</x:f>
        <x:v>Standard</x:v>
      </x:c>
    </x:row>
    <x:row r="691">
      <x:c r="A691" t="n">
        <x:v>124</x:v>
      </x:c>
      <x:c r="B691" s="16" t="n">
        <x:v>46266</x:v>
      </x:c>
      <x:c r="C691" t="n">
        <x:v>1</x:v>
      </x:c>
      <x:c r="D691" t="n">
        <x:v>26</x:v>
      </x:c>
      <x:c r="E691" s="18" t="n">
        <x:v>2561.92</x:v>
      </x:c>
      <x:c r="F691" s="18" t="n">
        <x:v>0</x:v>
      </x:c>
      <x:c r="G691" s="18" t="n">
        <x:v>11.53</x:v>
      </x:c>
      <x:c r="H691" s="18" t="n">
        <x:v>8.68</x:v>
      </x:c>
      <x:c r="I691" s="18" t="n">
        <x:v>20.21</x:v>
      </x:c>
      <x:c r="J691" t="n">
        <x:f>IF(A691=A690,IFERROR(IF(B691=EDATE(B690,1),C690,0),0),0)</x:f>
        <x:v>0</x:v>
      </x:c>
      <x:c r="K691" t="n">
        <x:f>IF(AND(J691=1,C691=0),1,0)</x:f>
        <x:v>0</x:v>
      </x:c>
      <x:c r="L691" t="str">
        <x:f>IFERROR(INDEX(Customers!$C$2:$C$451,MATCH(A691,Customers!$A$2:$A$451,0)),"Unknown")</x:f>
        <x:v>Standard</x:v>
      </x:c>
    </x:row>
    <x:row r="692">
      <x:c r="A692" t="n">
        <x:v>125</x:v>
      </x:c>
      <x:c r="B692" s="16" t="n">
        <x:v>46143</x:v>
      </x:c>
      <x:c r="C692" t="n">
        <x:v>1</x:v>
      </x:c>
      <x:c r="D692" t="n">
        <x:v>27</x:v>
      </x:c>
      <x:c r="E692" s="18" t="n">
        <x:v>3672.54</x:v>
      </x:c>
      <x:c r="F692" s="18" t="n">
        <x:v>34</x:v>
      </x:c>
      <x:c r="G692" s="18" t="n">
        <x:v>16.53</x:v>
      </x:c>
      <x:c r="H692" s="18" t="n">
        <x:v>3.39</x:v>
      </x:c>
      <x:c r="I692" s="18" t="n">
        <x:v>53.92</x:v>
      </x:c>
      <x:c r="J692" t="n">
        <x:f>IF(A692=A691,IFERROR(IF(B692=EDATE(B691,1),C691,0),0),0)</x:f>
        <x:v>0</x:v>
      </x:c>
      <x:c r="K692" t="n">
        <x:f>IF(AND(J692=1,C692=0),1,0)</x:f>
        <x:v>0</x:v>
      </x:c>
      <x:c r="L692" t="str">
        <x:f>IFERROR(INDEX(Customers!$C$2:$C$451,MATCH(A692,Customers!$A$2:$A$451,0)),"Unknown")</x:f>
        <x:v>Metal</x:v>
      </x:c>
    </x:row>
    <x:row r="693">
      <x:c r="A693" t="n">
        <x:v>125</x:v>
      </x:c>
      <x:c r="B693" s="16" t="n">
        <x:v>46174</x:v>
      </x:c>
      <x:c r="C693" t="n">
        <x:v>1</x:v>
      </x:c>
      <x:c r="D693" t="n">
        <x:v>16</x:v>
      </x:c>
      <x:c r="E693" s="18" t="n">
        <x:v>2022.35</x:v>
      </x:c>
      <x:c r="F693" s="18" t="n">
        <x:v>34</x:v>
      </x:c>
      <x:c r="G693" s="18" t="n">
        <x:v>9.1</x:v>
      </x:c>
      <x:c r="H693" s="18" t="n">
        <x:v>5.79</x:v>
      </x:c>
      <x:c r="I693" s="18" t="n">
        <x:v>48.89</x:v>
      </x:c>
      <x:c r="J693" t="n">
        <x:f>IF(A693=A692,IFERROR(IF(B693=EDATE(B692,1),C692,0),0),0)</x:f>
        <x:v>1</x:v>
      </x:c>
      <x:c r="K693" t="n">
        <x:f>IF(AND(J693=1,C693=0),1,0)</x:f>
        <x:v>0</x:v>
      </x:c>
      <x:c r="L693" t="str">
        <x:f>IFERROR(INDEX(Customers!$C$2:$C$451,MATCH(A693,Customers!$A$2:$A$451,0)),"Unknown")</x:f>
        <x:v>Metal</x:v>
      </x:c>
    </x:row>
    <x:row r="694">
      <x:c r="A694" t="n">
        <x:v>125</x:v>
      </x:c>
      <x:c r="B694" s="16" t="n">
        <x:v>46204</x:v>
      </x:c>
      <x:c r="C694" t="n">
        <x:v>1</x:v>
      </x:c>
      <x:c r="D694" t="n">
        <x:v>24</x:v>
      </x:c>
      <x:c r="E694" s="18" t="n">
        <x:v>2833.64</x:v>
      </x:c>
      <x:c r="F694" s="18" t="n">
        <x:v>34</x:v>
      </x:c>
      <x:c r="G694" s="18" t="n">
        <x:v>12.75</x:v>
      </x:c>
      <x:c r="H694" s="18" t="n">
        <x:v>8.48</x:v>
      </x:c>
      <x:c r="I694" s="18" t="n">
        <x:v>55.23</x:v>
      </x:c>
      <x:c r="J694" t="n">
        <x:f>IF(A694=A693,IFERROR(IF(B694=EDATE(B693,1),C693,0),0),0)</x:f>
        <x:v>1</x:v>
      </x:c>
      <x:c r="K694" t="n">
        <x:f>IF(AND(J694=1,C694=0),1,0)</x:f>
        <x:v>0</x:v>
      </x:c>
      <x:c r="L694" t="str">
        <x:f>IFERROR(INDEX(Customers!$C$2:$C$451,MATCH(A694,Customers!$A$2:$A$451,0)),"Unknown")</x:f>
        <x:v>Metal</x:v>
      </x:c>
    </x:row>
    <x:row r="695">
      <x:c r="A695" t="n">
        <x:v>125</x:v>
      </x:c>
      <x:c r="B695" s="16" t="n">
        <x:v>46235</x:v>
      </x:c>
      <x:c r="C695" t="n">
        <x:v>0</x:v>
      </x:c>
      <x:c r="D695" t="n">
        <x:v>0</x:v>
      </x:c>
      <x:c r="E695" s="18" t="n">
        <x:v>0</x:v>
      </x:c>
      <x:c r="F695" s="18" t="n">
        <x:v>0</x:v>
      </x:c>
      <x:c r="G695" s="18" t="n">
        <x:v>0</x:v>
      </x:c>
      <x:c r="H695" s="18" t="n">
        <x:v>0</x:v>
      </x:c>
      <x:c r="I695" s="18" t="n">
        <x:v>0</x:v>
      </x:c>
      <x:c r="J695" t="n">
        <x:f>IF(A695=A694,IFERROR(IF(B695=EDATE(B694,1),C694,0),0),0)</x:f>
        <x:v>1</x:v>
      </x:c>
      <x:c r="K695" t="n">
        <x:f>IF(AND(J695=1,C695=0),1,0)</x:f>
        <x:v>1</x:v>
      </x:c>
      <x:c r="L695" t="str">
        <x:f>IFERROR(INDEX(Customers!$C$2:$C$451,MATCH(A695,Customers!$A$2:$A$451,0)),"Unknown")</x:f>
        <x:v>Metal</x:v>
      </x:c>
    </x:row>
    <x:row r="696">
      <x:c r="A696" t="n">
        <x:v>125</x:v>
      </x:c>
      <x:c r="B696" s="16" t="n">
        <x:v>46266</x:v>
      </x:c>
      <x:c r="C696" t="n">
        <x:v>1</x:v>
      </x:c>
      <x:c r="D696" t="n">
        <x:v>34</x:v>
      </x:c>
      <x:c r="E696" s="18" t="n">
        <x:v>2122.5</x:v>
      </x:c>
      <x:c r="F696" s="18" t="n">
        <x:v>34</x:v>
      </x:c>
      <x:c r="G696" s="18" t="n">
        <x:v>9.55</x:v>
      </x:c>
      <x:c r="H696" s="18" t="n">
        <x:v>7.82</x:v>
      </x:c>
      <x:c r="I696" s="18" t="n">
        <x:v>51.37</x:v>
      </x:c>
      <x:c r="J696" t="n">
        <x:f>IF(A696=A695,IFERROR(IF(B696=EDATE(B695,1),C695,0),0),0)</x:f>
        <x:v>0</x:v>
      </x:c>
      <x:c r="K696" t="n">
        <x:f>IF(AND(J696=1,C696=0),1,0)</x:f>
        <x:v>0</x:v>
      </x:c>
      <x:c r="L696" t="str">
        <x:f>IFERROR(INDEX(Customers!$C$2:$C$451,MATCH(A696,Customers!$A$2:$A$451,0)),"Unknown")</x:f>
        <x:v>Metal</x:v>
      </x:c>
    </x:row>
    <x:row r="697">
      <x:c r="A697" t="n">
        <x:v>126</x:v>
      </x:c>
      <x:c r="B697" s="16" t="n">
        <x:v>46143</x:v>
      </x:c>
      <x:c r="C697" t="n">
        <x:v>1</x:v>
      </x:c>
      <x:c r="D697" t="n">
        <x:v>22</x:v>
      </x:c>
      <x:c r="E697" s="18" t="n">
        <x:v>1910.04</x:v>
      </x:c>
      <x:c r="F697" s="18" t="n">
        <x:v>8</x:v>
      </x:c>
      <x:c r="G697" s="18" t="n">
        <x:v>8.6</x:v>
      </x:c>
      <x:c r="H697" s="18" t="n">
        <x:v>2.86</x:v>
      </x:c>
      <x:c r="I697" s="18" t="n">
        <x:v>19.46</x:v>
      </x:c>
      <x:c r="J697" t="n">
        <x:f>IF(A697=A696,IFERROR(IF(B697=EDATE(B696,1),C696,0),0),0)</x:f>
        <x:v>0</x:v>
      </x:c>
      <x:c r="K697" t="n">
        <x:f>IF(AND(J697=1,C697=0),1,0)</x:f>
        <x:v>0</x:v>
      </x:c>
      <x:c r="L697" t="str">
        <x:f>IFERROR(INDEX(Customers!$C$2:$C$451,MATCH(A697,Customers!$A$2:$A$451,0)),"Unknown")</x:f>
        <x:v>Plus</x:v>
      </x:c>
    </x:row>
    <x:row r="698">
      <x:c r="A698" t="n">
        <x:v>126</x:v>
      </x:c>
      <x:c r="B698" s="16" t="n">
        <x:v>46174</x:v>
      </x:c>
      <x:c r="C698" t="n">
        <x:v>1</x:v>
      </x:c>
      <x:c r="D698" t="n">
        <x:v>34</x:v>
      </x:c>
      <x:c r="E698" s="18" t="n">
        <x:v>2249.95</x:v>
      </x:c>
      <x:c r="F698" s="18" t="n">
        <x:v>8</x:v>
      </x:c>
      <x:c r="G698" s="18" t="n">
        <x:v>10.12</x:v>
      </x:c>
      <x:c r="H698" s="18" t="n">
        <x:v>4.45</x:v>
      </x:c>
      <x:c r="I698" s="18" t="n">
        <x:v>22.57</x:v>
      </x:c>
      <x:c r="J698" t="n">
        <x:f>IF(A698=A697,IFERROR(IF(B698=EDATE(B697,1),C697,0),0),0)</x:f>
        <x:v>1</x:v>
      </x:c>
      <x:c r="K698" t="n">
        <x:f>IF(AND(J698=1,C698=0),1,0)</x:f>
        <x:v>0</x:v>
      </x:c>
      <x:c r="L698" t="str">
        <x:f>IFERROR(INDEX(Customers!$C$2:$C$451,MATCH(A698,Customers!$A$2:$A$451,0)),"Unknown")</x:f>
        <x:v>Plus</x:v>
      </x:c>
    </x:row>
    <x:row r="699">
      <x:c r="A699" t="n">
        <x:v>126</x:v>
      </x:c>
      <x:c r="B699" s="16" t="n">
        <x:v>46204</x:v>
      </x:c>
      <x:c r="C699" t="n">
        <x:v>1</x:v>
      </x:c>
      <x:c r="D699" t="n">
        <x:v>18</x:v>
      </x:c>
      <x:c r="E699" s="18" t="n">
        <x:v>1708.15</x:v>
      </x:c>
      <x:c r="F699" s="18" t="n">
        <x:v>8</x:v>
      </x:c>
      <x:c r="G699" s="18" t="n">
        <x:v>7.69</x:v>
      </x:c>
      <x:c r="H699" s="18" t="n">
        <x:v>4.44</x:v>
      </x:c>
      <x:c r="I699" s="18" t="n">
        <x:v>20.13</x:v>
      </x:c>
      <x:c r="J699" t="n">
        <x:f>IF(A699=A698,IFERROR(IF(B699=EDATE(B698,1),C698,0),0),0)</x:f>
        <x:v>1</x:v>
      </x:c>
      <x:c r="K699" t="n">
        <x:f>IF(AND(J699=1,C699=0),1,0)</x:f>
        <x:v>0</x:v>
      </x:c>
      <x:c r="L699" t="str">
        <x:f>IFERROR(INDEX(Customers!$C$2:$C$451,MATCH(A699,Customers!$A$2:$A$451,0)),"Unknown")</x:f>
        <x:v>Plus</x:v>
      </x:c>
    </x:row>
    <x:row r="700">
      <x:c r="A700" t="n">
        <x:v>126</x:v>
      </x:c>
      <x:c r="B700" s="16" t="n">
        <x:v>46235</x:v>
      </x:c>
      <x:c r="C700" t="n">
        <x:v>0</x:v>
      </x:c>
      <x:c r="D700" t="n">
        <x:v>0</x:v>
      </x:c>
      <x:c r="E700" s="18" t="n">
        <x:v>0</x:v>
      </x:c>
      <x:c r="F700" s="18" t="n">
        <x:v>0</x:v>
      </x:c>
      <x:c r="G700" s="18" t="n">
        <x:v>0</x:v>
      </x:c>
      <x:c r="H700" s="18" t="n">
        <x:v>0</x:v>
      </x:c>
      <x:c r="I700" s="18" t="n">
        <x:v>0</x:v>
      </x:c>
      <x:c r="J700" t="n">
        <x:f>IF(A700=A699,IFERROR(IF(B700=EDATE(B699,1),C699,0),0),0)</x:f>
        <x:v>1</x:v>
      </x:c>
      <x:c r="K700" t="n">
        <x:f>IF(AND(J700=1,C700=0),1,0)</x:f>
        <x:v>1</x:v>
      </x:c>
      <x:c r="L700" t="str">
        <x:f>IFERROR(INDEX(Customers!$C$2:$C$451,MATCH(A700,Customers!$A$2:$A$451,0)),"Unknown")</x:f>
        <x:v>Plus</x:v>
      </x:c>
    </x:row>
    <x:row r="701">
      <x:c r="A701" t="n">
        <x:v>126</x:v>
      </x:c>
      <x:c r="B701" s="16" t="n">
        <x:v>46266</x:v>
      </x:c>
      <x:c r="C701" t="n">
        <x:v>1</x:v>
      </x:c>
      <x:c r="D701" t="n">
        <x:v>14</x:v>
      </x:c>
      <x:c r="E701" s="18" t="n">
        <x:v>984.96</x:v>
      </x:c>
      <x:c r="F701" s="18" t="n">
        <x:v>8</x:v>
      </x:c>
      <x:c r="G701" s="18" t="n">
        <x:v>4.43</x:v>
      </x:c>
      <x:c r="H701" s="18" t="n">
        <x:v>1.93</x:v>
      </x:c>
      <x:c r="I701" s="18" t="n">
        <x:v>14.36</x:v>
      </x:c>
      <x:c r="J701" t="n">
        <x:f>IF(A701=A700,IFERROR(IF(B701=EDATE(B700,1),C700,0),0),0)</x:f>
        <x:v>0</x:v>
      </x:c>
      <x:c r="K701" t="n">
        <x:f>IF(AND(J701=1,C701=0),1,0)</x:f>
        <x:v>0</x:v>
      </x:c>
      <x:c r="L701" t="str">
        <x:f>IFERROR(INDEX(Customers!$C$2:$C$451,MATCH(A701,Customers!$A$2:$A$451,0)),"Unknown")</x:f>
        <x:v>Plus</x:v>
      </x:c>
    </x:row>
    <x:row r="702">
      <x:c r="A702" t="n">
        <x:v>127</x:v>
      </x:c>
      <x:c r="B702" s="16" t="n">
        <x:v>46113</x:v>
      </x:c>
      <x:c r="C702" t="n">
        <x:v>1</x:v>
      </x:c>
      <x:c r="D702" t="n">
        <x:v>15</x:v>
      </x:c>
      <x:c r="E702" s="18" t="n">
        <x:v>1226.09</x:v>
      </x:c>
      <x:c r="F702" s="18" t="n">
        <x:v>0</x:v>
      </x:c>
      <x:c r="G702" s="18" t="n">
        <x:v>5.52</x:v>
      </x:c>
      <x:c r="H702" s="18" t="n">
        <x:v>1.47</x:v>
      </x:c>
      <x:c r="I702" s="18" t="n">
        <x:v>6.99</x:v>
      </x:c>
      <x:c r="J702" t="n">
        <x:f>IF(A702=A701,IFERROR(IF(B702=EDATE(B701,1),C701,0),0),0)</x:f>
        <x:v>0</x:v>
      </x:c>
      <x:c r="K702" t="n">
        <x:f>IF(AND(J702=1,C702=0),1,0)</x:f>
        <x:v>0</x:v>
      </x:c>
      <x:c r="L702" t="str">
        <x:f>IFERROR(INDEX(Customers!$C$2:$C$451,MATCH(A702,Customers!$A$2:$A$451,0)),"Unknown")</x:f>
        <x:v>Standard</x:v>
      </x:c>
    </x:row>
    <x:row r="703">
      <x:c r="A703" t="n">
        <x:v>127</x:v>
      </x:c>
      <x:c r="B703" s="16" t="n">
        <x:v>46143</x:v>
      </x:c>
      <x:c r="C703" t="n">
        <x:v>1</x:v>
      </x:c>
      <x:c r="D703" t="n">
        <x:v>33</x:v>
      </x:c>
      <x:c r="E703" s="18" t="n">
        <x:v>4301.46</x:v>
      </x:c>
      <x:c r="F703" s="18" t="n">
        <x:v>0</x:v>
      </x:c>
      <x:c r="G703" s="18" t="n">
        <x:v>19.36</x:v>
      </x:c>
      <x:c r="H703" s="18" t="n">
        <x:v>6.44</x:v>
      </x:c>
      <x:c r="I703" s="18" t="n">
        <x:v>25.8</x:v>
      </x:c>
      <x:c r="J703" t="n">
        <x:f>IF(A703=A702,IFERROR(IF(B703=EDATE(B702,1),C702,0),0),0)</x:f>
        <x:v>1</x:v>
      </x:c>
      <x:c r="K703" t="n">
        <x:f>IF(AND(J703=1,C703=0),1,0)</x:f>
        <x:v>0</x:v>
      </x:c>
      <x:c r="L703" t="str">
        <x:f>IFERROR(INDEX(Customers!$C$2:$C$451,MATCH(A703,Customers!$A$2:$A$451,0)),"Unknown")</x:f>
        <x:v>Standard</x:v>
      </x:c>
    </x:row>
    <x:row r="704">
      <x:c r="A704" t="n">
        <x:v>127</x:v>
      </x:c>
      <x:c r="B704" s="16" t="n">
        <x:v>46174</x:v>
      </x:c>
      <x:c r="C704" t="n">
        <x:v>1</x:v>
      </x:c>
      <x:c r="D704" t="n">
        <x:v>15</x:v>
      </x:c>
      <x:c r="E704" s="18" t="n">
        <x:v>1674.15</x:v>
      </x:c>
      <x:c r="F704" s="18" t="n">
        <x:v>0</x:v>
      </x:c>
      <x:c r="G704" s="18" t="n">
        <x:v>7.53</x:v>
      </x:c>
      <x:c r="H704" s="18" t="n">
        <x:v>5.22</x:v>
      </x:c>
      <x:c r="I704" s="18" t="n">
        <x:v>12.75</x:v>
      </x:c>
      <x:c r="J704" t="n">
        <x:f>IF(A704=A703,IFERROR(IF(B704=EDATE(B703,1),C703,0),0),0)</x:f>
        <x:v>1</x:v>
      </x:c>
      <x:c r="K704" t="n">
        <x:f>IF(AND(J704=1,C704=0),1,0)</x:f>
        <x:v>0</x:v>
      </x:c>
      <x:c r="L704" t="str">
        <x:f>IFERROR(INDEX(Customers!$C$2:$C$451,MATCH(A704,Customers!$A$2:$A$451,0)),"Unknown")</x:f>
        <x:v>Standard</x:v>
      </x:c>
    </x:row>
    <x:row r="705">
      <x:c r="A705" t="n">
        <x:v>127</x:v>
      </x:c>
      <x:c r="B705" s="16" t="n">
        <x:v>46204</x:v>
      </x:c>
      <x:c r="C705" t="n">
        <x:v>1</x:v>
      </x:c>
      <x:c r="D705" t="n">
        <x:v>25</x:v>
      </x:c>
      <x:c r="E705" s="18" t="n">
        <x:v>3163.5</x:v>
      </x:c>
      <x:c r="F705" s="18" t="n">
        <x:v>0</x:v>
      </x:c>
      <x:c r="G705" s="18" t="n">
        <x:v>14.24</x:v>
      </x:c>
      <x:c r="H705" s="18" t="n">
        <x:v>12.01</x:v>
      </x:c>
      <x:c r="I705" s="18" t="n">
        <x:v>26.25</x:v>
      </x:c>
      <x:c r="J705" t="n">
        <x:f>IF(A705=A704,IFERROR(IF(B705=EDATE(B704,1),C704,0),0),0)</x:f>
        <x:v>1</x:v>
      </x:c>
      <x:c r="K705" t="n">
        <x:f>IF(AND(J705=1,C705=0),1,0)</x:f>
        <x:v>0</x:v>
      </x:c>
      <x:c r="L705" t="str">
        <x:f>IFERROR(INDEX(Customers!$C$2:$C$451,MATCH(A705,Customers!$A$2:$A$451,0)),"Unknown")</x:f>
        <x:v>Standard</x:v>
      </x:c>
    </x:row>
    <x:row r="706">
      <x:c r="A706" t="n">
        <x:v>127</x:v>
      </x:c>
      <x:c r="B706" s="16" t="n">
        <x:v>46235</x:v>
      </x:c>
      <x:c r="C706" t="n">
        <x:v>1</x:v>
      </x:c>
      <x:c r="D706" t="n">
        <x:v>16</x:v>
      </x:c>
      <x:c r="E706" s="18" t="n">
        <x:v>764.12</x:v>
      </x:c>
      <x:c r="F706" s="18" t="n">
        <x:v>0</x:v>
      </x:c>
      <x:c r="G706" s="18" t="n">
        <x:v>3.44</x:v>
      </x:c>
      <x:c r="H706" s="18" t="n">
        <x:v>0.99</x:v>
      </x:c>
      <x:c r="I706" s="18" t="n">
        <x:v>4.43</x:v>
      </x:c>
      <x:c r="J706" t="n">
        <x:f>IF(A706=A705,IFERROR(IF(B706=EDATE(B705,1),C705,0),0),0)</x:f>
        <x:v>1</x:v>
      </x:c>
      <x:c r="K706" t="n">
        <x:f>IF(AND(J706=1,C706=0),1,0)</x:f>
        <x:v>0</x:v>
      </x:c>
      <x:c r="L706" t="str">
        <x:f>IFERROR(INDEX(Customers!$C$2:$C$451,MATCH(A706,Customers!$A$2:$A$451,0)),"Unknown")</x:f>
        <x:v>Standard</x:v>
      </x:c>
    </x:row>
    <x:row r="707">
      <x:c r="A707" t="n">
        <x:v>127</x:v>
      </x:c>
      <x:c r="B707" s="16" t="n">
        <x:v>46266</x:v>
      </x:c>
      <x:c r="C707" t="n">
        <x:v>0</x:v>
      </x:c>
      <x:c r="D707" t="n">
        <x:v>0</x:v>
      </x:c>
      <x:c r="E707" s="18" t="n">
        <x:v>0</x:v>
      </x:c>
      <x:c r="F707" s="18" t="n">
        <x:v>0</x:v>
      </x:c>
      <x:c r="G707" s="18" t="n">
        <x:v>0</x:v>
      </x:c>
      <x:c r="H707" s="18" t="n">
        <x:v>0</x:v>
      </x:c>
      <x:c r="I707" s="18" t="n">
        <x:v>0</x:v>
      </x:c>
      <x:c r="J707" t="n">
        <x:f>IF(A707=A706,IFERROR(IF(B707=EDATE(B706,1),C706,0),0),0)</x:f>
        <x:v>1</x:v>
      </x:c>
      <x:c r="K707" t="n">
        <x:f>IF(AND(J707=1,C707=0),1,0)</x:f>
        <x:v>1</x:v>
      </x:c>
      <x:c r="L707" t="str">
        <x:f>IFERROR(INDEX(Customers!$C$2:$C$451,MATCH(A707,Customers!$A$2:$A$451,0)),"Unknown")</x:f>
        <x:v>Standard</x:v>
      </x:c>
    </x:row>
    <x:row r="708">
      <x:c r="A708" t="n">
        <x:v>128</x:v>
      </x:c>
      <x:c r="B708" s="16" t="n">
        <x:v>46113</x:v>
      </x:c>
      <x:c r="C708" t="n">
        <x:v>1</x:v>
      </x:c>
      <x:c r="D708" t="n">
        <x:v>5</x:v>
      </x:c>
      <x:c r="E708" s="18" t="n">
        <x:v>536.34</x:v>
      </x:c>
      <x:c r="F708" s="18" t="n">
        <x:v>0</x:v>
      </x:c>
      <x:c r="G708" s="18" t="n">
        <x:v>2.41</x:v>
      </x:c>
      <x:c r="H708" s="18" t="n">
        <x:v>1.66</x:v>
      </x:c>
      <x:c r="I708" s="18" t="n">
        <x:v>4.07</x:v>
      </x:c>
      <x:c r="J708" t="n">
        <x:f>IF(A708=A707,IFERROR(IF(B708=EDATE(B707,1),C707,0),0),0)</x:f>
        <x:v>0</x:v>
      </x:c>
      <x:c r="K708" t="n">
        <x:f>IF(AND(J708=1,C708=0),1,0)</x:f>
        <x:v>0</x:v>
      </x:c>
      <x:c r="L708" t="str">
        <x:f>IFERROR(INDEX(Customers!$C$2:$C$451,MATCH(A708,Customers!$A$2:$A$451,0)),"Unknown")</x:f>
        <x:v>Standard</x:v>
      </x:c>
    </x:row>
    <x:row r="709">
      <x:c r="A709" t="n">
        <x:v>128</x:v>
      </x:c>
      <x:c r="B709" s="16" t="n">
        <x:v>46143</x:v>
      </x:c>
      <x:c r="C709" t="n">
        <x:v>1</x:v>
      </x:c>
      <x:c r="D709" t="n">
        <x:v>9</x:v>
      </x:c>
      <x:c r="E709" s="18" t="n">
        <x:v>587.47</x:v>
      </x:c>
      <x:c r="F709" s="18" t="n">
        <x:v>0</x:v>
      </x:c>
      <x:c r="G709" s="18" t="n">
        <x:v>2.64</x:v>
      </x:c>
      <x:c r="H709" s="18" t="n">
        <x:v>0.95</x:v>
      </x:c>
      <x:c r="I709" s="18" t="n">
        <x:v>3.59</x:v>
      </x:c>
      <x:c r="J709" t="n">
        <x:f>IF(A709=A708,IFERROR(IF(B709=EDATE(B708,1),C708,0),0),0)</x:f>
        <x:v>1</x:v>
      </x:c>
      <x:c r="K709" t="n">
        <x:f>IF(AND(J709=1,C709=0),1,0)</x:f>
        <x:v>0</x:v>
      </x:c>
      <x:c r="L709" t="str">
        <x:f>IFERROR(INDEX(Customers!$C$2:$C$451,MATCH(A709,Customers!$A$2:$A$451,0)),"Unknown")</x:f>
        <x:v>Standard</x:v>
      </x:c>
    </x:row>
    <x:row r="710">
      <x:c r="A710" t="n">
        <x:v>128</x:v>
      </x:c>
      <x:c r="B710" s="16" t="n">
        <x:v>46174</x:v>
      </x:c>
      <x:c r="C710" t="n">
        <x:v>1</x:v>
      </x:c>
      <x:c r="D710" t="n">
        <x:v>19</x:v>
      </x:c>
      <x:c r="E710" s="18" t="n">
        <x:v>1431.93</x:v>
      </x:c>
      <x:c r="F710" s="18" t="n">
        <x:v>0</x:v>
      </x:c>
      <x:c r="G710" s="18" t="n">
        <x:v>6.44</x:v>
      </x:c>
      <x:c r="H710" s="18" t="n">
        <x:v>2.5</x:v>
      </x:c>
      <x:c r="I710" s="18" t="n">
        <x:v>8.94</x:v>
      </x:c>
      <x:c r="J710" t="n">
        <x:f>IF(A710=A709,IFERROR(IF(B710=EDATE(B709,1),C709,0),0),0)</x:f>
        <x:v>1</x:v>
      </x:c>
      <x:c r="K710" t="n">
        <x:f>IF(AND(J710=1,C710=0),1,0)</x:f>
        <x:v>0</x:v>
      </x:c>
      <x:c r="L710" t="str">
        <x:f>IFERROR(INDEX(Customers!$C$2:$C$451,MATCH(A710,Customers!$A$2:$A$451,0)),"Unknown")</x:f>
        <x:v>Standard</x:v>
      </x:c>
    </x:row>
    <x:row r="711">
      <x:c r="A711" t="n">
        <x:v>128</x:v>
      </x:c>
      <x:c r="B711" s="16" t="n">
        <x:v>46204</x:v>
      </x:c>
      <x:c r="C711" t="n">
        <x:v>1</x:v>
      </x:c>
      <x:c r="D711" t="n">
        <x:v>23</x:v>
      </x:c>
      <x:c r="E711" s="18" t="n">
        <x:v>2191.88</x:v>
      </x:c>
      <x:c r="F711" s="18" t="n">
        <x:v>0</x:v>
      </x:c>
      <x:c r="G711" s="18" t="n">
        <x:v>9.86</x:v>
      </x:c>
      <x:c r="H711" s="18" t="n">
        <x:v>7.6</x:v>
      </x:c>
      <x:c r="I711" s="18" t="n">
        <x:v>17.46</x:v>
      </x:c>
      <x:c r="J711" t="n">
        <x:f>IF(A711=A710,IFERROR(IF(B711=EDATE(B710,1),C710,0),0),0)</x:f>
        <x:v>1</x:v>
      </x:c>
      <x:c r="K711" t="n">
        <x:f>IF(AND(J711=1,C711=0),1,0)</x:f>
        <x:v>0</x:v>
      </x:c>
      <x:c r="L711" t="str">
        <x:f>IFERROR(INDEX(Customers!$C$2:$C$451,MATCH(A711,Customers!$A$2:$A$451,0)),"Unknown")</x:f>
        <x:v>Standard</x:v>
      </x:c>
    </x:row>
    <x:row r="712">
      <x:c r="A712" t="n">
        <x:v>128</x:v>
      </x:c>
      <x:c r="B712" s="16" t="n">
        <x:v>46235</x:v>
      </x:c>
      <x:c r="C712" t="n">
        <x:v>1</x:v>
      </x:c>
      <x:c r="D712" t="n">
        <x:v>10</x:v>
      </x:c>
      <x:c r="E712" s="18" t="n">
        <x:v>1245.1</x:v>
      </x:c>
      <x:c r="F712" s="18" t="n">
        <x:v>0</x:v>
      </x:c>
      <x:c r="G712" s="18" t="n">
        <x:v>5.6</x:v>
      </x:c>
      <x:c r="H712" s="18" t="n">
        <x:v>4.51</x:v>
      </x:c>
      <x:c r="I712" s="18" t="n">
        <x:v>10.11</x:v>
      </x:c>
      <x:c r="J712" t="n">
        <x:f>IF(A712=A711,IFERROR(IF(B712=EDATE(B711,1),C711,0),0),0)</x:f>
        <x:v>1</x:v>
      </x:c>
      <x:c r="K712" t="n">
        <x:f>IF(AND(J712=1,C712=0),1,0)</x:f>
        <x:v>0</x:v>
      </x:c>
      <x:c r="L712" t="str">
        <x:f>IFERROR(INDEX(Customers!$C$2:$C$451,MATCH(A712,Customers!$A$2:$A$451,0)),"Unknown")</x:f>
        <x:v>Standard</x:v>
      </x:c>
    </x:row>
    <x:row r="713">
      <x:c r="A713" t="n">
        <x:v>128</x:v>
      </x:c>
      <x:c r="B713" s="16" t="n">
        <x:v>46266</x:v>
      </x:c>
      <x:c r="C713" t="n">
        <x:v>1</x:v>
      </x:c>
      <x:c r="D713" t="n">
        <x:v>17</x:v>
      </x:c>
      <x:c r="E713" s="18" t="n">
        <x:v>900.47</x:v>
      </x:c>
      <x:c r="F713" s="18" t="n">
        <x:v>0</x:v>
      </x:c>
      <x:c r="G713" s="18" t="n">
        <x:v>4.05</x:v>
      </x:c>
      <x:c r="H713" s="18" t="n">
        <x:v>2.32</x:v>
      </x:c>
      <x:c r="I713" s="18" t="n">
        <x:v>6.37</x:v>
      </x:c>
      <x:c r="J713" t="n">
        <x:f>IF(A713=A712,IFERROR(IF(B713=EDATE(B712,1),C712,0),0),0)</x:f>
        <x:v>1</x:v>
      </x:c>
      <x:c r="K713" t="n">
        <x:f>IF(AND(J713=1,C713=0),1,0)</x:f>
        <x:v>0</x:v>
      </x:c>
      <x:c r="L713" t="str">
        <x:f>IFERROR(INDEX(Customers!$C$2:$C$451,MATCH(A713,Customers!$A$2:$A$451,0)),"Unknown")</x:f>
        <x:v>Standard</x:v>
      </x:c>
    </x:row>
    <x:row r="714">
      <x:c r="A714" t="n">
        <x:v>129</x:v>
      </x:c>
      <x:c r="B714" s="16" t="n">
        <x:v>46113</x:v>
      </x:c>
      <x:c r="C714" t="n">
        <x:v>0</x:v>
      </x:c>
      <x:c r="D714" t="n">
        <x:v>0</x:v>
      </x:c>
      <x:c r="E714" s="18" t="n">
        <x:v>0</x:v>
      </x:c>
      <x:c r="F714" s="18" t="n">
        <x:v>0</x:v>
      </x:c>
      <x:c r="G714" s="18" t="n">
        <x:v>0</x:v>
      </x:c>
      <x:c r="H714" s="18" t="n">
        <x:v>0</x:v>
      </x:c>
      <x:c r="I714" s="18" t="n">
        <x:v>0</x:v>
      </x:c>
      <x:c r="J714" t="n">
        <x:f>IF(A714=A713,IFERROR(IF(B714=EDATE(B713,1),C713,0),0),0)</x:f>
        <x:v>0</x:v>
      </x:c>
      <x:c r="K714" t="n">
        <x:f>IF(AND(J714=1,C714=0),1,0)</x:f>
        <x:v>0</x:v>
      </x:c>
      <x:c r="L714" t="str">
        <x:f>IFERROR(INDEX(Customers!$C$2:$C$451,MATCH(A714,Customers!$A$2:$A$451,0)),"Unknown")</x:f>
        <x:v>Standard</x:v>
      </x:c>
    </x:row>
    <x:row r="715">
      <x:c r="A715" t="n">
        <x:v>129</x:v>
      </x:c>
      <x:c r="B715" s="16" t="n">
        <x:v>46143</x:v>
      </x:c>
      <x:c r="C715" t="n">
        <x:v>1</x:v>
      </x:c>
      <x:c r="D715" t="n">
        <x:v>6</x:v>
      </x:c>
      <x:c r="E715" s="18" t="n">
        <x:v>326.46</x:v>
      </x:c>
      <x:c r="F715" s="18" t="n">
        <x:v>0</x:v>
      </x:c>
      <x:c r="G715" s="18" t="n">
        <x:v>1.47</x:v>
      </x:c>
      <x:c r="H715" s="18" t="n">
        <x:v>0.83</x:v>
      </x:c>
      <x:c r="I715" s="18" t="n">
        <x:v>2.3</x:v>
      </x:c>
      <x:c r="J715" t="n">
        <x:f>IF(A715=A714,IFERROR(IF(B715=EDATE(B714,1),C714,0),0),0)</x:f>
        <x:v>0</x:v>
      </x:c>
      <x:c r="K715" t="n">
        <x:f>IF(AND(J715=1,C715=0),1,0)</x:f>
        <x:v>0</x:v>
      </x:c>
      <x:c r="L715" t="str">
        <x:f>IFERROR(INDEX(Customers!$C$2:$C$451,MATCH(A715,Customers!$A$2:$A$451,0)),"Unknown")</x:f>
        <x:v>Standard</x:v>
      </x:c>
    </x:row>
    <x:row r="716">
      <x:c r="A716" t="n">
        <x:v>129</x:v>
      </x:c>
      <x:c r="B716" s="16" t="n">
        <x:v>46174</x:v>
      </x:c>
      <x:c r="C716" t="n">
        <x:v>0</x:v>
      </x:c>
      <x:c r="D716" t="n">
        <x:v>0</x:v>
      </x:c>
      <x:c r="E716" s="18" t="n">
        <x:v>0</x:v>
      </x:c>
      <x:c r="F716" s="18" t="n">
        <x:v>0</x:v>
      </x:c>
      <x:c r="G716" s="18" t="n">
        <x:v>0</x:v>
      </x:c>
      <x:c r="H716" s="18" t="n">
        <x:v>0</x:v>
      </x:c>
      <x:c r="I716" s="18" t="n">
        <x:v>0</x:v>
      </x:c>
      <x:c r="J716" t="n">
        <x:f>IF(A716=A715,IFERROR(IF(B716=EDATE(B715,1),C715,0),0),0)</x:f>
        <x:v>1</x:v>
      </x:c>
      <x:c r="K716" t="n">
        <x:f>IF(AND(J716=1,C716=0),1,0)</x:f>
        <x:v>1</x:v>
      </x:c>
      <x:c r="L716" t="str">
        <x:f>IFERROR(INDEX(Customers!$C$2:$C$451,MATCH(A716,Customers!$A$2:$A$451,0)),"Unknown")</x:f>
        <x:v>Standard</x:v>
      </x:c>
    </x:row>
    <x:row r="717">
      <x:c r="A717" t="n">
        <x:v>129</x:v>
      </x:c>
      <x:c r="B717" s="16" t="n">
        <x:v>46204</x:v>
      </x:c>
      <x:c r="C717" t="n">
        <x:v>1</x:v>
      </x:c>
      <x:c r="D717" t="n">
        <x:v>20</x:v>
      </x:c>
      <x:c r="E717" s="18" t="n">
        <x:v>736.14</x:v>
      </x:c>
      <x:c r="F717" s="18" t="n">
        <x:v>0</x:v>
      </x:c>
      <x:c r="G717" s="18" t="n">
        <x:v>3.31</x:v>
      </x:c>
      <x:c r="H717" s="18" t="n">
        <x:v>2.78</x:v>
      </x:c>
      <x:c r="I717" s="18" t="n">
        <x:v>6.09</x:v>
      </x:c>
      <x:c r="J717" t="n">
        <x:f>IF(A717=A716,IFERROR(IF(B717=EDATE(B716,1),C716,0),0),0)</x:f>
        <x:v>0</x:v>
      </x:c>
      <x:c r="K717" t="n">
        <x:f>IF(AND(J717=1,C717=0),1,0)</x:f>
        <x:v>0</x:v>
      </x:c>
      <x:c r="L717" t="str">
        <x:f>IFERROR(INDEX(Customers!$C$2:$C$451,MATCH(A717,Customers!$A$2:$A$451,0)),"Unknown")</x:f>
        <x:v>Standard</x:v>
      </x:c>
    </x:row>
    <x:row r="718">
      <x:c r="A718" t="n">
        <x:v>129</x:v>
      </x:c>
      <x:c r="B718" s="16" t="n">
        <x:v>46235</x:v>
      </x:c>
      <x:c r="C718" t="n">
        <x:v>1</x:v>
      </x:c>
      <x:c r="D718" t="n">
        <x:v>9</x:v>
      </x:c>
      <x:c r="E718" s="18" t="n">
        <x:v>946.09</x:v>
      </x:c>
      <x:c r="F718" s="18" t="n">
        <x:v>0</x:v>
      </x:c>
      <x:c r="G718" s="18" t="n">
        <x:v>4.26</x:v>
      </x:c>
      <x:c r="H718" s="18" t="n">
        <x:v>1.26</x:v>
      </x:c>
      <x:c r="I718" s="18" t="n">
        <x:v>5.52</x:v>
      </x:c>
      <x:c r="J718" t="n">
        <x:f>IF(A718=A717,IFERROR(IF(B718=EDATE(B717,1),C717,0),0),0)</x:f>
        <x:v>1</x:v>
      </x:c>
      <x:c r="K718" t="n">
        <x:f>IF(AND(J718=1,C718=0),1,0)</x:f>
        <x:v>0</x:v>
      </x:c>
      <x:c r="L718" t="str">
        <x:f>IFERROR(INDEX(Customers!$C$2:$C$451,MATCH(A718,Customers!$A$2:$A$451,0)),"Unknown")</x:f>
        <x:v>Standard</x:v>
      </x:c>
    </x:row>
    <x:row r="719">
      <x:c r="A719" t="n">
        <x:v>129</x:v>
      </x:c>
      <x:c r="B719" s="16" t="n">
        <x:v>46266</x:v>
      </x:c>
      <x:c r="C719" t="n">
        <x:v>1</x:v>
      </x:c>
      <x:c r="D719" t="n">
        <x:v>28</x:v>
      </x:c>
      <x:c r="E719" s="18" t="n">
        <x:v>1382.32</x:v>
      </x:c>
      <x:c r="F719" s="18" t="n">
        <x:v>0</x:v>
      </x:c>
      <x:c r="G719" s="18" t="n">
        <x:v>6.22</x:v>
      </x:c>
      <x:c r="H719" s="18" t="n">
        <x:v>2.75</x:v>
      </x:c>
      <x:c r="I719" s="18" t="n">
        <x:v>8.97</x:v>
      </x:c>
      <x:c r="J719" t="n">
        <x:f>IF(A719=A718,IFERROR(IF(B719=EDATE(B718,1),C718,0),0),0)</x:f>
        <x:v>1</x:v>
      </x:c>
      <x:c r="K719" t="n">
        <x:f>IF(AND(J719=1,C719=0),1,0)</x:f>
        <x:v>0</x:v>
      </x:c>
      <x:c r="L719" t="str">
        <x:f>IFERROR(INDEX(Customers!$C$2:$C$451,MATCH(A719,Customers!$A$2:$A$451,0)),"Unknown")</x:f>
        <x:v>Standard</x:v>
      </x:c>
    </x:row>
    <x:row r="720">
      <x:c r="A720" t="n">
        <x:v>130</x:v>
      </x:c>
      <x:c r="B720" s="16" t="n">
        <x:v>46113</x:v>
      </x:c>
      <x:c r="C720" t="n">
        <x:v>0</x:v>
      </x:c>
      <x:c r="D720" t="n">
        <x:v>0</x:v>
      </x:c>
      <x:c r="E720" s="18" t="n">
        <x:v>0</x:v>
      </x:c>
      <x:c r="F720" s="18" t="n">
        <x:v>0</x:v>
      </x:c>
      <x:c r="G720" s="18" t="n">
        <x:v>0</x:v>
      </x:c>
      <x:c r="H720" s="18" t="n">
        <x:v>0</x:v>
      </x:c>
      <x:c r="I720" s="18" t="n">
        <x:v>0</x:v>
      </x:c>
      <x:c r="J720" t="n">
        <x:f>IF(A720=A719,IFERROR(IF(B720=EDATE(B719,1),C719,0),0),0)</x:f>
        <x:v>0</x:v>
      </x:c>
      <x:c r="K720" t="n">
        <x:f>IF(AND(J720=1,C720=0),1,0)</x:f>
        <x:v>0</x:v>
      </x:c>
      <x:c r="L720" t="str">
        <x:f>IFERROR(INDEX(Customers!$C$2:$C$451,MATCH(A720,Customers!$A$2:$A$451,0)),"Unknown")</x:f>
        <x:v>Standard</x:v>
      </x:c>
    </x:row>
    <x:row r="721">
      <x:c r="A721" t="n">
        <x:v>130</x:v>
      </x:c>
      <x:c r="B721" s="16" t="n">
        <x:v>46143</x:v>
      </x:c>
      <x:c r="C721" t="n">
        <x:v>1</x:v>
      </x:c>
      <x:c r="D721" t="n">
        <x:v>26</x:v>
      </x:c>
      <x:c r="E721" s="18" t="n">
        <x:v>2196.35</x:v>
      </x:c>
      <x:c r="F721" s="18" t="n">
        <x:v>0</x:v>
      </x:c>
      <x:c r="G721" s="18" t="n">
        <x:v>9.88</x:v>
      </x:c>
      <x:c r="H721" s="18" t="n">
        <x:v>8.03</x:v>
      </x:c>
      <x:c r="I721" s="18" t="n">
        <x:v>17.91</x:v>
      </x:c>
      <x:c r="J721" t="n">
        <x:f>IF(A721=A720,IFERROR(IF(B721=EDATE(B720,1),C720,0),0),0)</x:f>
        <x:v>0</x:v>
      </x:c>
      <x:c r="K721" t="n">
        <x:f>IF(AND(J721=1,C721=0),1,0)</x:f>
        <x:v>0</x:v>
      </x:c>
      <x:c r="L721" t="str">
        <x:f>IFERROR(INDEX(Customers!$C$2:$C$451,MATCH(A721,Customers!$A$2:$A$451,0)),"Unknown")</x:f>
        <x:v>Standard</x:v>
      </x:c>
    </x:row>
    <x:row r="722">
      <x:c r="A722" t="n">
        <x:v>130</x:v>
      </x:c>
      <x:c r="B722" s="16" t="n">
        <x:v>46174</x:v>
      </x:c>
      <x:c r="C722" t="n">
        <x:v>1</x:v>
      </x:c>
      <x:c r="D722" t="n">
        <x:v>16</x:v>
      </x:c>
      <x:c r="E722" s="18" t="n">
        <x:v>950.06</x:v>
      </x:c>
      <x:c r="F722" s="18" t="n">
        <x:v>0</x:v>
      </x:c>
      <x:c r="G722" s="18" t="n">
        <x:v>4.28</x:v>
      </x:c>
      <x:c r="H722" s="18" t="n">
        <x:v>1.68</x:v>
      </x:c>
      <x:c r="I722" s="18" t="n">
        <x:v>5.96</x:v>
      </x:c>
      <x:c r="J722" t="n">
        <x:f>IF(A722=A721,IFERROR(IF(B722=EDATE(B721,1),C721,0),0),0)</x:f>
        <x:v>1</x:v>
      </x:c>
      <x:c r="K722" t="n">
        <x:f>IF(AND(J722=1,C722=0),1,0)</x:f>
        <x:v>0</x:v>
      </x:c>
      <x:c r="L722" t="str">
        <x:f>IFERROR(INDEX(Customers!$C$2:$C$451,MATCH(A722,Customers!$A$2:$A$451,0)),"Unknown")</x:f>
        <x:v>Standard</x:v>
      </x:c>
    </x:row>
    <x:row r="723">
      <x:c r="A723" t="n">
        <x:v>130</x:v>
      </x:c>
      <x:c r="B723" s="16" t="n">
        <x:v>46204</x:v>
      </x:c>
      <x:c r="C723" t="n">
        <x:v>0</x:v>
      </x:c>
      <x:c r="D723" t="n">
        <x:v>0</x:v>
      </x:c>
      <x:c r="E723" s="18" t="n">
        <x:v>0</x:v>
      </x:c>
      <x:c r="F723" s="18" t="n">
        <x:v>0</x:v>
      </x:c>
      <x:c r="G723" s="18" t="n">
        <x:v>0</x:v>
      </x:c>
      <x:c r="H723" s="18" t="n">
        <x:v>0</x:v>
      </x:c>
      <x:c r="I723" s="18" t="n">
        <x:v>0</x:v>
      </x:c>
      <x:c r="J723" t="n">
        <x:f>IF(A723=A722,IFERROR(IF(B723=EDATE(B722,1),C722,0),0),0)</x:f>
        <x:v>1</x:v>
      </x:c>
      <x:c r="K723" t="n">
        <x:f>IF(AND(J723=1,C723=0),1,0)</x:f>
        <x:v>1</x:v>
      </x:c>
      <x:c r="L723" t="str">
        <x:f>IFERROR(INDEX(Customers!$C$2:$C$451,MATCH(A723,Customers!$A$2:$A$451,0)),"Unknown")</x:f>
        <x:v>Standard</x:v>
      </x:c>
    </x:row>
    <x:row r="724">
      <x:c r="A724" t="n">
        <x:v>130</x:v>
      </x:c>
      <x:c r="B724" s="16" t="n">
        <x:v>46235</x:v>
      </x:c>
      <x:c r="C724" t="n">
        <x:v>1</x:v>
      </x:c>
      <x:c r="D724" t="n">
        <x:v>24</x:v>
      </x:c>
      <x:c r="E724" s="18" t="n">
        <x:v>2064.44</x:v>
      </x:c>
      <x:c r="F724" s="18" t="n">
        <x:v>0</x:v>
      </x:c>
      <x:c r="G724" s="18" t="n">
        <x:v>9.29</x:v>
      </x:c>
      <x:c r="H724" s="18" t="n">
        <x:v>5.84</x:v>
      </x:c>
      <x:c r="I724" s="18" t="n">
        <x:v>15.13</x:v>
      </x:c>
      <x:c r="J724" t="n">
        <x:f>IF(A724=A723,IFERROR(IF(B724=EDATE(B723,1),C723,0),0),0)</x:f>
        <x:v>0</x:v>
      </x:c>
      <x:c r="K724" t="n">
        <x:f>IF(AND(J724=1,C724=0),1,0)</x:f>
        <x:v>0</x:v>
      </x:c>
      <x:c r="L724" t="str">
        <x:f>IFERROR(INDEX(Customers!$C$2:$C$451,MATCH(A724,Customers!$A$2:$A$451,0)),"Unknown")</x:f>
        <x:v>Standard</x:v>
      </x:c>
    </x:row>
    <x:row r="725">
      <x:c r="A725" t="n">
        <x:v>130</x:v>
      </x:c>
      <x:c r="B725" s="16" t="n">
        <x:v>46266</x:v>
      </x:c>
      <x:c r="C725" t="n">
        <x:v>1</x:v>
      </x:c>
      <x:c r="D725" t="n">
        <x:v>36</x:v>
      </x:c>
      <x:c r="E725" s="18" t="n">
        <x:v>4743.05</x:v>
      </x:c>
      <x:c r="F725" s="18" t="n">
        <x:v>0</x:v>
      </x:c>
      <x:c r="G725" s="18" t="n">
        <x:v>21.34</x:v>
      </x:c>
      <x:c r="H725" s="18" t="n">
        <x:v>9.71</x:v>
      </x:c>
      <x:c r="I725" s="18" t="n">
        <x:v>31.05</x:v>
      </x:c>
      <x:c r="J725" t="n">
        <x:f>IF(A725=A724,IFERROR(IF(B725=EDATE(B724,1),C724,0),0),0)</x:f>
        <x:v>1</x:v>
      </x:c>
      <x:c r="K725" t="n">
        <x:f>IF(AND(J725=1,C725=0),1,0)</x:f>
        <x:v>0</x:v>
      </x:c>
      <x:c r="L725" t="str">
        <x:f>IFERROR(INDEX(Customers!$C$2:$C$451,MATCH(A725,Customers!$A$2:$A$451,0)),"Unknown")</x:f>
        <x:v>Standard</x:v>
      </x:c>
    </x:row>
    <x:row r="726">
      <x:c r="A726" t="n">
        <x:v>131</x:v>
      </x:c>
      <x:c r="B726" s="16" t="n">
        <x:v>46113</x:v>
      </x:c>
      <x:c r="C726" t="n">
        <x:v>0</x:v>
      </x:c>
      <x:c r="D726" t="n">
        <x:v>0</x:v>
      </x:c>
      <x:c r="E726" s="18" t="n">
        <x:v>0</x:v>
      </x:c>
      <x:c r="F726" s="18" t="n">
        <x:v>0</x:v>
      </x:c>
      <x:c r="G726" s="18" t="n">
        <x:v>0</x:v>
      </x:c>
      <x:c r="H726" s="18" t="n">
        <x:v>0</x:v>
      </x:c>
      <x:c r="I726" s="18" t="n">
        <x:v>0</x:v>
      </x:c>
      <x:c r="J726" t="n">
        <x:f>IF(A726=A725,IFERROR(IF(B726=EDATE(B725,1),C725,0),0),0)</x:f>
        <x:v>0</x:v>
      </x:c>
      <x:c r="K726" t="n">
        <x:f>IF(AND(J726=1,C726=0),1,0)</x:f>
        <x:v>0</x:v>
      </x:c>
      <x:c r="L726" t="str">
        <x:f>IFERROR(INDEX(Customers!$C$2:$C$451,MATCH(A726,Customers!$A$2:$A$451,0)),"Unknown")</x:f>
        <x:v>Standard</x:v>
      </x:c>
    </x:row>
    <x:row r="727">
      <x:c r="A727" t="n">
        <x:v>131</x:v>
      </x:c>
      <x:c r="B727" s="16" t="n">
        <x:v>46143</x:v>
      </x:c>
      <x:c r="C727" t="n">
        <x:v>1</x:v>
      </x:c>
      <x:c r="D727" t="n">
        <x:v>4</x:v>
      </x:c>
      <x:c r="E727" s="18" t="n">
        <x:v>550.2</x:v>
      </x:c>
      <x:c r="F727" s="18" t="n">
        <x:v>0</x:v>
      </x:c>
      <x:c r="G727" s="18" t="n">
        <x:v>2.48</x:v>
      </x:c>
      <x:c r="H727" s="18" t="n">
        <x:v>1.91</x:v>
      </x:c>
      <x:c r="I727" s="18" t="n">
        <x:v>4.39</x:v>
      </x:c>
      <x:c r="J727" t="n">
        <x:f>IF(A727=A726,IFERROR(IF(B727=EDATE(B726,1),C726,0),0),0)</x:f>
        <x:v>0</x:v>
      </x:c>
      <x:c r="K727" t="n">
        <x:f>IF(AND(J727=1,C727=0),1,0)</x:f>
        <x:v>0</x:v>
      </x:c>
      <x:c r="L727" t="str">
        <x:f>IFERROR(INDEX(Customers!$C$2:$C$451,MATCH(A727,Customers!$A$2:$A$451,0)),"Unknown")</x:f>
        <x:v>Standard</x:v>
      </x:c>
    </x:row>
    <x:row r="728">
      <x:c r="A728" t="n">
        <x:v>131</x:v>
      </x:c>
      <x:c r="B728" s="16" t="n">
        <x:v>46174</x:v>
      </x:c>
      <x:c r="C728" t="n">
        <x:v>1</x:v>
      </x:c>
      <x:c r="D728" t="n">
        <x:v>25</x:v>
      </x:c>
      <x:c r="E728" s="18" t="n">
        <x:v>2410.66</x:v>
      </x:c>
      <x:c r="F728" s="18" t="n">
        <x:v>0</x:v>
      </x:c>
      <x:c r="G728" s="18" t="n">
        <x:v>10.85</x:v>
      </x:c>
      <x:c r="H728" s="18" t="n">
        <x:v>7.7</x:v>
      </x:c>
      <x:c r="I728" s="18" t="n">
        <x:v>18.55</x:v>
      </x:c>
      <x:c r="J728" t="n">
        <x:f>IF(A728=A727,IFERROR(IF(B728=EDATE(B727,1),C727,0),0),0)</x:f>
        <x:v>1</x:v>
      </x:c>
      <x:c r="K728" t="n">
        <x:f>IF(AND(J728=1,C728=0),1,0)</x:f>
        <x:v>0</x:v>
      </x:c>
      <x:c r="L728" t="str">
        <x:f>IFERROR(INDEX(Customers!$C$2:$C$451,MATCH(A728,Customers!$A$2:$A$451,0)),"Unknown")</x:f>
        <x:v>Standard</x:v>
      </x:c>
    </x:row>
    <x:row r="729">
      <x:c r="A729" t="n">
        <x:v>131</x:v>
      </x:c>
      <x:c r="B729" s="16" t="n">
        <x:v>46204</x:v>
      </x:c>
      <x:c r="C729" t="n">
        <x:v>1</x:v>
      </x:c>
      <x:c r="D729" t="n">
        <x:v>21</x:v>
      </x:c>
      <x:c r="E729" s="18" t="n">
        <x:v>1879.26</x:v>
      </x:c>
      <x:c r="F729" s="18" t="n">
        <x:v>0</x:v>
      </x:c>
      <x:c r="G729" s="18" t="n">
        <x:v>8.46</x:v>
      </x:c>
      <x:c r="H729" s="18" t="n">
        <x:v>5.38</x:v>
      </x:c>
      <x:c r="I729" s="18" t="n">
        <x:v>13.84</x:v>
      </x:c>
      <x:c r="J729" t="n">
        <x:f>IF(A729=A728,IFERROR(IF(B729=EDATE(B728,1),C728,0),0),0)</x:f>
        <x:v>1</x:v>
      </x:c>
      <x:c r="K729" t="n">
        <x:f>IF(AND(J729=1,C729=0),1,0)</x:f>
        <x:v>0</x:v>
      </x:c>
      <x:c r="L729" t="str">
        <x:f>IFERROR(INDEX(Customers!$C$2:$C$451,MATCH(A729,Customers!$A$2:$A$451,0)),"Unknown")</x:f>
        <x:v>Standard</x:v>
      </x:c>
    </x:row>
    <x:row r="730">
      <x:c r="A730" t="n">
        <x:v>131</x:v>
      </x:c>
      <x:c r="B730" s="16" t="n">
        <x:v>46235</x:v>
      </x:c>
      <x:c r="C730" t="n">
        <x:v>0</x:v>
      </x:c>
      <x:c r="D730" t="n">
        <x:v>0</x:v>
      </x:c>
      <x:c r="E730" s="18" t="n">
        <x:v>0</x:v>
      </x:c>
      <x:c r="F730" s="18" t="n">
        <x:v>0</x:v>
      </x:c>
      <x:c r="G730" s="18" t="n">
        <x:v>0</x:v>
      </x:c>
      <x:c r="H730" s="18" t="n">
        <x:v>0</x:v>
      </x:c>
      <x:c r="I730" s="18" t="n">
        <x:v>0</x:v>
      </x:c>
      <x:c r="J730" t="n">
        <x:f>IF(A730=A729,IFERROR(IF(B730=EDATE(B729,1),C729,0),0),0)</x:f>
        <x:v>1</x:v>
      </x:c>
      <x:c r="K730" t="n">
        <x:f>IF(AND(J730=1,C730=0),1,0)</x:f>
        <x:v>1</x:v>
      </x:c>
      <x:c r="L730" t="str">
        <x:f>IFERROR(INDEX(Customers!$C$2:$C$451,MATCH(A730,Customers!$A$2:$A$451,0)),"Unknown")</x:f>
        <x:v>Standard</x:v>
      </x:c>
    </x:row>
    <x:row r="731">
      <x:c r="A731" t="n">
        <x:v>131</x:v>
      </x:c>
      <x:c r="B731" s="16" t="n">
        <x:v>46266</x:v>
      </x:c>
      <x:c r="C731" t="n">
        <x:v>0</x:v>
      </x:c>
      <x:c r="D731" t="n">
        <x:v>0</x:v>
      </x:c>
      <x:c r="E731" s="18" t="n">
        <x:v>0</x:v>
      </x:c>
      <x:c r="F731" s="18" t="n">
        <x:v>0</x:v>
      </x:c>
      <x:c r="G731" s="18" t="n">
        <x:v>0</x:v>
      </x:c>
      <x:c r="H731" s="18" t="n">
        <x:v>0</x:v>
      </x:c>
      <x:c r="I731" s="18" t="n">
        <x:v>0</x:v>
      </x:c>
      <x:c r="J731" t="n">
        <x:f>IF(A731=A730,IFERROR(IF(B731=EDATE(B730,1),C730,0),0),0)</x:f>
        <x:v>0</x:v>
      </x:c>
      <x:c r="K731" t="n">
        <x:f>IF(AND(J731=1,C731=0),1,0)</x:f>
        <x:v>0</x:v>
      </x:c>
      <x:c r="L731" t="str">
        <x:f>IFERROR(INDEX(Customers!$C$2:$C$451,MATCH(A731,Customers!$A$2:$A$451,0)),"Unknown")</x:f>
        <x:v>Standard</x:v>
      </x:c>
    </x:row>
    <x:row r="732">
      <x:c r="A732" t="n">
        <x:v>132</x:v>
      </x:c>
      <x:c r="B732" s="16" t="n">
        <x:v>46113</x:v>
      </x:c>
      <x:c r="C732" t="n">
        <x:v>1</x:v>
      </x:c>
      <x:c r="D732" t="n">
        <x:v>26</x:v>
      </x:c>
      <x:c r="E732" s="18" t="n">
        <x:v>3280.52</x:v>
      </x:c>
      <x:c r="F732" s="18" t="n">
        <x:v>0</x:v>
      </x:c>
      <x:c r="G732" s="18" t="n">
        <x:v>14.76</x:v>
      </x:c>
      <x:c r="H732" s="18" t="n">
        <x:v>8.35</x:v>
      </x:c>
      <x:c r="I732" s="18" t="n">
        <x:v>23.11</x:v>
      </x:c>
      <x:c r="J732" t="n">
        <x:f>IF(A732=A731,IFERROR(IF(B732=EDATE(B731,1),C731,0),0),0)</x:f>
        <x:v>0</x:v>
      </x:c>
      <x:c r="K732" t="n">
        <x:f>IF(AND(J732=1,C732=0),1,0)</x:f>
        <x:v>0</x:v>
      </x:c>
      <x:c r="L732" t="str">
        <x:f>IFERROR(INDEX(Customers!$C$2:$C$451,MATCH(A732,Customers!$A$2:$A$451,0)),"Unknown")</x:f>
        <x:v>Standard</x:v>
      </x:c>
    </x:row>
    <x:row r="733">
      <x:c r="A733" t="n">
        <x:v>132</x:v>
      </x:c>
      <x:c r="B733" s="16" t="n">
        <x:v>46143</x:v>
      </x:c>
      <x:c r="C733" t="n">
        <x:v>1</x:v>
      </x:c>
      <x:c r="D733" t="n">
        <x:v>6</x:v>
      </x:c>
      <x:c r="E733" s="18" t="n">
        <x:v>822.33</x:v>
      </x:c>
      <x:c r="F733" s="18" t="n">
        <x:v>0</x:v>
      </x:c>
      <x:c r="G733" s="18" t="n">
        <x:v>3.7</x:v>
      </x:c>
      <x:c r="H733" s="18" t="n">
        <x:v>0.67</x:v>
      </x:c>
      <x:c r="I733" s="18" t="n">
        <x:v>4.37</x:v>
      </x:c>
      <x:c r="J733" t="n">
        <x:f>IF(A733=A732,IFERROR(IF(B733=EDATE(B732,1),C732,0),0),0)</x:f>
        <x:v>1</x:v>
      </x:c>
      <x:c r="K733" t="n">
        <x:f>IF(AND(J733=1,C733=0),1,0)</x:f>
        <x:v>0</x:v>
      </x:c>
      <x:c r="L733" t="str">
        <x:f>IFERROR(INDEX(Customers!$C$2:$C$451,MATCH(A733,Customers!$A$2:$A$451,0)),"Unknown")</x:f>
        <x:v>Standard</x:v>
      </x:c>
    </x:row>
    <x:row r="734">
      <x:c r="A734" t="n">
        <x:v>132</x:v>
      </x:c>
      <x:c r="B734" s="16" t="n">
        <x:v>46174</x:v>
      </x:c>
      <x:c r="C734" t="n">
        <x:v>1</x:v>
      </x:c>
      <x:c r="D734" t="n">
        <x:v>24</x:v>
      </x:c>
      <x:c r="E734" s="18" t="n">
        <x:v>2858.86</x:v>
      </x:c>
      <x:c r="F734" s="18" t="n">
        <x:v>0</x:v>
      </x:c>
      <x:c r="G734" s="18" t="n">
        <x:v>12.86</x:v>
      </x:c>
      <x:c r="H734" s="18" t="n">
        <x:v>10.83</x:v>
      </x:c>
      <x:c r="I734" s="18" t="n">
        <x:v>23.69</x:v>
      </x:c>
      <x:c r="J734" t="n">
        <x:f>IF(A734=A733,IFERROR(IF(B734=EDATE(B733,1),C733,0),0),0)</x:f>
        <x:v>1</x:v>
      </x:c>
      <x:c r="K734" t="n">
        <x:f>IF(AND(J734=1,C734=0),1,0)</x:f>
        <x:v>0</x:v>
      </x:c>
      <x:c r="L734" t="str">
        <x:f>IFERROR(INDEX(Customers!$C$2:$C$451,MATCH(A734,Customers!$A$2:$A$451,0)),"Unknown")</x:f>
        <x:v>Standard</x:v>
      </x:c>
    </x:row>
    <x:row r="735">
      <x:c r="A735" t="n">
        <x:v>132</x:v>
      </x:c>
      <x:c r="B735" s="16" t="n">
        <x:v>46204</x:v>
      </x:c>
      <x:c r="C735" t="n">
        <x:v>1</x:v>
      </x:c>
      <x:c r="D735" t="n">
        <x:v>4</x:v>
      </x:c>
      <x:c r="E735" s="18" t="n">
        <x:v>145.35</x:v>
      </x:c>
      <x:c r="F735" s="18" t="n">
        <x:v>0</x:v>
      </x:c>
      <x:c r="G735" s="18" t="n">
        <x:v>0.65</x:v>
      </x:c>
      <x:c r="H735" s="18" t="n">
        <x:v>0.42</x:v>
      </x:c>
      <x:c r="I735" s="18" t="n">
        <x:v>1.07</x:v>
      </x:c>
      <x:c r="J735" t="n">
        <x:f>IF(A735=A734,IFERROR(IF(B735=EDATE(B734,1),C734,0),0),0)</x:f>
        <x:v>1</x:v>
      </x:c>
      <x:c r="K735" t="n">
        <x:f>IF(AND(J735=1,C735=0),1,0)</x:f>
        <x:v>0</x:v>
      </x:c>
      <x:c r="L735" t="str">
        <x:f>IFERROR(INDEX(Customers!$C$2:$C$451,MATCH(A735,Customers!$A$2:$A$451,0)),"Unknown")</x:f>
        <x:v>Standard</x:v>
      </x:c>
    </x:row>
    <x:row r="736">
      <x:c r="A736" t="n">
        <x:v>132</x:v>
      </x:c>
      <x:c r="B736" s="16" t="n">
        <x:v>46235</x:v>
      </x:c>
      <x:c r="C736" t="n">
        <x:v>0</x:v>
      </x:c>
      <x:c r="D736" t="n">
        <x:v>0</x:v>
      </x:c>
      <x:c r="E736" s="18" t="n">
        <x:v>0</x:v>
      </x:c>
      <x:c r="F736" s="18" t="n">
        <x:v>0</x:v>
      </x:c>
      <x:c r="G736" s="18" t="n">
        <x:v>0</x:v>
      </x:c>
      <x:c r="H736" s="18" t="n">
        <x:v>0</x:v>
      </x:c>
      <x:c r="I736" s="18" t="n">
        <x:v>0</x:v>
      </x:c>
      <x:c r="J736" t="n">
        <x:f>IF(A736=A735,IFERROR(IF(B736=EDATE(B735,1),C735,0),0),0)</x:f>
        <x:v>1</x:v>
      </x:c>
      <x:c r="K736" t="n">
        <x:f>IF(AND(J736=1,C736=0),1,0)</x:f>
        <x:v>1</x:v>
      </x:c>
      <x:c r="L736" t="str">
        <x:f>IFERROR(INDEX(Customers!$C$2:$C$451,MATCH(A736,Customers!$A$2:$A$451,0)),"Unknown")</x:f>
        <x:v>Standard</x:v>
      </x:c>
    </x:row>
    <x:row r="737">
      <x:c r="A737" t="n">
        <x:v>132</x:v>
      </x:c>
      <x:c r="B737" s="16" t="n">
        <x:v>46266</x:v>
      </x:c>
      <x:c r="C737" t="n">
        <x:v>0</x:v>
      </x:c>
      <x:c r="D737" t="n">
        <x:v>0</x:v>
      </x:c>
      <x:c r="E737" s="18" t="n">
        <x:v>0</x:v>
      </x:c>
      <x:c r="F737" s="18" t="n">
        <x:v>0</x:v>
      </x:c>
      <x:c r="G737" s="18" t="n">
        <x:v>0</x:v>
      </x:c>
      <x:c r="H737" s="18" t="n">
        <x:v>0</x:v>
      </x:c>
      <x:c r="I737" s="18" t="n">
        <x:v>0</x:v>
      </x:c>
      <x:c r="J737" t="n">
        <x:f>IF(A737=A736,IFERROR(IF(B737=EDATE(B736,1),C736,0),0),0)</x:f>
        <x:v>0</x:v>
      </x:c>
      <x:c r="K737" t="n">
        <x:f>IF(AND(J737=1,C737=0),1,0)</x:f>
        <x:v>0</x:v>
      </x:c>
      <x:c r="L737" t="str">
        <x:f>IFERROR(INDEX(Customers!$C$2:$C$451,MATCH(A737,Customers!$A$2:$A$451,0)),"Unknown")</x:f>
        <x:v>Standard</x:v>
      </x:c>
    </x:row>
    <x:row r="738">
      <x:c r="A738" t="n">
        <x:v>133</x:v>
      </x:c>
      <x:c r="B738" s="16" t="n">
        <x:v>46174</x:v>
      </x:c>
      <x:c r="C738" t="n">
        <x:v>0</x:v>
      </x:c>
      <x:c r="D738" t="n">
        <x:v>0</x:v>
      </x:c>
      <x:c r="E738" s="18" t="n">
        <x:v>0</x:v>
      </x:c>
      <x:c r="F738" s="18" t="n">
        <x:v>0</x:v>
      </x:c>
      <x:c r="G738" s="18" t="n">
        <x:v>0</x:v>
      </x:c>
      <x:c r="H738" s="18" t="n">
        <x:v>0</x:v>
      </x:c>
      <x:c r="I738" s="18" t="n">
        <x:v>0</x:v>
      </x:c>
      <x:c r="J738" t="n">
        <x:f>IF(A738=A737,IFERROR(IF(B738=EDATE(B737,1),C737,0),0),0)</x:f>
        <x:v>0</x:v>
      </x:c>
      <x:c r="K738" t="n">
        <x:f>IF(AND(J738=1,C738=0),1,0)</x:f>
        <x:v>0</x:v>
      </x:c>
      <x:c r="L738" t="str">
        <x:f>IFERROR(INDEX(Customers!$C$2:$C$451,MATCH(A738,Customers!$A$2:$A$451,0)),"Unknown")</x:f>
        <x:v>Standard</x:v>
      </x:c>
    </x:row>
    <x:row r="739">
      <x:c r="A739" t="n">
        <x:v>133</x:v>
      </x:c>
      <x:c r="B739" s="16" t="n">
        <x:v>46204</x:v>
      </x:c>
      <x:c r="C739" t="n">
        <x:v>1</x:v>
      </x:c>
      <x:c r="D739" t="n">
        <x:v>11</x:v>
      </x:c>
      <x:c r="E739" s="18" t="n">
        <x:v>497.14</x:v>
      </x:c>
      <x:c r="F739" s="18" t="n">
        <x:v>0</x:v>
      </x:c>
      <x:c r="G739" s="18" t="n">
        <x:v>2.24</x:v>
      </x:c>
      <x:c r="H739" s="18" t="n">
        <x:v>0.42</x:v>
      </x:c>
      <x:c r="I739" s="18" t="n">
        <x:v>2.66</x:v>
      </x:c>
      <x:c r="J739" t="n">
        <x:f>IF(A739=A738,IFERROR(IF(B739=EDATE(B738,1),C738,0),0),0)</x:f>
        <x:v>0</x:v>
      </x:c>
      <x:c r="K739" t="n">
        <x:f>IF(AND(J739=1,C739=0),1,0)</x:f>
        <x:v>0</x:v>
      </x:c>
      <x:c r="L739" t="str">
        <x:f>IFERROR(INDEX(Customers!$C$2:$C$451,MATCH(A739,Customers!$A$2:$A$451,0)),"Unknown")</x:f>
        <x:v>Standard</x:v>
      </x:c>
    </x:row>
    <x:row r="740">
      <x:c r="A740" t="n">
        <x:v>133</x:v>
      </x:c>
      <x:c r="B740" s="16" t="n">
        <x:v>46235</x:v>
      </x:c>
      <x:c r="C740" t="n">
        <x:v>1</x:v>
      </x:c>
      <x:c r="D740" t="n">
        <x:v>13</x:v>
      </x:c>
      <x:c r="E740" s="18" t="n">
        <x:v>802.43</x:v>
      </x:c>
      <x:c r="F740" s="18" t="n">
        <x:v>0</x:v>
      </x:c>
      <x:c r="G740" s="18" t="n">
        <x:v>3.61</x:v>
      </x:c>
      <x:c r="H740" s="18" t="n">
        <x:v>2.88</x:v>
      </x:c>
      <x:c r="I740" s="18" t="n">
        <x:v>6.49</x:v>
      </x:c>
      <x:c r="J740" t="n">
        <x:f>IF(A740=A739,IFERROR(IF(B740=EDATE(B739,1),C739,0),0),0)</x:f>
        <x:v>1</x:v>
      </x:c>
      <x:c r="K740" t="n">
        <x:f>IF(AND(J740=1,C740=0),1,0)</x:f>
        <x:v>0</x:v>
      </x:c>
      <x:c r="L740" t="str">
        <x:f>IFERROR(INDEX(Customers!$C$2:$C$451,MATCH(A740,Customers!$A$2:$A$451,0)),"Unknown")</x:f>
        <x:v>Standard</x:v>
      </x:c>
    </x:row>
    <x:row r="741">
      <x:c r="A741" t="n">
        <x:v>133</x:v>
      </x:c>
      <x:c r="B741" s="16" t="n">
        <x:v>46266</x:v>
      </x:c>
      <x:c r="C741" t="n">
        <x:v>1</x:v>
      </x:c>
      <x:c r="D741" t="n">
        <x:v>13</x:v>
      </x:c>
      <x:c r="E741" s="18" t="n">
        <x:v>694.37</x:v>
      </x:c>
      <x:c r="F741" s="18" t="n">
        <x:v>0</x:v>
      </x:c>
      <x:c r="G741" s="18" t="n">
        <x:v>3.12</x:v>
      </x:c>
      <x:c r="H741" s="18" t="n">
        <x:v>1.07</x:v>
      </x:c>
      <x:c r="I741" s="18" t="n">
        <x:v>4.19</x:v>
      </x:c>
      <x:c r="J741" t="n">
        <x:f>IF(A741=A740,IFERROR(IF(B741=EDATE(B740,1),C740,0),0),0)</x:f>
        <x:v>1</x:v>
      </x:c>
      <x:c r="K741" t="n">
        <x:f>IF(AND(J741=1,C741=0),1,0)</x:f>
        <x:v>0</x:v>
      </x:c>
      <x:c r="L741" t="str">
        <x:f>IFERROR(INDEX(Customers!$C$2:$C$451,MATCH(A741,Customers!$A$2:$A$451,0)),"Unknown")</x:f>
        <x:v>Standard</x:v>
      </x:c>
    </x:row>
    <x:row r="742">
      <x:c r="A742" t="n">
        <x:v>134</x:v>
      </x:c>
      <x:c r="B742" s="16" t="n">
        <x:v>46174</x:v>
      </x:c>
      <x:c r="C742" t="n">
        <x:v>1</x:v>
      </x:c>
      <x:c r="D742" t="n">
        <x:v>32</x:v>
      </x:c>
      <x:c r="E742" s="18" t="n">
        <x:v>2220.46</x:v>
      </x:c>
      <x:c r="F742" s="18" t="n">
        <x:v>17</x:v>
      </x:c>
      <x:c r="G742" s="18" t="n">
        <x:v>9.99</x:v>
      </x:c>
      <x:c r="H742" s="18" t="n">
        <x:v>6.32</x:v>
      </x:c>
      <x:c r="I742" s="18" t="n">
        <x:v>33.31</x:v>
      </x:c>
      <x:c r="J742" t="n">
        <x:f>IF(A742=A741,IFERROR(IF(B742=EDATE(B741,1),C741,0),0),0)</x:f>
        <x:v>0</x:v>
      </x:c>
      <x:c r="K742" t="n">
        <x:f>IF(AND(J742=1,C742=0),1,0)</x:f>
        <x:v>0</x:v>
      </x:c>
      <x:c r="L742" t="str">
        <x:f>IFERROR(INDEX(Customers!$C$2:$C$451,MATCH(A742,Customers!$A$2:$A$451,0)),"Unknown")</x:f>
        <x:v>Premium</x:v>
      </x:c>
    </x:row>
    <x:row r="743">
      <x:c r="A743" t="n">
        <x:v>134</x:v>
      </x:c>
      <x:c r="B743" s="16" t="n">
        <x:v>46204</x:v>
      </x:c>
      <x:c r="C743" t="n">
        <x:v>1</x:v>
      </x:c>
      <x:c r="D743" t="n">
        <x:v>5</x:v>
      </x:c>
      <x:c r="E743" s="18" t="n">
        <x:v>199</x:v>
      </x:c>
      <x:c r="F743" s="18" t="n">
        <x:v>17</x:v>
      </x:c>
      <x:c r="G743" s="18" t="n">
        <x:v>0.9</x:v>
      </x:c>
      <x:c r="H743" s="18" t="n">
        <x:v>0.21</x:v>
      </x:c>
      <x:c r="I743" s="18" t="n">
        <x:v>18.11</x:v>
      </x:c>
      <x:c r="J743" t="n">
        <x:f>IF(A743=A742,IFERROR(IF(B743=EDATE(B742,1),C742,0),0),0)</x:f>
        <x:v>1</x:v>
      </x:c>
      <x:c r="K743" t="n">
        <x:f>IF(AND(J743=1,C743=0),1,0)</x:f>
        <x:v>0</x:v>
      </x:c>
      <x:c r="L743" t="str">
        <x:f>IFERROR(INDEX(Customers!$C$2:$C$451,MATCH(A743,Customers!$A$2:$A$451,0)),"Unknown")</x:f>
        <x:v>Premium</x:v>
      </x:c>
    </x:row>
    <x:row r="744">
      <x:c r="A744" t="n">
        <x:v>134</x:v>
      </x:c>
      <x:c r="B744" s="16" t="n">
        <x:v>46235</x:v>
      </x:c>
      <x:c r="C744" t="n">
        <x:v>1</x:v>
      </x:c>
      <x:c r="D744" t="n">
        <x:v>5</x:v>
      </x:c>
      <x:c r="E744" s="18" t="n">
        <x:v>625.27</x:v>
      </x:c>
      <x:c r="F744" s="18" t="n">
        <x:v>17</x:v>
      </x:c>
      <x:c r="G744" s="18" t="n">
        <x:v>2.81</x:v>
      </x:c>
      <x:c r="H744" s="18" t="n">
        <x:v>0.54</x:v>
      </x:c>
      <x:c r="I744" s="18" t="n">
        <x:v>20.35</x:v>
      </x:c>
      <x:c r="J744" t="n">
        <x:f>IF(A744=A743,IFERROR(IF(B744=EDATE(B743,1),C743,0),0),0)</x:f>
        <x:v>1</x:v>
      </x:c>
      <x:c r="K744" t="n">
        <x:f>IF(AND(J744=1,C744=0),1,0)</x:f>
        <x:v>0</x:v>
      </x:c>
      <x:c r="L744" t="str">
        <x:f>IFERROR(INDEX(Customers!$C$2:$C$451,MATCH(A744,Customers!$A$2:$A$451,0)),"Unknown")</x:f>
        <x:v>Premium</x:v>
      </x:c>
    </x:row>
    <x:row r="745">
      <x:c r="A745" t="n">
        <x:v>134</x:v>
      </x:c>
      <x:c r="B745" s="16" t="n">
        <x:v>46266</x:v>
      </x:c>
      <x:c r="C745" t="n">
        <x:v>0</x:v>
      </x:c>
      <x:c r="D745" t="n">
        <x:v>0</x:v>
      </x:c>
      <x:c r="E745" s="18" t="n">
        <x:v>0</x:v>
      </x:c>
      <x:c r="F745" s="18" t="n">
        <x:v>0</x:v>
      </x:c>
      <x:c r="G745" s="18" t="n">
        <x:v>0</x:v>
      </x:c>
      <x:c r="H745" s="18" t="n">
        <x:v>0</x:v>
      </x:c>
      <x:c r="I745" s="18" t="n">
        <x:v>0</x:v>
      </x:c>
      <x:c r="J745" t="n">
        <x:f>IF(A745=A744,IFERROR(IF(B745=EDATE(B744,1),C744,0),0),0)</x:f>
        <x:v>1</x:v>
      </x:c>
      <x:c r="K745" t="n">
        <x:f>IF(AND(J745=1,C745=0),1,0)</x:f>
        <x:v>1</x:v>
      </x:c>
      <x:c r="L745" t="str">
        <x:f>IFERROR(INDEX(Customers!$C$2:$C$451,MATCH(A745,Customers!$A$2:$A$451,0)),"Unknown")</x:f>
        <x:v>Premium</x:v>
      </x:c>
    </x:row>
    <x:row r="746">
      <x:c r="A746" t="n">
        <x:v>135</x:v>
      </x:c>
      <x:c r="B746" s="16" t="n">
        <x:v>46113</x:v>
      </x:c>
      <x:c r="C746" t="n">
        <x:v>1</x:v>
      </x:c>
      <x:c r="D746" t="n">
        <x:v>25</x:v>
      </x:c>
      <x:c r="E746" s="18" t="n">
        <x:v>2184.88</x:v>
      </x:c>
      <x:c r="F746" s="18" t="n">
        <x:v>34</x:v>
      </x:c>
      <x:c r="G746" s="18" t="n">
        <x:v>9.83</x:v>
      </x:c>
      <x:c r="H746" s="18" t="n">
        <x:v>8.17</x:v>
      </x:c>
      <x:c r="I746" s="18" t="n">
        <x:v>52</x:v>
      </x:c>
      <x:c r="J746" t="n">
        <x:f>IF(A746=A745,IFERROR(IF(B746=EDATE(B745,1),C745,0),0),0)</x:f>
        <x:v>0</x:v>
      </x:c>
      <x:c r="K746" t="n">
        <x:f>IF(AND(J746=1,C746=0),1,0)</x:f>
        <x:v>0</x:v>
      </x:c>
      <x:c r="L746" t="str">
        <x:f>IFERROR(INDEX(Customers!$C$2:$C$451,MATCH(A746,Customers!$A$2:$A$451,0)),"Unknown")</x:f>
        <x:v>Metal</x:v>
      </x:c>
    </x:row>
    <x:row r="747">
      <x:c r="A747" t="n">
        <x:v>135</x:v>
      </x:c>
      <x:c r="B747" s="16" t="n">
        <x:v>46143</x:v>
      </x:c>
      <x:c r="C747" t="n">
        <x:v>1</x:v>
      </x:c>
      <x:c r="D747" t="n">
        <x:v>35</x:v>
      </x:c>
      <x:c r="E747" s="18" t="n">
        <x:v>2594.6</x:v>
      </x:c>
      <x:c r="F747" s="18" t="n">
        <x:v>34</x:v>
      </x:c>
      <x:c r="G747" s="18" t="n">
        <x:v>11.68</x:v>
      </x:c>
      <x:c r="H747" s="18" t="n">
        <x:v>5.36</x:v>
      </x:c>
      <x:c r="I747" s="18" t="n">
        <x:v>51.04</x:v>
      </x:c>
      <x:c r="J747" t="n">
        <x:f>IF(A747=A746,IFERROR(IF(B747=EDATE(B746,1),C746,0),0),0)</x:f>
        <x:v>1</x:v>
      </x:c>
      <x:c r="K747" t="n">
        <x:f>IF(AND(J747=1,C747=0),1,0)</x:f>
        <x:v>0</x:v>
      </x:c>
      <x:c r="L747" t="str">
        <x:f>IFERROR(INDEX(Customers!$C$2:$C$451,MATCH(A747,Customers!$A$2:$A$451,0)),"Unknown")</x:f>
        <x:v>Metal</x:v>
      </x:c>
    </x:row>
    <x:row r="748">
      <x:c r="A748" t="n">
        <x:v>135</x:v>
      </x:c>
      <x:c r="B748" s="16" t="n">
        <x:v>46174</x:v>
      </x:c>
      <x:c r="C748" t="n">
        <x:v>1</x:v>
      </x:c>
      <x:c r="D748" t="n">
        <x:v>11</x:v>
      </x:c>
      <x:c r="E748" s="18" t="n">
        <x:v>1123.77</x:v>
      </x:c>
      <x:c r="F748" s="18" t="n">
        <x:v>34</x:v>
      </x:c>
      <x:c r="G748" s="18" t="n">
        <x:v>5.06</x:v>
      </x:c>
      <x:c r="H748" s="18" t="n">
        <x:v>3.2</x:v>
      </x:c>
      <x:c r="I748" s="18" t="n">
        <x:v>42.26</x:v>
      </x:c>
      <x:c r="J748" t="n">
        <x:f>IF(A748=A747,IFERROR(IF(B748=EDATE(B747,1),C747,0),0),0)</x:f>
        <x:v>1</x:v>
      </x:c>
      <x:c r="K748" t="n">
        <x:f>IF(AND(J748=1,C748=0),1,0)</x:f>
        <x:v>0</x:v>
      </x:c>
      <x:c r="L748" t="str">
        <x:f>IFERROR(INDEX(Customers!$C$2:$C$451,MATCH(A748,Customers!$A$2:$A$451,0)),"Unknown")</x:f>
        <x:v>Metal</x:v>
      </x:c>
    </x:row>
    <x:row r="749">
      <x:c r="A749" t="n">
        <x:v>135</x:v>
      </x:c>
      <x:c r="B749" s="16" t="n">
        <x:v>46204</x:v>
      </x:c>
      <x:c r="C749" t="n">
        <x:v>1</x:v>
      </x:c>
      <x:c r="D749" t="n">
        <x:v>32</x:v>
      </x:c>
      <x:c r="E749" s="18" t="n">
        <x:v>3298.08</x:v>
      </x:c>
      <x:c r="F749" s="18" t="n">
        <x:v>34</x:v>
      </x:c>
      <x:c r="G749" s="18" t="n">
        <x:v>14.84</x:v>
      </x:c>
      <x:c r="H749" s="18" t="n">
        <x:v>7.73</x:v>
      </x:c>
      <x:c r="I749" s="18" t="n">
        <x:v>56.57</x:v>
      </x:c>
      <x:c r="J749" t="n">
        <x:f>IF(A749=A748,IFERROR(IF(B749=EDATE(B748,1),C748,0),0),0)</x:f>
        <x:v>1</x:v>
      </x:c>
      <x:c r="K749" t="n">
        <x:f>IF(AND(J749=1,C749=0),1,0)</x:f>
        <x:v>0</x:v>
      </x:c>
      <x:c r="L749" t="str">
        <x:f>IFERROR(INDEX(Customers!$C$2:$C$451,MATCH(A749,Customers!$A$2:$A$451,0)),"Unknown")</x:f>
        <x:v>Metal</x:v>
      </x:c>
    </x:row>
    <x:row r="750">
      <x:c r="A750" t="n">
        <x:v>135</x:v>
      </x:c>
      <x:c r="B750" s="16" t="n">
        <x:v>46235</x:v>
      </x:c>
      <x:c r="C750" t="n">
        <x:v>0</x:v>
      </x:c>
      <x:c r="D750" t="n">
        <x:v>0</x:v>
      </x:c>
      <x:c r="E750" s="18" t="n">
        <x:v>0</x:v>
      </x:c>
      <x:c r="F750" s="18" t="n">
        <x:v>0</x:v>
      </x:c>
      <x:c r="G750" s="18" t="n">
        <x:v>0</x:v>
      </x:c>
      <x:c r="H750" s="18" t="n">
        <x:v>0</x:v>
      </x:c>
      <x:c r="I750" s="18" t="n">
        <x:v>0</x:v>
      </x:c>
      <x:c r="J750" t="n">
        <x:f>IF(A750=A749,IFERROR(IF(B750=EDATE(B749,1),C749,0),0),0)</x:f>
        <x:v>1</x:v>
      </x:c>
      <x:c r="K750" t="n">
        <x:f>IF(AND(J750=1,C750=0),1,0)</x:f>
        <x:v>1</x:v>
      </x:c>
      <x:c r="L750" t="str">
        <x:f>IFERROR(INDEX(Customers!$C$2:$C$451,MATCH(A750,Customers!$A$2:$A$451,0)),"Unknown")</x:f>
        <x:v>Metal</x:v>
      </x:c>
    </x:row>
    <x:row r="751">
      <x:c r="A751" t="n">
        <x:v>135</x:v>
      </x:c>
      <x:c r="B751" s="16" t="n">
        <x:v>46266</x:v>
      </x:c>
      <x:c r="C751" t="n">
        <x:v>1</x:v>
      </x:c>
      <x:c r="D751" t="n">
        <x:v>9</x:v>
      </x:c>
      <x:c r="E751" s="18" t="n">
        <x:v>949.1</x:v>
      </x:c>
      <x:c r="F751" s="18" t="n">
        <x:v>34</x:v>
      </x:c>
      <x:c r="G751" s="18" t="n">
        <x:v>4.27</x:v>
      </x:c>
      <x:c r="H751" s="18" t="n">
        <x:v>3.59</x:v>
      </x:c>
      <x:c r="I751" s="18" t="n">
        <x:v>41.86</x:v>
      </x:c>
      <x:c r="J751" t="n">
        <x:f>IF(A751=A750,IFERROR(IF(B751=EDATE(B750,1),C750,0),0),0)</x:f>
        <x:v>0</x:v>
      </x:c>
      <x:c r="K751" t="n">
        <x:f>IF(AND(J751=1,C751=0),1,0)</x:f>
        <x:v>0</x:v>
      </x:c>
      <x:c r="L751" t="str">
        <x:f>IFERROR(INDEX(Customers!$C$2:$C$451,MATCH(A751,Customers!$A$2:$A$451,0)),"Unknown")</x:f>
        <x:v>Metal</x:v>
      </x:c>
    </x:row>
    <x:row r="752">
      <x:c r="A752" t="n">
        <x:v>136</x:v>
      </x:c>
      <x:c r="B752" s="16" t="n">
        <x:v>46143</x:v>
      </x:c>
      <x:c r="C752" t="n">
        <x:v>1</x:v>
      </x:c>
      <x:c r="D752" t="n">
        <x:v>29</x:v>
      </x:c>
      <x:c r="E752" s="18" t="n">
        <x:v>3923.42</x:v>
      </x:c>
      <x:c r="F752" s="18" t="n">
        <x:v>17</x:v>
      </x:c>
      <x:c r="G752" s="18" t="n">
        <x:v>17.66</x:v>
      </x:c>
      <x:c r="H752" s="18" t="n">
        <x:v>13.27</x:v>
      </x:c>
      <x:c r="I752" s="18" t="n">
        <x:v>47.93</x:v>
      </x:c>
      <x:c r="J752" t="n">
        <x:f>IF(A752=A751,IFERROR(IF(B752=EDATE(B751,1),C751,0),0),0)</x:f>
        <x:v>0</x:v>
      </x:c>
      <x:c r="K752" t="n">
        <x:f>IF(AND(J752=1,C752=0),1,0)</x:f>
        <x:v>0</x:v>
      </x:c>
      <x:c r="L752" t="str">
        <x:f>IFERROR(INDEX(Customers!$C$2:$C$451,MATCH(A752,Customers!$A$2:$A$451,0)),"Unknown")</x:f>
        <x:v>Premium</x:v>
      </x:c>
    </x:row>
    <x:row r="753">
      <x:c r="A753" t="n">
        <x:v>136</x:v>
      </x:c>
      <x:c r="B753" s="16" t="n">
        <x:v>46174</x:v>
      </x:c>
      <x:c r="C753" t="n">
        <x:v>1</x:v>
      </x:c>
      <x:c r="D753" t="n">
        <x:v>13</x:v>
      </x:c>
      <x:c r="E753" s="18" t="n">
        <x:v>649.34</x:v>
      </x:c>
      <x:c r="F753" s="18" t="n">
        <x:v>17</x:v>
      </x:c>
      <x:c r="G753" s="18" t="n">
        <x:v>2.92</x:v>
      </x:c>
      <x:c r="H753" s="18" t="n">
        <x:v>0.85</x:v>
      </x:c>
      <x:c r="I753" s="18" t="n">
        <x:v>20.77</x:v>
      </x:c>
      <x:c r="J753" t="n">
        <x:f>IF(A753=A752,IFERROR(IF(B753=EDATE(B752,1),C752,0),0),0)</x:f>
        <x:v>1</x:v>
      </x:c>
      <x:c r="K753" t="n">
        <x:f>IF(AND(J753=1,C753=0),1,0)</x:f>
        <x:v>0</x:v>
      </x:c>
      <x:c r="L753" t="str">
        <x:f>IFERROR(INDEX(Customers!$C$2:$C$451,MATCH(A753,Customers!$A$2:$A$451,0)),"Unknown")</x:f>
        <x:v>Premium</x:v>
      </x:c>
    </x:row>
    <x:row r="754">
      <x:c r="A754" t="n">
        <x:v>136</x:v>
      </x:c>
      <x:c r="B754" s="16" t="n">
        <x:v>46204</x:v>
      </x:c>
      <x:c r="C754" t="n">
        <x:v>1</x:v>
      </x:c>
      <x:c r="D754" t="n">
        <x:v>11</x:v>
      </x:c>
      <x:c r="E754" s="18" t="n">
        <x:v>947.52</x:v>
      </x:c>
      <x:c r="F754" s="18" t="n">
        <x:v>17</x:v>
      </x:c>
      <x:c r="G754" s="18" t="n">
        <x:v>4.26</x:v>
      </x:c>
      <x:c r="H754" s="18" t="n">
        <x:v>3.32</x:v>
      </x:c>
      <x:c r="I754" s="18" t="n">
        <x:v>24.58</x:v>
      </x:c>
      <x:c r="J754" t="n">
        <x:f>IF(A754=A753,IFERROR(IF(B754=EDATE(B753,1),C753,0),0),0)</x:f>
        <x:v>1</x:v>
      </x:c>
      <x:c r="K754" t="n">
        <x:f>IF(AND(J754=1,C754=0),1,0)</x:f>
        <x:v>0</x:v>
      </x:c>
      <x:c r="L754" t="str">
        <x:f>IFERROR(INDEX(Customers!$C$2:$C$451,MATCH(A754,Customers!$A$2:$A$451,0)),"Unknown")</x:f>
        <x:v>Premium</x:v>
      </x:c>
    </x:row>
    <x:row r="755">
      <x:c r="A755" t="n">
        <x:v>136</x:v>
      </x:c>
      <x:c r="B755" s="16" t="n">
        <x:v>46235</x:v>
      </x:c>
      <x:c r="C755" t="n">
        <x:v>1</x:v>
      </x:c>
      <x:c r="D755" t="n">
        <x:v>8</x:v>
      </x:c>
      <x:c r="E755" s="18" t="n">
        <x:v>1016.86</x:v>
      </x:c>
      <x:c r="F755" s="18" t="n">
        <x:v>17</x:v>
      </x:c>
      <x:c r="G755" s="18" t="n">
        <x:v>4.58</x:v>
      </x:c>
      <x:c r="H755" s="18" t="n">
        <x:v>2.52</x:v>
      </x:c>
      <x:c r="I755" s="18" t="n">
        <x:v>24.1</x:v>
      </x:c>
      <x:c r="J755" t="n">
        <x:f>IF(A755=A754,IFERROR(IF(B755=EDATE(B754,1),C754,0),0),0)</x:f>
        <x:v>1</x:v>
      </x:c>
      <x:c r="K755" t="n">
        <x:f>IF(AND(J755=1,C755=0),1,0)</x:f>
        <x:v>0</x:v>
      </x:c>
      <x:c r="L755" t="str">
        <x:f>IFERROR(INDEX(Customers!$C$2:$C$451,MATCH(A755,Customers!$A$2:$A$451,0)),"Unknown")</x:f>
        <x:v>Premium</x:v>
      </x:c>
    </x:row>
    <x:row r="756">
      <x:c r="A756" t="n">
        <x:v>136</x:v>
      </x:c>
      <x:c r="B756" s="16" t="n">
        <x:v>46266</x:v>
      </x:c>
      <x:c r="C756" t="n">
        <x:v>1</x:v>
      </x:c>
      <x:c r="D756" t="n">
        <x:v>32</x:v>
      </x:c>
      <x:c r="E756" s="18" t="n">
        <x:v>1237.93</x:v>
      </x:c>
      <x:c r="F756" s="18" t="n">
        <x:v>17</x:v>
      </x:c>
      <x:c r="G756" s="18" t="n">
        <x:v>5.57</x:v>
      </x:c>
      <x:c r="H756" s="18" t="n">
        <x:v>4.6</x:v>
      </x:c>
      <x:c r="I756" s="18" t="n">
        <x:v>27.17</x:v>
      </x:c>
      <x:c r="J756" t="n">
        <x:f>IF(A756=A755,IFERROR(IF(B756=EDATE(B755,1),C755,0),0),0)</x:f>
        <x:v>1</x:v>
      </x:c>
      <x:c r="K756" t="n">
        <x:f>IF(AND(J756=1,C756=0),1,0)</x:f>
        <x:v>0</x:v>
      </x:c>
      <x:c r="L756" t="str">
        <x:f>IFERROR(INDEX(Customers!$C$2:$C$451,MATCH(A756,Customers!$A$2:$A$451,0)),"Unknown")</x:f>
        <x:v>Premium</x:v>
      </x:c>
    </x:row>
    <x:row r="757">
      <x:c r="A757" t="n">
        <x:v>137</x:v>
      </x:c>
      <x:c r="B757" s="16" t="n">
        <x:v>46174</x:v>
      </x:c>
      <x:c r="C757" t="n">
        <x:v>1</x:v>
      </x:c>
      <x:c r="D757" t="n">
        <x:v>4</x:v>
      </x:c>
      <x:c r="E757" s="18" t="n">
        <x:v>440.1</x:v>
      </x:c>
      <x:c r="F757" s="18" t="n">
        <x:v>8</x:v>
      </x:c>
      <x:c r="G757" s="18" t="n">
        <x:v>1.98</x:v>
      </x:c>
      <x:c r="H757" s="18" t="n">
        <x:v>0.53</x:v>
      </x:c>
      <x:c r="I757" s="18" t="n">
        <x:v>10.51</x:v>
      </x:c>
      <x:c r="J757" t="n">
        <x:f>IF(A757=A756,IFERROR(IF(B757=EDATE(B756,1),C756,0),0),0)</x:f>
        <x:v>0</x:v>
      </x:c>
      <x:c r="K757" t="n">
        <x:f>IF(AND(J757=1,C757=0),1,0)</x:f>
        <x:v>0</x:v>
      </x:c>
      <x:c r="L757" t="str">
        <x:f>IFERROR(INDEX(Customers!$C$2:$C$451,MATCH(A757,Customers!$A$2:$A$451,0)),"Unknown")</x:f>
        <x:v>Plus</x:v>
      </x:c>
    </x:row>
    <x:row r="758">
      <x:c r="A758" t="n">
        <x:v>137</x:v>
      </x:c>
      <x:c r="B758" s="16" t="n">
        <x:v>46204</x:v>
      </x:c>
      <x:c r="C758" t="n">
        <x:v>0</x:v>
      </x:c>
      <x:c r="D758" t="n">
        <x:v>0</x:v>
      </x:c>
      <x:c r="E758" s="18" t="n">
        <x:v>0</x:v>
      </x:c>
      <x:c r="F758" s="18" t="n">
        <x:v>0</x:v>
      </x:c>
      <x:c r="G758" s="18" t="n">
        <x:v>0</x:v>
      </x:c>
      <x:c r="H758" s="18" t="n">
        <x:v>0</x:v>
      </x:c>
      <x:c r="I758" s="18" t="n">
        <x:v>0</x:v>
      </x:c>
      <x:c r="J758" t="n">
        <x:f>IF(A758=A757,IFERROR(IF(B758=EDATE(B757,1),C757,0),0),0)</x:f>
        <x:v>1</x:v>
      </x:c>
      <x:c r="K758" t="n">
        <x:f>IF(AND(J758=1,C758=0),1,0)</x:f>
        <x:v>1</x:v>
      </x:c>
      <x:c r="L758" t="str">
        <x:f>IFERROR(INDEX(Customers!$C$2:$C$451,MATCH(A758,Customers!$A$2:$A$451,0)),"Unknown")</x:f>
        <x:v>Plus</x:v>
      </x:c>
    </x:row>
    <x:row r="759">
      <x:c r="A759" t="n">
        <x:v>137</x:v>
      </x:c>
      <x:c r="B759" s="16" t="n">
        <x:v>46235</x:v>
      </x:c>
      <x:c r="C759" t="n">
        <x:v>1</x:v>
      </x:c>
      <x:c r="D759" t="n">
        <x:v>7</x:v>
      </x:c>
      <x:c r="E759" s="18" t="n">
        <x:v>893.72</x:v>
      </x:c>
      <x:c r="F759" s="18" t="n">
        <x:v>8</x:v>
      </x:c>
      <x:c r="G759" s="18" t="n">
        <x:v>4.02</x:v>
      </x:c>
      <x:c r="H759" s="18" t="n">
        <x:v>2.73</x:v>
      </x:c>
      <x:c r="I759" s="18" t="n">
        <x:v>14.75</x:v>
      </x:c>
      <x:c r="J759" t="n">
        <x:f>IF(A759=A758,IFERROR(IF(B759=EDATE(B758,1),C758,0),0),0)</x:f>
        <x:v>0</x:v>
      </x:c>
      <x:c r="K759" t="n">
        <x:f>IF(AND(J759=1,C759=0),1,0)</x:f>
        <x:v>0</x:v>
      </x:c>
      <x:c r="L759" t="str">
        <x:f>IFERROR(INDEX(Customers!$C$2:$C$451,MATCH(A759,Customers!$A$2:$A$451,0)),"Unknown")</x:f>
        <x:v>Plus</x:v>
      </x:c>
    </x:row>
    <x:row r="760">
      <x:c r="A760" t="n">
        <x:v>137</x:v>
      </x:c>
      <x:c r="B760" s="16" t="n">
        <x:v>46266</x:v>
      </x:c>
      <x:c r="C760" t="n">
        <x:v>1</x:v>
      </x:c>
      <x:c r="D760" t="n">
        <x:v>20</x:v>
      </x:c>
      <x:c r="E760" s="18" t="n">
        <x:v>920.73</x:v>
      </x:c>
      <x:c r="F760" s="18" t="n">
        <x:v>8</x:v>
      </x:c>
      <x:c r="G760" s="18" t="n">
        <x:v>4.14</x:v>
      </x:c>
      <x:c r="H760" s="18" t="n">
        <x:v>1.43</x:v>
      </x:c>
      <x:c r="I760" s="18" t="n">
        <x:v>13.57</x:v>
      </x:c>
      <x:c r="J760" t="n">
        <x:f>IF(A760=A759,IFERROR(IF(B760=EDATE(B759,1),C759,0),0),0)</x:f>
        <x:v>1</x:v>
      </x:c>
      <x:c r="K760" t="n">
        <x:f>IF(AND(J760=1,C760=0),1,0)</x:f>
        <x:v>0</x:v>
      </x:c>
      <x:c r="L760" t="str">
        <x:f>IFERROR(INDEX(Customers!$C$2:$C$451,MATCH(A760,Customers!$A$2:$A$451,0)),"Unknown")</x:f>
        <x:v>Plus</x:v>
      </x:c>
    </x:row>
    <x:row r="761">
      <x:c r="A761" t="n">
        <x:v>138</x:v>
      </x:c>
      <x:c r="B761" s="16" t="n">
        <x:v>46143</x:v>
      </x:c>
      <x:c r="C761" t="n">
        <x:v>1</x:v>
      </x:c>
      <x:c r="D761" t="n">
        <x:v>31</x:v>
      </x:c>
      <x:c r="E761" s="18" t="n">
        <x:v>3866.36</x:v>
      </x:c>
      <x:c r="F761" s="18" t="n">
        <x:v>34</x:v>
      </x:c>
      <x:c r="G761" s="18" t="n">
        <x:v>17.4</x:v>
      </x:c>
      <x:c r="H761" s="18" t="n">
        <x:v>5.34</x:v>
      </x:c>
      <x:c r="I761" s="18" t="n">
        <x:v>56.74</x:v>
      </x:c>
      <x:c r="J761" t="n">
        <x:f>IF(A761=A760,IFERROR(IF(B761=EDATE(B760,1),C760,0),0),0)</x:f>
        <x:v>0</x:v>
      </x:c>
      <x:c r="K761" t="n">
        <x:f>IF(AND(J761=1,C761=0),1,0)</x:f>
        <x:v>0</x:v>
      </x:c>
      <x:c r="L761" t="str">
        <x:f>IFERROR(INDEX(Customers!$C$2:$C$451,MATCH(A761,Customers!$A$2:$A$451,0)),"Unknown")</x:f>
        <x:v>Metal</x:v>
      </x:c>
    </x:row>
    <x:row r="762">
      <x:c r="A762" t="n">
        <x:v>138</x:v>
      </x:c>
      <x:c r="B762" s="16" t="n">
        <x:v>46174</x:v>
      </x:c>
      <x:c r="C762" t="n">
        <x:v>1</x:v>
      </x:c>
      <x:c r="D762" t="n">
        <x:v>27</x:v>
      </x:c>
      <x:c r="E762" s="18" t="n">
        <x:v>1553.91</x:v>
      </x:c>
      <x:c r="F762" s="18" t="n">
        <x:v>34</x:v>
      </x:c>
      <x:c r="G762" s="18" t="n">
        <x:v>6.99</x:v>
      </x:c>
      <x:c r="H762" s="18" t="n">
        <x:v>4.46</x:v>
      </x:c>
      <x:c r="I762" s="18" t="n">
        <x:v>45.45</x:v>
      </x:c>
      <x:c r="J762" t="n">
        <x:f>IF(A762=A761,IFERROR(IF(B762=EDATE(B761,1),C761,0),0),0)</x:f>
        <x:v>1</x:v>
      </x:c>
      <x:c r="K762" t="n">
        <x:f>IF(AND(J762=1,C762=0),1,0)</x:f>
        <x:v>0</x:v>
      </x:c>
      <x:c r="L762" t="str">
        <x:f>IFERROR(INDEX(Customers!$C$2:$C$451,MATCH(A762,Customers!$A$2:$A$451,0)),"Unknown")</x:f>
        <x:v>Metal</x:v>
      </x:c>
    </x:row>
    <x:row r="763">
      <x:c r="A763" t="n">
        <x:v>138</x:v>
      </x:c>
      <x:c r="B763" s="16" t="n">
        <x:v>46204</x:v>
      </x:c>
      <x:c r="C763" t="n">
        <x:v>1</x:v>
      </x:c>
      <x:c r="D763" t="n">
        <x:v>19</x:v>
      </x:c>
      <x:c r="E763" s="18" t="n">
        <x:v>2358.51</x:v>
      </x:c>
      <x:c r="F763" s="18" t="n">
        <x:v>34</x:v>
      </x:c>
      <x:c r="G763" s="18" t="n">
        <x:v>10.61</x:v>
      </x:c>
      <x:c r="H763" s="18" t="n">
        <x:v>1.91</x:v>
      </x:c>
      <x:c r="I763" s="18" t="n">
        <x:v>46.52</x:v>
      </x:c>
      <x:c r="J763" t="n">
        <x:f>IF(A763=A762,IFERROR(IF(B763=EDATE(B762,1),C762,0),0),0)</x:f>
        <x:v>1</x:v>
      </x:c>
      <x:c r="K763" t="n">
        <x:f>IF(AND(J763=1,C763=0),1,0)</x:f>
        <x:v>0</x:v>
      </x:c>
      <x:c r="L763" t="str">
        <x:f>IFERROR(INDEX(Customers!$C$2:$C$451,MATCH(A763,Customers!$A$2:$A$451,0)),"Unknown")</x:f>
        <x:v>Metal</x:v>
      </x:c>
    </x:row>
    <x:row r="764">
      <x:c r="A764" t="n">
        <x:v>138</x:v>
      </x:c>
      <x:c r="B764" s="16" t="n">
        <x:v>46235</x:v>
      </x:c>
      <x:c r="C764" t="n">
        <x:v>1</x:v>
      </x:c>
      <x:c r="D764" t="n">
        <x:v>14</x:v>
      </x:c>
      <x:c r="E764" s="18" t="n">
        <x:v>1105.31</x:v>
      </x:c>
      <x:c r="F764" s="18" t="n">
        <x:v>34</x:v>
      </x:c>
      <x:c r="G764" s="18" t="n">
        <x:v>4.97</x:v>
      </x:c>
      <x:c r="H764" s="18" t="n">
        <x:v>1.84</x:v>
      </x:c>
      <x:c r="I764" s="18" t="n">
        <x:v>40.81</x:v>
      </x:c>
      <x:c r="J764" t="n">
        <x:f>IF(A764=A763,IFERROR(IF(B764=EDATE(B763,1),C763,0),0),0)</x:f>
        <x:v>1</x:v>
      </x:c>
      <x:c r="K764" t="n">
        <x:f>IF(AND(J764=1,C764=0),1,0)</x:f>
        <x:v>0</x:v>
      </x:c>
      <x:c r="L764" t="str">
        <x:f>IFERROR(INDEX(Customers!$C$2:$C$451,MATCH(A764,Customers!$A$2:$A$451,0)),"Unknown")</x:f>
        <x:v>Metal</x:v>
      </x:c>
    </x:row>
    <x:row r="765">
      <x:c r="A765" t="n">
        <x:v>138</x:v>
      </x:c>
      <x:c r="B765" s="16" t="n">
        <x:v>46266</x:v>
      </x:c>
      <x:c r="C765" t="n">
        <x:v>1</x:v>
      </x:c>
      <x:c r="D765" t="n">
        <x:v>8</x:v>
      </x:c>
      <x:c r="E765" s="18" t="n">
        <x:v>1035.33</x:v>
      </x:c>
      <x:c r="F765" s="18" t="n">
        <x:v>34</x:v>
      </x:c>
      <x:c r="G765" s="18" t="n">
        <x:v>4.66</x:v>
      </x:c>
      <x:c r="H765" s="18" t="n">
        <x:v>3.53</x:v>
      </x:c>
      <x:c r="I765" s="18" t="n">
        <x:v>42.19</x:v>
      </x:c>
      <x:c r="J765" t="n">
        <x:f>IF(A765=A764,IFERROR(IF(B765=EDATE(B764,1),C764,0),0),0)</x:f>
        <x:v>1</x:v>
      </x:c>
      <x:c r="K765" t="n">
        <x:f>IF(AND(J765=1,C765=0),1,0)</x:f>
        <x:v>0</x:v>
      </x:c>
      <x:c r="L765" t="str">
        <x:f>IFERROR(INDEX(Customers!$C$2:$C$451,MATCH(A765,Customers!$A$2:$A$451,0)),"Unknown")</x:f>
        <x:v>Metal</x:v>
      </x:c>
    </x:row>
    <x:row r="766">
      <x:c r="A766" t="n">
        <x:v>139</x:v>
      </x:c>
      <x:c r="B766" s="16" t="n">
        <x:v>46113</x:v>
      </x:c>
      <x:c r="C766" t="n">
        <x:v>1</x:v>
      </x:c>
      <x:c r="D766" t="n">
        <x:v>17</x:v>
      </x:c>
      <x:c r="E766" s="18" t="n">
        <x:v>606.41</x:v>
      </x:c>
      <x:c r="F766" s="18" t="n">
        <x:v>0</x:v>
      </x:c>
      <x:c r="G766" s="18" t="n">
        <x:v>2.73</x:v>
      </x:c>
      <x:c r="H766" s="18" t="n">
        <x:v>1.9</x:v>
      </x:c>
      <x:c r="I766" s="18" t="n">
        <x:v>4.63</x:v>
      </x:c>
      <x:c r="J766" t="n">
        <x:f>IF(A766=A765,IFERROR(IF(B766=EDATE(B765,1),C765,0),0),0)</x:f>
        <x:v>0</x:v>
      </x:c>
      <x:c r="K766" t="n">
        <x:f>IF(AND(J766=1,C766=0),1,0)</x:f>
        <x:v>0</x:v>
      </x:c>
      <x:c r="L766" t="str">
        <x:f>IFERROR(INDEX(Customers!$C$2:$C$451,MATCH(A766,Customers!$A$2:$A$451,0)),"Unknown")</x:f>
        <x:v>Standard</x:v>
      </x:c>
    </x:row>
    <x:row r="767">
      <x:c r="A767" t="n">
        <x:v>139</x:v>
      </x:c>
      <x:c r="B767" s="16" t="n">
        <x:v>46143</x:v>
      </x:c>
      <x:c r="C767" t="n">
        <x:v>1</x:v>
      </x:c>
      <x:c r="D767" t="n">
        <x:v>36</x:v>
      </x:c>
      <x:c r="E767" s="18" t="n">
        <x:v>3033.39</x:v>
      </x:c>
      <x:c r="F767" s="18" t="n">
        <x:v>0</x:v>
      </x:c>
      <x:c r="G767" s="18" t="n">
        <x:v>13.65</x:v>
      </x:c>
      <x:c r="H767" s="18" t="n">
        <x:v>3.32</x:v>
      </x:c>
      <x:c r="I767" s="18" t="n">
        <x:v>16.97</x:v>
      </x:c>
      <x:c r="J767" t="n">
        <x:f>IF(A767=A766,IFERROR(IF(B767=EDATE(B766,1),C766,0),0),0)</x:f>
        <x:v>1</x:v>
      </x:c>
      <x:c r="K767" t="n">
        <x:f>IF(AND(J767=1,C767=0),1,0)</x:f>
        <x:v>0</x:v>
      </x:c>
      <x:c r="L767" t="str">
        <x:f>IFERROR(INDEX(Customers!$C$2:$C$451,MATCH(A767,Customers!$A$2:$A$451,0)),"Unknown")</x:f>
        <x:v>Standard</x:v>
      </x:c>
    </x:row>
    <x:row r="768">
      <x:c r="A768" t="n">
        <x:v>139</x:v>
      </x:c>
      <x:c r="B768" s="16" t="n">
        <x:v>46174</x:v>
      </x:c>
      <x:c r="C768" t="n">
        <x:v>1</x:v>
      </x:c>
      <x:c r="D768" t="n">
        <x:v>33</x:v>
      </x:c>
      <x:c r="E768" s="18" t="n">
        <x:v>4474.66</x:v>
      </x:c>
      <x:c r="F768" s="18" t="n">
        <x:v>0</x:v>
      </x:c>
      <x:c r="G768" s="18" t="n">
        <x:v>20.14</x:v>
      </x:c>
      <x:c r="H768" s="18" t="n">
        <x:v>7.94</x:v>
      </x:c>
      <x:c r="I768" s="18" t="n">
        <x:v>28.08</x:v>
      </x:c>
      <x:c r="J768" t="n">
        <x:f>IF(A768=A767,IFERROR(IF(B768=EDATE(B767,1),C767,0),0),0)</x:f>
        <x:v>1</x:v>
      </x:c>
      <x:c r="K768" t="n">
        <x:f>IF(AND(J768=1,C768=0),1,0)</x:f>
        <x:v>0</x:v>
      </x:c>
      <x:c r="L768" t="str">
        <x:f>IFERROR(INDEX(Customers!$C$2:$C$451,MATCH(A768,Customers!$A$2:$A$451,0)),"Unknown")</x:f>
        <x:v>Standard</x:v>
      </x:c>
    </x:row>
    <x:row r="769">
      <x:c r="A769" t="n">
        <x:v>139</x:v>
      </x:c>
      <x:c r="B769" s="16" t="n">
        <x:v>46204</x:v>
      </x:c>
      <x:c r="C769" t="n">
        <x:v>1</x:v>
      </x:c>
      <x:c r="D769" t="n">
        <x:v>10</x:v>
      </x:c>
      <x:c r="E769" s="18" t="n">
        <x:v>483.06</x:v>
      </x:c>
      <x:c r="F769" s="18" t="n">
        <x:v>0</x:v>
      </x:c>
      <x:c r="G769" s="18" t="n">
        <x:v>2.17</x:v>
      </x:c>
      <x:c r="H769" s="18" t="n">
        <x:v>1.46</x:v>
      </x:c>
      <x:c r="I769" s="18" t="n">
        <x:v>3.63</x:v>
      </x:c>
      <x:c r="J769" t="n">
        <x:f>IF(A769=A768,IFERROR(IF(B769=EDATE(B768,1),C768,0),0),0)</x:f>
        <x:v>1</x:v>
      </x:c>
      <x:c r="K769" t="n">
        <x:f>IF(AND(J769=1,C769=0),1,0)</x:f>
        <x:v>0</x:v>
      </x:c>
      <x:c r="L769" t="str">
        <x:f>IFERROR(INDEX(Customers!$C$2:$C$451,MATCH(A769,Customers!$A$2:$A$451,0)),"Unknown")</x:f>
        <x:v>Standard</x:v>
      </x:c>
    </x:row>
    <x:row r="770">
      <x:c r="A770" t="n">
        <x:v>139</x:v>
      </x:c>
      <x:c r="B770" s="16" t="n">
        <x:v>46235</x:v>
      </x:c>
      <x:c r="C770" t="n">
        <x:v>1</x:v>
      </x:c>
      <x:c r="D770" t="n">
        <x:v>9</x:v>
      </x:c>
      <x:c r="E770" s="18" t="n">
        <x:v>632.3</x:v>
      </x:c>
      <x:c r="F770" s="18" t="n">
        <x:v>0</x:v>
      </x:c>
      <x:c r="G770" s="18" t="n">
        <x:v>2.85</x:v>
      </x:c>
      <x:c r="H770" s="18" t="n">
        <x:v>1.53</x:v>
      </x:c>
      <x:c r="I770" s="18" t="n">
        <x:v>4.38</x:v>
      </x:c>
      <x:c r="J770" t="n">
        <x:f>IF(A770=A769,IFERROR(IF(B770=EDATE(B769,1),C769,0),0),0)</x:f>
        <x:v>1</x:v>
      </x:c>
      <x:c r="K770" t="n">
        <x:f>IF(AND(J770=1,C770=0),1,0)</x:f>
        <x:v>0</x:v>
      </x:c>
      <x:c r="L770" t="str">
        <x:f>IFERROR(INDEX(Customers!$C$2:$C$451,MATCH(A770,Customers!$A$2:$A$451,0)),"Unknown")</x:f>
        <x:v>Standard</x:v>
      </x:c>
    </x:row>
    <x:row r="771">
      <x:c r="A771" t="n">
        <x:v>139</x:v>
      </x:c>
      <x:c r="B771" s="16" t="n">
        <x:v>46266</x:v>
      </x:c>
      <x:c r="C771" t="n">
        <x:v>1</x:v>
      </x:c>
      <x:c r="D771" t="n">
        <x:v>6</x:v>
      </x:c>
      <x:c r="E771" s="18" t="n">
        <x:v>238.69</x:v>
      </x:c>
      <x:c r="F771" s="18" t="n">
        <x:v>0</x:v>
      </x:c>
      <x:c r="G771" s="18" t="n">
        <x:v>1.07</x:v>
      </x:c>
      <x:c r="H771" s="18" t="n">
        <x:v>0.36</x:v>
      </x:c>
      <x:c r="I771" s="18" t="n">
        <x:v>1.43</x:v>
      </x:c>
      <x:c r="J771" t="n">
        <x:f>IF(A771=A770,IFERROR(IF(B771=EDATE(B770,1),C770,0),0),0)</x:f>
        <x:v>1</x:v>
      </x:c>
      <x:c r="K771" t="n">
        <x:f>IF(AND(J771=1,C771=0),1,0)</x:f>
        <x:v>0</x:v>
      </x:c>
      <x:c r="L771" t="str">
        <x:f>IFERROR(INDEX(Customers!$C$2:$C$451,MATCH(A771,Customers!$A$2:$A$451,0)),"Unknown")</x:f>
        <x:v>Standard</x:v>
      </x:c>
    </x:row>
    <x:row r="772">
      <x:c r="A772" t="n">
        <x:v>140</x:v>
      </x:c>
      <x:c r="B772" s="16" t="n">
        <x:v>46143</x:v>
      </x:c>
      <x:c r="C772" t="n">
        <x:v>1</x:v>
      </x:c>
      <x:c r="D772" t="n">
        <x:v>10</x:v>
      </x:c>
      <x:c r="E772" s="18" t="n">
        <x:v>1073.35</x:v>
      </x:c>
      <x:c r="F772" s="18" t="n">
        <x:v>17</x:v>
      </x:c>
      <x:c r="G772" s="18" t="n">
        <x:v>4.83</x:v>
      </x:c>
      <x:c r="H772" s="18" t="n">
        <x:v>2.5</x:v>
      </x:c>
      <x:c r="I772" s="18" t="n">
        <x:v>24.33</x:v>
      </x:c>
      <x:c r="J772" t="n">
        <x:f>IF(A772=A771,IFERROR(IF(B772=EDATE(B771,1),C771,0),0),0)</x:f>
        <x:v>0</x:v>
      </x:c>
      <x:c r="K772" t="n">
        <x:f>IF(AND(J772=1,C772=0),1,0)</x:f>
        <x:v>0</x:v>
      </x:c>
      <x:c r="L772" t="str">
        <x:f>IFERROR(INDEX(Customers!$C$2:$C$451,MATCH(A772,Customers!$A$2:$A$451,0)),"Unknown")</x:f>
        <x:v>Premium</x:v>
      </x:c>
    </x:row>
    <x:row r="773">
      <x:c r="A773" t="n">
        <x:v>140</x:v>
      </x:c>
      <x:c r="B773" s="16" t="n">
        <x:v>46174</x:v>
      </x:c>
      <x:c r="C773" t="n">
        <x:v>1</x:v>
      </x:c>
      <x:c r="D773" t="n">
        <x:v>27</x:v>
      </x:c>
      <x:c r="E773" s="18" t="n">
        <x:v>3581.23</x:v>
      </x:c>
      <x:c r="F773" s="18" t="n">
        <x:v>17</x:v>
      </x:c>
      <x:c r="G773" s="18" t="n">
        <x:v>16.12</x:v>
      </x:c>
      <x:c r="H773" s="18" t="n">
        <x:v>11.64</x:v>
      </x:c>
      <x:c r="I773" s="18" t="n">
        <x:v>44.76</x:v>
      </x:c>
      <x:c r="J773" t="n">
        <x:f>IF(A773=A772,IFERROR(IF(B773=EDATE(B772,1),C772,0),0),0)</x:f>
        <x:v>1</x:v>
      </x:c>
      <x:c r="K773" t="n">
        <x:f>IF(AND(J773=1,C773=0),1,0)</x:f>
        <x:v>0</x:v>
      </x:c>
      <x:c r="L773" t="str">
        <x:f>IFERROR(INDEX(Customers!$C$2:$C$451,MATCH(A773,Customers!$A$2:$A$451,0)),"Unknown")</x:f>
        <x:v>Premium</x:v>
      </x:c>
    </x:row>
    <x:row r="774">
      <x:c r="A774" t="n">
        <x:v>140</x:v>
      </x:c>
      <x:c r="B774" s="16" t="n">
        <x:v>46204</x:v>
      </x:c>
      <x:c r="C774" t="n">
        <x:v>1</x:v>
      </x:c>
      <x:c r="D774" t="n">
        <x:v>20</x:v>
      </x:c>
      <x:c r="E774" s="18" t="n">
        <x:v>1819.28</x:v>
      </x:c>
      <x:c r="F774" s="18" t="n">
        <x:v>17</x:v>
      </x:c>
      <x:c r="G774" s="18" t="n">
        <x:v>8.19</x:v>
      </x:c>
      <x:c r="H774" s="18" t="n">
        <x:v>2.68</x:v>
      </x:c>
      <x:c r="I774" s="18" t="n">
        <x:v>27.87</x:v>
      </x:c>
      <x:c r="J774" t="n">
        <x:f>IF(A774=A773,IFERROR(IF(B774=EDATE(B773,1),C773,0),0),0)</x:f>
        <x:v>1</x:v>
      </x:c>
      <x:c r="K774" t="n">
        <x:f>IF(AND(J774=1,C774=0),1,0)</x:f>
        <x:v>0</x:v>
      </x:c>
      <x:c r="L774" t="str">
        <x:f>IFERROR(INDEX(Customers!$C$2:$C$451,MATCH(A774,Customers!$A$2:$A$451,0)),"Unknown")</x:f>
        <x:v>Premium</x:v>
      </x:c>
    </x:row>
    <x:row r="775">
      <x:c r="A775" t="n">
        <x:v>140</x:v>
      </x:c>
      <x:c r="B775" s="16" t="n">
        <x:v>46235</x:v>
      </x:c>
      <x:c r="C775" t="n">
        <x:v>1</x:v>
      </x:c>
      <x:c r="D775" t="n">
        <x:v>28</x:v>
      </x:c>
      <x:c r="E775" s="18" t="n">
        <x:v>3758.18</x:v>
      </x:c>
      <x:c r="F775" s="18" t="n">
        <x:v>17</x:v>
      </x:c>
      <x:c r="G775" s="18" t="n">
        <x:v>16.91</x:v>
      </x:c>
      <x:c r="H775" s="18" t="n">
        <x:v>3.85</x:v>
      </x:c>
      <x:c r="I775" s="18" t="n">
        <x:v>37.76</x:v>
      </x:c>
      <x:c r="J775" t="n">
        <x:f>IF(A775=A774,IFERROR(IF(B775=EDATE(B774,1),C774,0),0),0)</x:f>
        <x:v>1</x:v>
      </x:c>
      <x:c r="K775" t="n">
        <x:f>IF(AND(J775=1,C775=0),1,0)</x:f>
        <x:v>0</x:v>
      </x:c>
      <x:c r="L775" t="str">
        <x:f>IFERROR(INDEX(Customers!$C$2:$C$451,MATCH(A775,Customers!$A$2:$A$451,0)),"Unknown")</x:f>
        <x:v>Premium</x:v>
      </x:c>
    </x:row>
    <x:row r="776">
      <x:c r="A776" t="n">
        <x:v>140</x:v>
      </x:c>
      <x:c r="B776" s="16" t="n">
        <x:v>46266</x:v>
      </x:c>
      <x:c r="C776" t="n">
        <x:v>1</x:v>
      </x:c>
      <x:c r="D776" t="n">
        <x:v>32</x:v>
      </x:c>
      <x:c r="E776" s="18" t="n">
        <x:v>2431.24</x:v>
      </x:c>
      <x:c r="F776" s="18" t="n">
        <x:v>17</x:v>
      </x:c>
      <x:c r="G776" s="18" t="n">
        <x:v>10.94</x:v>
      </x:c>
      <x:c r="H776" s="18" t="n">
        <x:v>4.85</x:v>
      </x:c>
      <x:c r="I776" s="18" t="n">
        <x:v>32.79</x:v>
      </x:c>
      <x:c r="J776" t="n">
        <x:f>IF(A776=A775,IFERROR(IF(B776=EDATE(B775,1),C775,0),0),0)</x:f>
        <x:v>1</x:v>
      </x:c>
      <x:c r="K776" t="n">
        <x:f>IF(AND(J776=1,C776=0),1,0)</x:f>
        <x:v>0</x:v>
      </x:c>
      <x:c r="L776" t="str">
        <x:f>IFERROR(INDEX(Customers!$C$2:$C$451,MATCH(A776,Customers!$A$2:$A$451,0)),"Unknown")</x:f>
        <x:v>Premium</x:v>
      </x:c>
    </x:row>
    <x:row r="777">
      <x:c r="A777" t="n">
        <x:v>141</x:v>
      </x:c>
      <x:c r="B777" s="16" t="n">
        <x:v>46143</x:v>
      </x:c>
      <x:c r="C777" t="n">
        <x:v>1</x:v>
      </x:c>
      <x:c r="D777" t="n">
        <x:v>25</x:v>
      </x:c>
      <x:c r="E777" s="18" t="n">
        <x:v>1374</x:v>
      </x:c>
      <x:c r="F777" s="18" t="n">
        <x:v>0</x:v>
      </x:c>
      <x:c r="G777" s="18" t="n">
        <x:v>6.18</x:v>
      </x:c>
      <x:c r="H777" s="18" t="n">
        <x:v>2.91</x:v>
      </x:c>
      <x:c r="I777" s="18" t="n">
        <x:v>9.09</x:v>
      </x:c>
      <x:c r="J777" t="n">
        <x:f>IF(A777=A776,IFERROR(IF(B777=EDATE(B776,1),C776,0),0),0)</x:f>
        <x:v>0</x:v>
      </x:c>
      <x:c r="K777" t="n">
        <x:f>IF(AND(J777=1,C777=0),1,0)</x:f>
        <x:v>0</x:v>
      </x:c>
      <x:c r="L777" t="str">
        <x:f>IFERROR(INDEX(Customers!$C$2:$C$451,MATCH(A777,Customers!$A$2:$A$451,0)),"Unknown")</x:f>
        <x:v>Standard</x:v>
      </x:c>
    </x:row>
    <x:row r="778">
      <x:c r="A778" t="n">
        <x:v>141</x:v>
      </x:c>
      <x:c r="B778" s="16" t="n">
        <x:v>46174</x:v>
      </x:c>
      <x:c r="C778" t="n">
        <x:v>1</x:v>
      </x:c>
      <x:c r="D778" t="n">
        <x:v>8</x:v>
      </x:c>
      <x:c r="E778" s="18" t="n">
        <x:v>894.12</x:v>
      </x:c>
      <x:c r="F778" s="18" t="n">
        <x:v>0</x:v>
      </x:c>
      <x:c r="G778" s="18" t="n">
        <x:v>4.02</x:v>
      </x:c>
      <x:c r="H778" s="18" t="n">
        <x:v>2.25</x:v>
      </x:c>
      <x:c r="I778" s="18" t="n">
        <x:v>6.27</x:v>
      </x:c>
      <x:c r="J778" t="n">
        <x:f>IF(A778=A777,IFERROR(IF(B778=EDATE(B777,1),C777,0),0),0)</x:f>
        <x:v>1</x:v>
      </x:c>
      <x:c r="K778" t="n">
        <x:f>IF(AND(J778=1,C778=0),1,0)</x:f>
        <x:v>0</x:v>
      </x:c>
      <x:c r="L778" t="str">
        <x:f>IFERROR(INDEX(Customers!$C$2:$C$451,MATCH(A778,Customers!$A$2:$A$451,0)),"Unknown")</x:f>
        <x:v>Standard</x:v>
      </x:c>
    </x:row>
    <x:row r="779">
      <x:c r="A779" t="n">
        <x:v>141</x:v>
      </x:c>
      <x:c r="B779" s="16" t="n">
        <x:v>46204</x:v>
      </x:c>
      <x:c r="C779" t="n">
        <x:v>1</x:v>
      </x:c>
      <x:c r="D779" t="n">
        <x:v>21</x:v>
      </x:c>
      <x:c r="E779" s="18" t="n">
        <x:v>965.87</x:v>
      </x:c>
      <x:c r="F779" s="18" t="n">
        <x:v>0</x:v>
      </x:c>
      <x:c r="G779" s="18" t="n">
        <x:v>4.35</x:v>
      </x:c>
      <x:c r="H779" s="18" t="n">
        <x:v>1.64</x:v>
      </x:c>
      <x:c r="I779" s="18" t="n">
        <x:v>5.99</x:v>
      </x:c>
      <x:c r="J779" t="n">
        <x:f>IF(A779=A778,IFERROR(IF(B779=EDATE(B778,1),C778,0),0),0)</x:f>
        <x:v>1</x:v>
      </x:c>
      <x:c r="K779" t="n">
        <x:f>IF(AND(J779=1,C779=0),1,0)</x:f>
        <x:v>0</x:v>
      </x:c>
      <x:c r="L779" t="str">
        <x:f>IFERROR(INDEX(Customers!$C$2:$C$451,MATCH(A779,Customers!$A$2:$A$451,0)),"Unknown")</x:f>
        <x:v>Standard</x:v>
      </x:c>
    </x:row>
    <x:row r="780">
      <x:c r="A780" t="n">
        <x:v>141</x:v>
      </x:c>
      <x:c r="B780" s="16" t="n">
        <x:v>46235</x:v>
      </x:c>
      <x:c r="C780" t="n">
        <x:v>1</x:v>
      </x:c>
      <x:c r="D780" t="n">
        <x:v>16</x:v>
      </x:c>
      <x:c r="E780" s="18" t="n">
        <x:v>1372.58</x:v>
      </x:c>
      <x:c r="F780" s="18" t="n">
        <x:v>0</x:v>
      </x:c>
      <x:c r="G780" s="18" t="n">
        <x:v>6.18</x:v>
      </x:c>
      <x:c r="H780" s="18" t="n">
        <x:v>4.72</x:v>
      </x:c>
      <x:c r="I780" s="18" t="n">
        <x:v>10.9</x:v>
      </x:c>
      <x:c r="J780" t="n">
        <x:f>IF(A780=A779,IFERROR(IF(B780=EDATE(B779,1),C779,0),0),0)</x:f>
        <x:v>1</x:v>
      </x:c>
      <x:c r="K780" t="n">
        <x:f>IF(AND(J780=1,C780=0),1,0)</x:f>
        <x:v>0</x:v>
      </x:c>
      <x:c r="L780" t="str">
        <x:f>IFERROR(INDEX(Customers!$C$2:$C$451,MATCH(A780,Customers!$A$2:$A$451,0)),"Unknown")</x:f>
        <x:v>Standard</x:v>
      </x:c>
    </x:row>
    <x:row r="781">
      <x:c r="A781" t="n">
        <x:v>141</x:v>
      </x:c>
      <x:c r="B781" s="16" t="n">
        <x:v>46266</x:v>
      </x:c>
      <x:c r="C781" t="n">
        <x:v>0</x:v>
      </x:c>
      <x:c r="D781" t="n">
        <x:v>0</x:v>
      </x:c>
      <x:c r="E781" s="18" t="n">
        <x:v>0</x:v>
      </x:c>
      <x:c r="F781" s="18" t="n">
        <x:v>0</x:v>
      </x:c>
      <x:c r="G781" s="18" t="n">
        <x:v>0</x:v>
      </x:c>
      <x:c r="H781" s="18" t="n">
        <x:v>0</x:v>
      </x:c>
      <x:c r="I781" s="18" t="n">
        <x:v>0</x:v>
      </x:c>
      <x:c r="J781" t="n">
        <x:f>IF(A781=A780,IFERROR(IF(B781=EDATE(B780,1),C780,0),0),0)</x:f>
        <x:v>1</x:v>
      </x:c>
      <x:c r="K781" t="n">
        <x:f>IF(AND(J781=1,C781=0),1,0)</x:f>
        <x:v>1</x:v>
      </x:c>
      <x:c r="L781" t="str">
        <x:f>IFERROR(INDEX(Customers!$C$2:$C$451,MATCH(A781,Customers!$A$2:$A$451,0)),"Unknown")</x:f>
        <x:v>Standard</x:v>
      </x:c>
    </x:row>
    <x:row r="782">
      <x:c r="A782" t="n">
        <x:v>142</x:v>
      </x:c>
      <x:c r="B782" s="16" t="n">
        <x:v>46143</x:v>
      </x:c>
      <x:c r="C782" t="n">
        <x:v>0</x:v>
      </x:c>
      <x:c r="D782" t="n">
        <x:v>0</x:v>
      </x:c>
      <x:c r="E782" s="18" t="n">
        <x:v>0</x:v>
      </x:c>
      <x:c r="F782" s="18" t="n">
        <x:v>0</x:v>
      </x:c>
      <x:c r="G782" s="18" t="n">
        <x:v>0</x:v>
      </x:c>
      <x:c r="H782" s="18" t="n">
        <x:v>0</x:v>
      </x:c>
      <x:c r="I782" s="18" t="n">
        <x:v>0</x:v>
      </x:c>
      <x:c r="J782" t="n">
        <x:f>IF(A782=A781,IFERROR(IF(B782=EDATE(B781,1),C781,0),0),0)</x:f>
        <x:v>0</x:v>
      </x:c>
      <x:c r="K782" t="n">
        <x:f>IF(AND(J782=1,C782=0),1,0)</x:f>
        <x:v>0</x:v>
      </x:c>
      <x:c r="L782" t="str">
        <x:f>IFERROR(INDEX(Customers!$C$2:$C$451,MATCH(A782,Customers!$A$2:$A$451,0)),"Unknown")</x:f>
        <x:v>Standard</x:v>
      </x:c>
    </x:row>
    <x:row r="783">
      <x:c r="A783" t="n">
        <x:v>142</x:v>
      </x:c>
      <x:c r="B783" s="16" t="n">
        <x:v>46174</x:v>
      </x:c>
      <x:c r="C783" t="n">
        <x:v>1</x:v>
      </x:c>
      <x:c r="D783" t="n">
        <x:v>29</x:v>
      </x:c>
      <x:c r="E783" s="18" t="n">
        <x:v>2440.16</x:v>
      </x:c>
      <x:c r="F783" s="18" t="n">
        <x:v>0</x:v>
      </x:c>
      <x:c r="G783" s="18" t="n">
        <x:v>10.98</x:v>
      </x:c>
      <x:c r="H783" s="18" t="n">
        <x:v>2.04</x:v>
      </x:c>
      <x:c r="I783" s="18" t="n">
        <x:v>13.02</x:v>
      </x:c>
      <x:c r="J783" t="n">
        <x:f>IF(A783=A782,IFERROR(IF(B783=EDATE(B782,1),C782,0),0),0)</x:f>
        <x:v>0</x:v>
      </x:c>
      <x:c r="K783" t="n">
        <x:f>IF(AND(J783=1,C783=0),1,0)</x:f>
        <x:v>0</x:v>
      </x:c>
      <x:c r="L783" t="str">
        <x:f>IFERROR(INDEX(Customers!$C$2:$C$451,MATCH(A783,Customers!$A$2:$A$451,0)),"Unknown")</x:f>
        <x:v>Standard</x:v>
      </x:c>
    </x:row>
    <x:row r="784">
      <x:c r="A784" t="n">
        <x:v>142</x:v>
      </x:c>
      <x:c r="B784" s="16" t="n">
        <x:v>46204</x:v>
      </x:c>
      <x:c r="C784" t="n">
        <x:v>1</x:v>
      </x:c>
      <x:c r="D784" t="n">
        <x:v>28</x:v>
      </x:c>
      <x:c r="E784" s="18" t="n">
        <x:v>2922.69</x:v>
      </x:c>
      <x:c r="F784" s="18" t="n">
        <x:v>0</x:v>
      </x:c>
      <x:c r="G784" s="18" t="n">
        <x:v>13.15</x:v>
      </x:c>
      <x:c r="H784" s="18" t="n">
        <x:v>5.86</x:v>
      </x:c>
      <x:c r="I784" s="18" t="n">
        <x:v>19.01</x:v>
      </x:c>
      <x:c r="J784" t="n">
        <x:f>IF(A784=A783,IFERROR(IF(B784=EDATE(B783,1),C783,0),0),0)</x:f>
        <x:v>1</x:v>
      </x:c>
      <x:c r="K784" t="n">
        <x:f>IF(AND(J784=1,C784=0),1,0)</x:f>
        <x:v>0</x:v>
      </x:c>
      <x:c r="L784" t="str">
        <x:f>IFERROR(INDEX(Customers!$C$2:$C$451,MATCH(A784,Customers!$A$2:$A$451,0)),"Unknown")</x:f>
        <x:v>Standard</x:v>
      </x:c>
    </x:row>
    <x:row r="785">
      <x:c r="A785" t="n">
        <x:v>142</x:v>
      </x:c>
      <x:c r="B785" s="16" t="n">
        <x:v>46235</x:v>
      </x:c>
      <x:c r="C785" t="n">
        <x:v>0</x:v>
      </x:c>
      <x:c r="D785" t="n">
        <x:v>0</x:v>
      </x:c>
      <x:c r="E785" s="18" t="n">
        <x:v>0</x:v>
      </x:c>
      <x:c r="F785" s="18" t="n">
        <x:v>0</x:v>
      </x:c>
      <x:c r="G785" s="18" t="n">
        <x:v>0</x:v>
      </x:c>
      <x:c r="H785" s="18" t="n">
        <x:v>0</x:v>
      </x:c>
      <x:c r="I785" s="18" t="n">
        <x:v>0</x:v>
      </x:c>
      <x:c r="J785" t="n">
        <x:f>IF(A785=A784,IFERROR(IF(B785=EDATE(B784,1),C784,0),0),0)</x:f>
        <x:v>1</x:v>
      </x:c>
      <x:c r="K785" t="n">
        <x:f>IF(AND(J785=1,C785=0),1,0)</x:f>
        <x:v>1</x:v>
      </x:c>
      <x:c r="L785" t="str">
        <x:f>IFERROR(INDEX(Customers!$C$2:$C$451,MATCH(A785,Customers!$A$2:$A$451,0)),"Unknown")</x:f>
        <x:v>Standard</x:v>
      </x:c>
    </x:row>
    <x:row r="786">
      <x:c r="A786" t="n">
        <x:v>142</x:v>
      </x:c>
      <x:c r="B786" s="16" t="n">
        <x:v>46266</x:v>
      </x:c>
      <x:c r="C786" t="n">
        <x:v>0</x:v>
      </x:c>
      <x:c r="D786" t="n">
        <x:v>0</x:v>
      </x:c>
      <x:c r="E786" s="18" t="n">
        <x:v>0</x:v>
      </x:c>
      <x:c r="F786" s="18" t="n">
        <x:v>0</x:v>
      </x:c>
      <x:c r="G786" s="18" t="n">
        <x:v>0</x:v>
      </x:c>
      <x:c r="H786" s="18" t="n">
        <x:v>0</x:v>
      </x:c>
      <x:c r="I786" s="18" t="n">
        <x:v>0</x:v>
      </x:c>
      <x:c r="J786" t="n">
        <x:f>IF(A786=A785,IFERROR(IF(B786=EDATE(B785,1),C785,0),0),0)</x:f>
        <x:v>0</x:v>
      </x:c>
      <x:c r="K786" t="n">
        <x:f>IF(AND(J786=1,C786=0),1,0)</x:f>
        <x:v>0</x:v>
      </x:c>
      <x:c r="L786" t="str">
        <x:f>IFERROR(INDEX(Customers!$C$2:$C$451,MATCH(A786,Customers!$A$2:$A$451,0)),"Unknown")</x:f>
        <x:v>Standard</x:v>
      </x:c>
    </x:row>
    <x:row r="787">
      <x:c r="A787" t="n">
        <x:v>143</x:v>
      </x:c>
      <x:c r="B787" s="16" t="n">
        <x:v>46143</x:v>
      </x:c>
      <x:c r="C787" t="n">
        <x:v>1</x:v>
      </x:c>
      <x:c r="D787" t="n">
        <x:v>15</x:v>
      </x:c>
      <x:c r="E787" s="18" t="n">
        <x:v>684.28</x:v>
      </x:c>
      <x:c r="F787" s="18" t="n">
        <x:v>0</x:v>
      </x:c>
      <x:c r="G787" s="18" t="n">
        <x:v>3.08</x:v>
      </x:c>
      <x:c r="H787" s="18" t="n">
        <x:v>1.03</x:v>
      </x:c>
      <x:c r="I787" s="18" t="n">
        <x:v>4.11</x:v>
      </x:c>
      <x:c r="J787" t="n">
        <x:f>IF(A787=A786,IFERROR(IF(B787=EDATE(B786,1),C786,0),0),0)</x:f>
        <x:v>0</x:v>
      </x:c>
      <x:c r="K787" t="n">
        <x:f>IF(AND(J787=1,C787=0),1,0)</x:f>
        <x:v>0</x:v>
      </x:c>
      <x:c r="L787" t="str">
        <x:f>IFERROR(INDEX(Customers!$C$2:$C$451,MATCH(A787,Customers!$A$2:$A$451,0)),"Unknown")</x:f>
        <x:v>Standard</x:v>
      </x:c>
    </x:row>
    <x:row r="788">
      <x:c r="A788" t="n">
        <x:v>143</x:v>
      </x:c>
      <x:c r="B788" s="16" t="n">
        <x:v>46174</x:v>
      </x:c>
      <x:c r="C788" t="n">
        <x:v>0</x:v>
      </x:c>
      <x:c r="D788" t="n">
        <x:v>0</x:v>
      </x:c>
      <x:c r="E788" s="18" t="n">
        <x:v>0</x:v>
      </x:c>
      <x:c r="F788" s="18" t="n">
        <x:v>0</x:v>
      </x:c>
      <x:c r="G788" s="18" t="n">
        <x:v>0</x:v>
      </x:c>
      <x:c r="H788" s="18" t="n">
        <x:v>0</x:v>
      </x:c>
      <x:c r="I788" s="18" t="n">
        <x:v>0</x:v>
      </x:c>
      <x:c r="J788" t="n">
        <x:f>IF(A788=A787,IFERROR(IF(B788=EDATE(B787,1),C787,0),0),0)</x:f>
        <x:v>1</x:v>
      </x:c>
      <x:c r="K788" t="n">
        <x:f>IF(AND(J788=1,C788=0),1,0)</x:f>
        <x:v>1</x:v>
      </x:c>
      <x:c r="L788" t="str">
        <x:f>IFERROR(INDEX(Customers!$C$2:$C$451,MATCH(A788,Customers!$A$2:$A$451,0)),"Unknown")</x:f>
        <x:v>Standard</x:v>
      </x:c>
    </x:row>
    <x:row r="789">
      <x:c r="A789" t="n">
        <x:v>143</x:v>
      </x:c>
      <x:c r="B789" s="16" t="n">
        <x:v>46204</x:v>
      </x:c>
      <x:c r="C789" t="n">
        <x:v>0</x:v>
      </x:c>
      <x:c r="D789" t="n">
        <x:v>0</x:v>
      </x:c>
      <x:c r="E789" s="18" t="n">
        <x:v>0</x:v>
      </x:c>
      <x:c r="F789" s="18" t="n">
        <x:v>0</x:v>
      </x:c>
      <x:c r="G789" s="18" t="n">
        <x:v>0</x:v>
      </x:c>
      <x:c r="H789" s="18" t="n">
        <x:v>0</x:v>
      </x:c>
      <x:c r="I789" s="18" t="n">
        <x:v>0</x:v>
      </x:c>
      <x:c r="J789" t="n">
        <x:f>IF(A789=A788,IFERROR(IF(B789=EDATE(B788,1),C788,0),0),0)</x:f>
        <x:v>0</x:v>
      </x:c>
      <x:c r="K789" t="n">
        <x:f>IF(AND(J789=1,C789=0),1,0)</x:f>
        <x:v>0</x:v>
      </x:c>
      <x:c r="L789" t="str">
        <x:f>IFERROR(INDEX(Customers!$C$2:$C$451,MATCH(A789,Customers!$A$2:$A$451,0)),"Unknown")</x:f>
        <x:v>Standard</x:v>
      </x:c>
    </x:row>
    <x:row r="790">
      <x:c r="A790" t="n">
        <x:v>143</x:v>
      </x:c>
      <x:c r="B790" s="16" t="n">
        <x:v>46235</x:v>
      </x:c>
      <x:c r="C790" t="n">
        <x:v>1</x:v>
      </x:c>
      <x:c r="D790" t="n">
        <x:v>19</x:v>
      </x:c>
      <x:c r="E790" s="18" t="n">
        <x:v>2188.59</x:v>
      </x:c>
      <x:c r="F790" s="18" t="n">
        <x:v>0</x:v>
      </x:c>
      <x:c r="G790" s="18" t="n">
        <x:v>9.85</x:v>
      </x:c>
      <x:c r="H790" s="18" t="n">
        <x:v>2.68</x:v>
      </x:c>
      <x:c r="I790" s="18" t="n">
        <x:v>12.53</x:v>
      </x:c>
      <x:c r="J790" t="n">
        <x:f>IF(A790=A789,IFERROR(IF(B790=EDATE(B789,1),C789,0),0),0)</x:f>
        <x:v>0</x:v>
      </x:c>
      <x:c r="K790" t="n">
        <x:f>IF(AND(J790=1,C790=0),1,0)</x:f>
        <x:v>0</x:v>
      </x:c>
      <x:c r="L790" t="str">
        <x:f>IFERROR(INDEX(Customers!$C$2:$C$451,MATCH(A790,Customers!$A$2:$A$451,0)),"Unknown")</x:f>
        <x:v>Standard</x:v>
      </x:c>
    </x:row>
    <x:row r="791">
      <x:c r="A791" t="n">
        <x:v>143</x:v>
      </x:c>
      <x:c r="B791" s="16" t="n">
        <x:v>46266</x:v>
      </x:c>
      <x:c r="C791" t="n">
        <x:v>1</x:v>
      </x:c>
      <x:c r="D791" t="n">
        <x:v>28</x:v>
      </x:c>
      <x:c r="E791" s="18" t="n">
        <x:v>2325.47</x:v>
      </x:c>
      <x:c r="F791" s="18" t="n">
        <x:v>0</x:v>
      </x:c>
      <x:c r="G791" s="18" t="n">
        <x:v>10.46</x:v>
      </x:c>
      <x:c r="H791" s="18" t="n">
        <x:v>6.91</x:v>
      </x:c>
      <x:c r="I791" s="18" t="n">
        <x:v>17.37</x:v>
      </x:c>
      <x:c r="J791" t="n">
        <x:f>IF(A791=A790,IFERROR(IF(B791=EDATE(B790,1),C790,0),0),0)</x:f>
        <x:v>1</x:v>
      </x:c>
      <x:c r="K791" t="n">
        <x:f>IF(AND(J791=1,C791=0),1,0)</x:f>
        <x:v>0</x:v>
      </x:c>
      <x:c r="L791" t="str">
        <x:f>IFERROR(INDEX(Customers!$C$2:$C$451,MATCH(A791,Customers!$A$2:$A$451,0)),"Unknown")</x:f>
        <x:v>Standard</x:v>
      </x:c>
    </x:row>
    <x:row r="792">
      <x:c r="A792" t="n">
        <x:v>144</x:v>
      </x:c>
      <x:c r="B792" s="16" t="n">
        <x:v>46113</x:v>
      </x:c>
      <x:c r="C792" t="n">
        <x:v>1</x:v>
      </x:c>
      <x:c r="D792" t="n">
        <x:v>19</x:v>
      </x:c>
      <x:c r="E792" s="18" t="n">
        <x:v>1302.98</x:v>
      </x:c>
      <x:c r="F792" s="18" t="n">
        <x:v>0</x:v>
      </x:c>
      <x:c r="G792" s="18" t="n">
        <x:v>5.86</x:v>
      </x:c>
      <x:c r="H792" s="18" t="n">
        <x:v>3.96</x:v>
      </x:c>
      <x:c r="I792" s="18" t="n">
        <x:v>9.82</x:v>
      </x:c>
      <x:c r="J792" t="n">
        <x:f>IF(A792=A791,IFERROR(IF(B792=EDATE(B791,1),C791,0),0),0)</x:f>
        <x:v>0</x:v>
      </x:c>
      <x:c r="K792" t="n">
        <x:f>IF(AND(J792=1,C792=0),1,0)</x:f>
        <x:v>0</x:v>
      </x:c>
      <x:c r="L792" t="str">
        <x:f>IFERROR(INDEX(Customers!$C$2:$C$451,MATCH(A792,Customers!$A$2:$A$451,0)),"Unknown")</x:f>
        <x:v>Standard</x:v>
      </x:c>
    </x:row>
    <x:row r="793">
      <x:c r="A793" t="n">
        <x:v>144</x:v>
      </x:c>
      <x:c r="B793" s="16" t="n">
        <x:v>46143</x:v>
      </x:c>
      <x:c r="C793" t="n">
        <x:v>1</x:v>
      </x:c>
      <x:c r="D793" t="n">
        <x:v>27</x:v>
      </x:c>
      <x:c r="E793" s="18" t="n">
        <x:v>2206.05</x:v>
      </x:c>
      <x:c r="F793" s="18" t="n">
        <x:v>0</x:v>
      </x:c>
      <x:c r="G793" s="18" t="n">
        <x:v>9.93</x:v>
      </x:c>
      <x:c r="H793" s="18" t="n">
        <x:v>4.26</x:v>
      </x:c>
      <x:c r="I793" s="18" t="n">
        <x:v>14.19</x:v>
      </x:c>
      <x:c r="J793" t="n">
        <x:f>IF(A793=A792,IFERROR(IF(B793=EDATE(B792,1),C792,0),0),0)</x:f>
        <x:v>1</x:v>
      </x:c>
      <x:c r="K793" t="n">
        <x:f>IF(AND(J793=1,C793=0),1,0)</x:f>
        <x:v>0</x:v>
      </x:c>
      <x:c r="L793" t="str">
        <x:f>IFERROR(INDEX(Customers!$C$2:$C$451,MATCH(A793,Customers!$A$2:$A$451,0)),"Unknown")</x:f>
        <x:v>Standard</x:v>
      </x:c>
    </x:row>
    <x:row r="794">
      <x:c r="A794" t="n">
        <x:v>144</x:v>
      </x:c>
      <x:c r="B794" s="16" t="n">
        <x:v>46174</x:v>
      </x:c>
      <x:c r="C794" t="n">
        <x:v>1</x:v>
      </x:c>
      <x:c r="D794" t="n">
        <x:v>36</x:v>
      </x:c>
      <x:c r="E794" s="18" t="n">
        <x:v>3903.13</x:v>
      </x:c>
      <x:c r="F794" s="18" t="n">
        <x:v>0</x:v>
      </x:c>
      <x:c r="G794" s="18" t="n">
        <x:v>17.56</x:v>
      </x:c>
      <x:c r="H794" s="18" t="n">
        <x:v>6.28</x:v>
      </x:c>
      <x:c r="I794" s="18" t="n">
        <x:v>23.84</x:v>
      </x:c>
      <x:c r="J794" t="n">
        <x:f>IF(A794=A793,IFERROR(IF(B794=EDATE(B793,1),C793,0),0),0)</x:f>
        <x:v>1</x:v>
      </x:c>
      <x:c r="K794" t="n">
        <x:f>IF(AND(J794=1,C794=0),1,0)</x:f>
        <x:v>0</x:v>
      </x:c>
      <x:c r="L794" t="str">
        <x:f>IFERROR(INDEX(Customers!$C$2:$C$451,MATCH(A794,Customers!$A$2:$A$451,0)),"Unknown")</x:f>
        <x:v>Standard</x:v>
      </x:c>
    </x:row>
    <x:row r="795">
      <x:c r="A795" t="n">
        <x:v>144</x:v>
      </x:c>
      <x:c r="B795" s="16" t="n">
        <x:v>46204</x:v>
      </x:c>
      <x:c r="C795" t="n">
        <x:v>1</x:v>
      </x:c>
      <x:c r="D795" t="n">
        <x:v>14</x:v>
      </x:c>
      <x:c r="E795" s="18" t="n">
        <x:v>673.35</x:v>
      </x:c>
      <x:c r="F795" s="18" t="n">
        <x:v>0</x:v>
      </x:c>
      <x:c r="G795" s="18" t="n">
        <x:v>3.03</x:v>
      </x:c>
      <x:c r="H795" s="18" t="n">
        <x:v>1.46</x:v>
      </x:c>
      <x:c r="I795" s="18" t="n">
        <x:v>4.49</x:v>
      </x:c>
      <x:c r="J795" t="n">
        <x:f>IF(A795=A794,IFERROR(IF(B795=EDATE(B794,1),C794,0),0),0)</x:f>
        <x:v>1</x:v>
      </x:c>
      <x:c r="K795" t="n">
        <x:f>IF(AND(J795=1,C795=0),1,0)</x:f>
        <x:v>0</x:v>
      </x:c>
      <x:c r="L795" t="str">
        <x:f>IFERROR(INDEX(Customers!$C$2:$C$451,MATCH(A795,Customers!$A$2:$A$451,0)),"Unknown")</x:f>
        <x:v>Standard</x:v>
      </x:c>
    </x:row>
    <x:row r="796">
      <x:c r="A796" t="n">
        <x:v>144</x:v>
      </x:c>
      <x:c r="B796" s="16" t="n">
        <x:v>46235</x:v>
      </x:c>
      <x:c r="C796" t="n">
        <x:v>1</x:v>
      </x:c>
      <x:c r="D796" t="n">
        <x:v>5</x:v>
      </x:c>
      <x:c r="E796" s="18" t="n">
        <x:v>367.55</x:v>
      </x:c>
      <x:c r="F796" s="18" t="n">
        <x:v>0</x:v>
      </x:c>
      <x:c r="G796" s="18" t="n">
        <x:v>1.65</x:v>
      </x:c>
      <x:c r="H796" s="18" t="n">
        <x:v>0.36</x:v>
      </x:c>
      <x:c r="I796" s="18" t="n">
        <x:v>2.01</x:v>
      </x:c>
      <x:c r="J796" t="n">
        <x:f>IF(A796=A795,IFERROR(IF(B796=EDATE(B795,1),C795,0),0),0)</x:f>
        <x:v>1</x:v>
      </x:c>
      <x:c r="K796" t="n">
        <x:f>IF(AND(J796=1,C796=0),1,0)</x:f>
        <x:v>0</x:v>
      </x:c>
      <x:c r="L796" t="str">
        <x:f>IFERROR(INDEX(Customers!$C$2:$C$451,MATCH(A796,Customers!$A$2:$A$451,0)),"Unknown")</x:f>
        <x:v>Standard</x:v>
      </x:c>
    </x:row>
    <x:row r="797">
      <x:c r="A797" t="n">
        <x:v>144</x:v>
      </x:c>
      <x:c r="B797" s="16" t="n">
        <x:v>46266</x:v>
      </x:c>
      <x:c r="C797" t="n">
        <x:v>1</x:v>
      </x:c>
      <x:c r="D797" t="n">
        <x:v>21</x:v>
      </x:c>
      <x:c r="E797" s="18" t="n">
        <x:v>2764.77</x:v>
      </x:c>
      <x:c r="F797" s="18" t="n">
        <x:v>0</x:v>
      </x:c>
      <x:c r="G797" s="18" t="n">
        <x:v>12.44</x:v>
      </x:c>
      <x:c r="H797" s="18" t="n">
        <x:v>5.41</x:v>
      </x:c>
      <x:c r="I797" s="18" t="n">
        <x:v>17.85</x:v>
      </x:c>
      <x:c r="J797" t="n">
        <x:f>IF(A797=A796,IFERROR(IF(B797=EDATE(B796,1),C796,0),0),0)</x:f>
        <x:v>1</x:v>
      </x:c>
      <x:c r="K797" t="n">
        <x:f>IF(AND(J797=1,C797=0),1,0)</x:f>
        <x:v>0</x:v>
      </x:c>
      <x:c r="L797" t="str">
        <x:f>IFERROR(INDEX(Customers!$C$2:$C$451,MATCH(A797,Customers!$A$2:$A$451,0)),"Unknown")</x:f>
        <x:v>Standard</x:v>
      </x:c>
    </x:row>
    <x:row r="798">
      <x:c r="A798" t="n">
        <x:v>145</x:v>
      </x:c>
      <x:c r="B798" s="16" t="n">
        <x:v>46113</x:v>
      </x:c>
      <x:c r="C798" t="n">
        <x:v>1</x:v>
      </x:c>
      <x:c r="D798" t="n">
        <x:v>30</x:v>
      </x:c>
      <x:c r="E798" s="18" t="n">
        <x:v>2494.69</x:v>
      </x:c>
      <x:c r="F798" s="18" t="n">
        <x:v>17</x:v>
      </x:c>
      <x:c r="G798" s="18" t="n">
        <x:v>11.23</x:v>
      </x:c>
      <x:c r="H798" s="18" t="n">
        <x:v>7.17</x:v>
      </x:c>
      <x:c r="I798" s="18" t="n">
        <x:v>35.4</x:v>
      </x:c>
      <x:c r="J798" t="n">
        <x:f>IF(A798=A797,IFERROR(IF(B798=EDATE(B797,1),C797,0),0),0)</x:f>
        <x:v>0</x:v>
      </x:c>
      <x:c r="K798" t="n">
        <x:f>IF(AND(J798=1,C798=0),1,0)</x:f>
        <x:v>0</x:v>
      </x:c>
      <x:c r="L798" t="str">
        <x:f>IFERROR(INDEX(Customers!$C$2:$C$451,MATCH(A798,Customers!$A$2:$A$451,0)),"Unknown")</x:f>
        <x:v>Premium</x:v>
      </x:c>
    </x:row>
    <x:row r="799">
      <x:c r="A799" t="n">
        <x:v>145</x:v>
      </x:c>
      <x:c r="B799" s="16" t="n">
        <x:v>46143</x:v>
      </x:c>
      <x:c r="C799" t="n">
        <x:v>0</x:v>
      </x:c>
      <x:c r="D799" t="n">
        <x:v>0</x:v>
      </x:c>
      <x:c r="E799" s="18" t="n">
        <x:v>0</x:v>
      </x:c>
      <x:c r="F799" s="18" t="n">
        <x:v>0</x:v>
      </x:c>
      <x:c r="G799" s="18" t="n">
        <x:v>0</x:v>
      </x:c>
      <x:c r="H799" s="18" t="n">
        <x:v>0</x:v>
      </x:c>
      <x:c r="I799" s="18" t="n">
        <x:v>0</x:v>
      </x:c>
      <x:c r="J799" t="n">
        <x:f>IF(A799=A798,IFERROR(IF(B799=EDATE(B798,1),C798,0),0),0)</x:f>
        <x:v>1</x:v>
      </x:c>
      <x:c r="K799" t="n">
        <x:f>IF(AND(J799=1,C799=0),1,0)</x:f>
        <x:v>1</x:v>
      </x:c>
      <x:c r="L799" t="str">
        <x:f>IFERROR(INDEX(Customers!$C$2:$C$451,MATCH(A799,Customers!$A$2:$A$451,0)),"Unknown")</x:f>
        <x:v>Premium</x:v>
      </x:c>
    </x:row>
    <x:row r="800">
      <x:c r="A800" t="n">
        <x:v>145</x:v>
      </x:c>
      <x:c r="B800" s="16" t="n">
        <x:v>46174</x:v>
      </x:c>
      <x:c r="C800" t="n">
        <x:v>1</x:v>
      </x:c>
      <x:c r="D800" t="n">
        <x:v>8</x:v>
      </x:c>
      <x:c r="E800" s="18" t="n">
        <x:v>1044.93</x:v>
      </x:c>
      <x:c r="F800" s="18" t="n">
        <x:v>17</x:v>
      </x:c>
      <x:c r="G800" s="18" t="n">
        <x:v>4.7</x:v>
      </x:c>
      <x:c r="H800" s="18" t="n">
        <x:v>3.9</x:v>
      </x:c>
      <x:c r="I800" s="18" t="n">
        <x:v>25.6</x:v>
      </x:c>
      <x:c r="J800" t="n">
        <x:f>IF(A800=A799,IFERROR(IF(B800=EDATE(B799,1),C799,0),0),0)</x:f>
        <x:v>0</x:v>
      </x:c>
      <x:c r="K800" t="n">
        <x:f>IF(AND(J800=1,C800=0),1,0)</x:f>
        <x:v>0</x:v>
      </x:c>
      <x:c r="L800" t="str">
        <x:f>IFERROR(INDEX(Customers!$C$2:$C$451,MATCH(A800,Customers!$A$2:$A$451,0)),"Unknown")</x:f>
        <x:v>Premium</x:v>
      </x:c>
    </x:row>
    <x:row r="801">
      <x:c r="A801" t="n">
        <x:v>145</x:v>
      </x:c>
      <x:c r="B801" s="16" t="n">
        <x:v>46204</x:v>
      </x:c>
      <x:c r="C801" t="n">
        <x:v>1</x:v>
      </x:c>
      <x:c r="D801" t="n">
        <x:v>20</x:v>
      </x:c>
      <x:c r="E801" s="18" t="n">
        <x:v>2582.46</x:v>
      </x:c>
      <x:c r="F801" s="18" t="n">
        <x:v>17</x:v>
      </x:c>
      <x:c r="G801" s="18" t="n">
        <x:v>11.62</x:v>
      </x:c>
      <x:c r="H801" s="18" t="n">
        <x:v>5.84</x:v>
      </x:c>
      <x:c r="I801" s="18" t="n">
        <x:v>34.46</x:v>
      </x:c>
      <x:c r="J801" t="n">
        <x:f>IF(A801=A800,IFERROR(IF(B801=EDATE(B800,1),C800,0),0),0)</x:f>
        <x:v>1</x:v>
      </x:c>
      <x:c r="K801" t="n">
        <x:f>IF(AND(J801=1,C801=0),1,0)</x:f>
        <x:v>0</x:v>
      </x:c>
      <x:c r="L801" t="str">
        <x:f>IFERROR(INDEX(Customers!$C$2:$C$451,MATCH(A801,Customers!$A$2:$A$451,0)),"Unknown")</x:f>
        <x:v>Premium</x:v>
      </x:c>
    </x:row>
    <x:row r="802">
      <x:c r="A802" t="n">
        <x:v>145</x:v>
      </x:c>
      <x:c r="B802" s="16" t="n">
        <x:v>46235</x:v>
      </x:c>
      <x:c r="C802" t="n">
        <x:v>1</x:v>
      </x:c>
      <x:c r="D802" t="n">
        <x:v>23</x:v>
      </x:c>
      <x:c r="E802" s="18" t="n">
        <x:v>2390.28</x:v>
      </x:c>
      <x:c r="F802" s="18" t="n">
        <x:v>17</x:v>
      </x:c>
      <x:c r="G802" s="18" t="n">
        <x:v>10.76</x:v>
      </x:c>
      <x:c r="H802" s="18" t="n">
        <x:v>7.17</x:v>
      </x:c>
      <x:c r="I802" s="18" t="n">
        <x:v>34.93</x:v>
      </x:c>
      <x:c r="J802" t="n">
        <x:f>IF(A802=A801,IFERROR(IF(B802=EDATE(B801,1),C801,0),0),0)</x:f>
        <x:v>1</x:v>
      </x:c>
      <x:c r="K802" t="n">
        <x:f>IF(AND(J802=1,C802=0),1,0)</x:f>
        <x:v>0</x:v>
      </x:c>
      <x:c r="L802" t="str">
        <x:f>IFERROR(INDEX(Customers!$C$2:$C$451,MATCH(A802,Customers!$A$2:$A$451,0)),"Unknown")</x:f>
        <x:v>Premium</x:v>
      </x:c>
    </x:row>
    <x:row r="803">
      <x:c r="A803" t="n">
        <x:v>145</x:v>
      </x:c>
      <x:c r="B803" s="16" t="n">
        <x:v>46266</x:v>
      </x:c>
      <x:c r="C803" t="n">
        <x:v>0</x:v>
      </x:c>
      <x:c r="D803" t="n">
        <x:v>0</x:v>
      </x:c>
      <x:c r="E803" s="18" t="n">
        <x:v>0</x:v>
      </x:c>
      <x:c r="F803" s="18" t="n">
        <x:v>0</x:v>
      </x:c>
      <x:c r="G803" s="18" t="n">
        <x:v>0</x:v>
      </x:c>
      <x:c r="H803" s="18" t="n">
        <x:v>0</x:v>
      </x:c>
      <x:c r="I803" s="18" t="n">
        <x:v>0</x:v>
      </x:c>
      <x:c r="J803" t="n">
        <x:f>IF(A803=A802,IFERROR(IF(B803=EDATE(B802,1),C802,0),0),0)</x:f>
        <x:v>1</x:v>
      </x:c>
      <x:c r="K803" t="n">
        <x:f>IF(AND(J803=1,C803=0),1,0)</x:f>
        <x:v>1</x:v>
      </x:c>
      <x:c r="L803" t="str">
        <x:f>IFERROR(INDEX(Customers!$C$2:$C$451,MATCH(A803,Customers!$A$2:$A$451,0)),"Unknown")</x:f>
        <x:v>Premium</x:v>
      </x:c>
    </x:row>
    <x:row r="804">
      <x:c r="A804" t="n">
        <x:v>146</x:v>
      </x:c>
      <x:c r="B804" s="16" t="n">
        <x:v>46113</x:v>
      </x:c>
      <x:c r="C804" t="n">
        <x:v>1</x:v>
      </x:c>
      <x:c r="D804" t="n">
        <x:v>9</x:v>
      </x:c>
      <x:c r="E804" s="18" t="n">
        <x:v>1033.88</x:v>
      </x:c>
      <x:c r="F804" s="18" t="n">
        <x:v>0</x:v>
      </x:c>
      <x:c r="G804" s="18" t="n">
        <x:v>4.65</x:v>
      </x:c>
      <x:c r="H804" s="18" t="n">
        <x:v>1.57</x:v>
      </x:c>
      <x:c r="I804" s="18" t="n">
        <x:v>6.22</x:v>
      </x:c>
      <x:c r="J804" t="n">
        <x:f>IF(A804=A803,IFERROR(IF(B804=EDATE(B803,1),C803,0),0),0)</x:f>
        <x:v>0</x:v>
      </x:c>
      <x:c r="K804" t="n">
        <x:f>IF(AND(J804=1,C804=0),1,0)</x:f>
        <x:v>0</x:v>
      </x:c>
      <x:c r="L804" t="str">
        <x:f>IFERROR(INDEX(Customers!$C$2:$C$451,MATCH(A804,Customers!$A$2:$A$451,0)),"Unknown")</x:f>
        <x:v>Standard</x:v>
      </x:c>
    </x:row>
    <x:row r="805">
      <x:c r="A805" t="n">
        <x:v>146</x:v>
      </x:c>
      <x:c r="B805" s="16" t="n">
        <x:v>46143</x:v>
      </x:c>
      <x:c r="C805" t="n">
        <x:v>0</x:v>
      </x:c>
      <x:c r="D805" t="n">
        <x:v>0</x:v>
      </x:c>
      <x:c r="E805" s="18" t="n">
        <x:v>0</x:v>
      </x:c>
      <x:c r="F805" s="18" t="n">
        <x:v>0</x:v>
      </x:c>
      <x:c r="G805" s="18" t="n">
        <x:v>0</x:v>
      </x:c>
      <x:c r="H805" s="18" t="n">
        <x:v>0</x:v>
      </x:c>
      <x:c r="I805" s="18" t="n">
        <x:v>0</x:v>
      </x:c>
      <x:c r="J805" t="n">
        <x:f>IF(A805=A804,IFERROR(IF(B805=EDATE(B804,1),C804,0),0),0)</x:f>
        <x:v>1</x:v>
      </x:c>
      <x:c r="K805" t="n">
        <x:f>IF(AND(J805=1,C805=0),1,0)</x:f>
        <x:v>1</x:v>
      </x:c>
      <x:c r="L805" t="str">
        <x:f>IFERROR(INDEX(Customers!$C$2:$C$451,MATCH(A805,Customers!$A$2:$A$451,0)),"Unknown")</x:f>
        <x:v>Standard</x:v>
      </x:c>
    </x:row>
    <x:row r="806">
      <x:c r="A806" t="n">
        <x:v>146</x:v>
      </x:c>
      <x:c r="B806" s="16" t="n">
        <x:v>46174</x:v>
      </x:c>
      <x:c r="C806" t="n">
        <x:v>1</x:v>
      </x:c>
      <x:c r="D806" t="n">
        <x:v>11</x:v>
      </x:c>
      <x:c r="E806" s="18" t="n">
        <x:v>1263.6</x:v>
      </x:c>
      <x:c r="F806" s="18" t="n">
        <x:v>0</x:v>
      </x:c>
      <x:c r="G806" s="18" t="n">
        <x:v>5.69</x:v>
      </x:c>
      <x:c r="H806" s="18" t="n">
        <x:v>4.49</x:v>
      </x:c>
      <x:c r="I806" s="18" t="n">
        <x:v>10.18</x:v>
      </x:c>
      <x:c r="J806" t="n">
        <x:f>IF(A806=A805,IFERROR(IF(B806=EDATE(B805,1),C805,0),0),0)</x:f>
        <x:v>0</x:v>
      </x:c>
      <x:c r="K806" t="n">
        <x:f>IF(AND(J806=1,C806=0),1,0)</x:f>
        <x:v>0</x:v>
      </x:c>
      <x:c r="L806" t="str">
        <x:f>IFERROR(INDEX(Customers!$C$2:$C$451,MATCH(A806,Customers!$A$2:$A$451,0)),"Unknown")</x:f>
        <x:v>Standard</x:v>
      </x:c>
    </x:row>
    <x:row r="807">
      <x:c r="A807" t="n">
        <x:v>146</x:v>
      </x:c>
      <x:c r="B807" s="16" t="n">
        <x:v>46204</x:v>
      </x:c>
      <x:c r="C807" t="n">
        <x:v>1</x:v>
      </x:c>
      <x:c r="D807" t="n">
        <x:v>16</x:v>
      </x:c>
      <x:c r="E807" s="18" t="n">
        <x:v>610.81</x:v>
      </x:c>
      <x:c r="F807" s="18" t="n">
        <x:v>0</x:v>
      </x:c>
      <x:c r="G807" s="18" t="n">
        <x:v>2.75</x:v>
      </x:c>
      <x:c r="H807" s="18" t="n">
        <x:v>2.21</x:v>
      </x:c>
      <x:c r="I807" s="18" t="n">
        <x:v>4.96</x:v>
      </x:c>
      <x:c r="J807" t="n">
        <x:f>IF(A807=A806,IFERROR(IF(B807=EDATE(B806,1),C806,0),0),0)</x:f>
        <x:v>1</x:v>
      </x:c>
      <x:c r="K807" t="n">
        <x:f>IF(AND(J807=1,C807=0),1,0)</x:f>
        <x:v>0</x:v>
      </x:c>
      <x:c r="L807" t="str">
        <x:f>IFERROR(INDEX(Customers!$C$2:$C$451,MATCH(A807,Customers!$A$2:$A$451,0)),"Unknown")</x:f>
        <x:v>Standard</x:v>
      </x:c>
    </x:row>
    <x:row r="808">
      <x:c r="A808" t="n">
        <x:v>146</x:v>
      </x:c>
      <x:c r="B808" s="16" t="n">
        <x:v>46235</x:v>
      </x:c>
      <x:c r="C808" t="n">
        <x:v>0</x:v>
      </x:c>
      <x:c r="D808" t="n">
        <x:v>0</x:v>
      </x:c>
      <x:c r="E808" s="18" t="n">
        <x:v>0</x:v>
      </x:c>
      <x:c r="F808" s="18" t="n">
        <x:v>0</x:v>
      </x:c>
      <x:c r="G808" s="18" t="n">
        <x:v>0</x:v>
      </x:c>
      <x:c r="H808" s="18" t="n">
        <x:v>0</x:v>
      </x:c>
      <x:c r="I808" s="18" t="n">
        <x:v>0</x:v>
      </x:c>
      <x:c r="J808" t="n">
        <x:f>IF(A808=A807,IFERROR(IF(B808=EDATE(B807,1),C807,0),0),0)</x:f>
        <x:v>1</x:v>
      </x:c>
      <x:c r="K808" t="n">
        <x:f>IF(AND(J808=1,C808=0),1,0)</x:f>
        <x:v>1</x:v>
      </x:c>
      <x:c r="L808" t="str">
        <x:f>IFERROR(INDEX(Customers!$C$2:$C$451,MATCH(A808,Customers!$A$2:$A$451,0)),"Unknown")</x:f>
        <x:v>Standard</x:v>
      </x:c>
    </x:row>
    <x:row r="809">
      <x:c r="A809" t="n">
        <x:v>146</x:v>
      </x:c>
      <x:c r="B809" s="16" t="n">
        <x:v>46266</x:v>
      </x:c>
      <x:c r="C809" t="n">
        <x:v>1</x:v>
      </x:c>
      <x:c r="D809" t="n">
        <x:v>35</x:v>
      </x:c>
      <x:c r="E809" s="18" t="n">
        <x:v>4564.25</x:v>
      </x:c>
      <x:c r="F809" s="18" t="n">
        <x:v>0</x:v>
      </x:c>
      <x:c r="G809" s="18" t="n">
        <x:v>20.54</x:v>
      </x:c>
      <x:c r="H809" s="18" t="n">
        <x:v>14.75</x:v>
      </x:c>
      <x:c r="I809" s="18" t="n">
        <x:v>35.29</x:v>
      </x:c>
      <x:c r="J809" t="n">
        <x:f>IF(A809=A808,IFERROR(IF(B809=EDATE(B808,1),C808,0),0),0)</x:f>
        <x:v>0</x:v>
      </x:c>
      <x:c r="K809" t="n">
        <x:f>IF(AND(J809=1,C809=0),1,0)</x:f>
        <x:v>0</x:v>
      </x:c>
      <x:c r="L809" t="str">
        <x:f>IFERROR(INDEX(Customers!$C$2:$C$451,MATCH(A809,Customers!$A$2:$A$451,0)),"Unknown")</x:f>
        <x:v>Standard</x:v>
      </x:c>
    </x:row>
    <x:row r="810">
      <x:c r="A810" t="n">
        <x:v>147</x:v>
      </x:c>
      <x:c r="B810" s="16" t="n">
        <x:v>46113</x:v>
      </x:c>
      <x:c r="C810" t="n">
        <x:v>1</x:v>
      </x:c>
      <x:c r="D810" t="n">
        <x:v>14</x:v>
      </x:c>
      <x:c r="E810" s="18" t="n">
        <x:v>962.62</x:v>
      </x:c>
      <x:c r="F810" s="18" t="n">
        <x:v>17</x:v>
      </x:c>
      <x:c r="G810" s="18" t="n">
        <x:v>4.33</x:v>
      </x:c>
      <x:c r="H810" s="18" t="n">
        <x:v>1.67</x:v>
      </x:c>
      <x:c r="I810" s="18" t="n">
        <x:v>23</x:v>
      </x:c>
      <x:c r="J810" t="n">
        <x:f>IF(A810=A809,IFERROR(IF(B810=EDATE(B809,1),C809,0),0),0)</x:f>
        <x:v>0</x:v>
      </x:c>
      <x:c r="K810" t="n">
        <x:f>IF(AND(J810=1,C810=0),1,0)</x:f>
        <x:v>0</x:v>
      </x:c>
      <x:c r="L810" t="str">
        <x:f>IFERROR(INDEX(Customers!$C$2:$C$451,MATCH(A810,Customers!$A$2:$A$451,0)),"Unknown")</x:f>
        <x:v>Premium</x:v>
      </x:c>
    </x:row>
    <x:row r="811">
      <x:c r="A811" t="n">
        <x:v>147</x:v>
      </x:c>
      <x:c r="B811" s="16" t="n">
        <x:v>46143</x:v>
      </x:c>
      <x:c r="C811" t="n">
        <x:v>1</x:v>
      </x:c>
      <x:c r="D811" t="n">
        <x:v>32</x:v>
      </x:c>
      <x:c r="E811" s="18" t="n">
        <x:v>3281.9</x:v>
      </x:c>
      <x:c r="F811" s="18" t="n">
        <x:v>17</x:v>
      </x:c>
      <x:c r="G811" s="18" t="n">
        <x:v>14.77</x:v>
      </x:c>
      <x:c r="H811" s="18" t="n">
        <x:v>3.29</x:v>
      </x:c>
      <x:c r="I811" s="18" t="n">
        <x:v>35.06</x:v>
      </x:c>
      <x:c r="J811" t="n">
        <x:f>IF(A811=A810,IFERROR(IF(B811=EDATE(B810,1),C810,0),0),0)</x:f>
        <x:v>1</x:v>
      </x:c>
      <x:c r="K811" t="n">
        <x:f>IF(AND(J811=1,C811=0),1,0)</x:f>
        <x:v>0</x:v>
      </x:c>
      <x:c r="L811" t="str">
        <x:f>IFERROR(INDEX(Customers!$C$2:$C$451,MATCH(A811,Customers!$A$2:$A$451,0)),"Unknown")</x:f>
        <x:v>Premium</x:v>
      </x:c>
    </x:row>
    <x:row r="812">
      <x:c r="A812" t="n">
        <x:v>147</x:v>
      </x:c>
      <x:c r="B812" s="16" t="n">
        <x:v>46174</x:v>
      </x:c>
      <x:c r="C812" t="n">
        <x:v>1</x:v>
      </x:c>
      <x:c r="D812" t="n">
        <x:v>16</x:v>
      </x:c>
      <x:c r="E812" s="18" t="n">
        <x:v>812.91</x:v>
      </x:c>
      <x:c r="F812" s="18" t="n">
        <x:v>17</x:v>
      </x:c>
      <x:c r="G812" s="18" t="n">
        <x:v>3.66</x:v>
      </x:c>
      <x:c r="H812" s="18" t="n">
        <x:v>2.94</x:v>
      </x:c>
      <x:c r="I812" s="18" t="n">
        <x:v>23.6</x:v>
      </x:c>
      <x:c r="J812" t="n">
        <x:f>IF(A812=A811,IFERROR(IF(B812=EDATE(B811,1),C811,0),0),0)</x:f>
        <x:v>1</x:v>
      </x:c>
      <x:c r="K812" t="n">
        <x:f>IF(AND(J812=1,C812=0),1,0)</x:f>
        <x:v>0</x:v>
      </x:c>
      <x:c r="L812" t="str">
        <x:f>IFERROR(INDEX(Customers!$C$2:$C$451,MATCH(A812,Customers!$A$2:$A$451,0)),"Unknown")</x:f>
        <x:v>Premium</x:v>
      </x:c>
    </x:row>
    <x:row r="813">
      <x:c r="A813" t="n">
        <x:v>147</x:v>
      </x:c>
      <x:c r="B813" s="16" t="n">
        <x:v>46204</x:v>
      </x:c>
      <x:c r="C813" t="n">
        <x:v>1</x:v>
      </x:c>
      <x:c r="D813" t="n">
        <x:v>29</x:v>
      </x:c>
      <x:c r="E813" s="18" t="n">
        <x:v>3311.04</x:v>
      </x:c>
      <x:c r="F813" s="18" t="n">
        <x:v>17</x:v>
      </x:c>
      <x:c r="G813" s="18" t="n">
        <x:v>14.9</x:v>
      </x:c>
      <x:c r="H813" s="18" t="n">
        <x:v>2.74</x:v>
      </x:c>
      <x:c r="I813" s="18" t="n">
        <x:v>34.64</x:v>
      </x:c>
      <x:c r="J813" t="n">
        <x:f>IF(A813=A812,IFERROR(IF(B813=EDATE(B812,1),C812,0),0),0)</x:f>
        <x:v>1</x:v>
      </x:c>
      <x:c r="K813" t="n">
        <x:f>IF(AND(J813=1,C813=0),1,0)</x:f>
        <x:v>0</x:v>
      </x:c>
      <x:c r="L813" t="str">
        <x:f>IFERROR(INDEX(Customers!$C$2:$C$451,MATCH(A813,Customers!$A$2:$A$451,0)),"Unknown")</x:f>
        <x:v>Premium</x:v>
      </x:c>
    </x:row>
    <x:row r="814">
      <x:c r="A814" t="n">
        <x:v>147</x:v>
      </x:c>
      <x:c r="B814" s="16" t="n">
        <x:v>46235</x:v>
      </x:c>
      <x:c r="C814" t="n">
        <x:v>1</x:v>
      </x:c>
      <x:c r="D814" t="n">
        <x:v>20</x:v>
      </x:c>
      <x:c r="E814" s="18" t="n">
        <x:v>1539.74</x:v>
      </x:c>
      <x:c r="F814" s="18" t="n">
        <x:v>17</x:v>
      </x:c>
      <x:c r="G814" s="18" t="n">
        <x:v>6.93</x:v>
      </x:c>
      <x:c r="H814" s="18" t="n">
        <x:v>5.45</x:v>
      </x:c>
      <x:c r="I814" s="18" t="n">
        <x:v>29.38</x:v>
      </x:c>
      <x:c r="J814" t="n">
        <x:f>IF(A814=A813,IFERROR(IF(B814=EDATE(B813,1),C813,0),0),0)</x:f>
        <x:v>1</x:v>
      </x:c>
      <x:c r="K814" t="n">
        <x:f>IF(AND(J814=1,C814=0),1,0)</x:f>
        <x:v>0</x:v>
      </x:c>
      <x:c r="L814" t="str">
        <x:f>IFERROR(INDEX(Customers!$C$2:$C$451,MATCH(A814,Customers!$A$2:$A$451,0)),"Unknown")</x:f>
        <x:v>Premium</x:v>
      </x:c>
    </x:row>
    <x:row r="815">
      <x:c r="A815" t="n">
        <x:v>147</x:v>
      </x:c>
      <x:c r="B815" s="16" t="n">
        <x:v>46266</x:v>
      </x:c>
      <x:c r="C815" t="n">
        <x:v>0</x:v>
      </x:c>
      <x:c r="D815" t="n">
        <x:v>0</x:v>
      </x:c>
      <x:c r="E815" s="18" t="n">
        <x:v>0</x:v>
      </x:c>
      <x:c r="F815" s="18" t="n">
        <x:v>0</x:v>
      </x:c>
      <x:c r="G815" s="18" t="n">
        <x:v>0</x:v>
      </x:c>
      <x:c r="H815" s="18" t="n">
        <x:v>0</x:v>
      </x:c>
      <x:c r="I815" s="18" t="n">
        <x:v>0</x:v>
      </x:c>
      <x:c r="J815" t="n">
        <x:f>IF(A815=A814,IFERROR(IF(B815=EDATE(B814,1),C814,0),0),0)</x:f>
        <x:v>1</x:v>
      </x:c>
      <x:c r="K815" t="n">
        <x:f>IF(AND(J815=1,C815=0),1,0)</x:f>
        <x:v>1</x:v>
      </x:c>
      <x:c r="L815" t="str">
        <x:f>IFERROR(INDEX(Customers!$C$2:$C$451,MATCH(A815,Customers!$A$2:$A$451,0)),"Unknown")</x:f>
        <x:v>Premium</x:v>
      </x:c>
    </x:row>
    <x:row r="816">
      <x:c r="A816" t="n">
        <x:v>148</x:v>
      </x:c>
      <x:c r="B816" s="16" t="n">
        <x:v>46113</x:v>
      </x:c>
      <x:c r="C816" t="n">
        <x:v>1</x:v>
      </x:c>
      <x:c r="D816" t="n">
        <x:v>30</x:v>
      </x:c>
      <x:c r="E816" s="18" t="n">
        <x:v>2075.41</x:v>
      </x:c>
      <x:c r="F816" s="18" t="n">
        <x:v>0</x:v>
      </x:c>
      <x:c r="G816" s="18" t="n">
        <x:v>9.34</x:v>
      </x:c>
      <x:c r="H816" s="18" t="n">
        <x:v>3.74</x:v>
      </x:c>
      <x:c r="I816" s="18" t="n">
        <x:v>13.08</x:v>
      </x:c>
      <x:c r="J816" t="n">
        <x:f>IF(A816=A815,IFERROR(IF(B816=EDATE(B815,1),C815,0),0),0)</x:f>
        <x:v>0</x:v>
      </x:c>
      <x:c r="K816" t="n">
        <x:f>IF(AND(J816=1,C816=0),1,0)</x:f>
        <x:v>0</x:v>
      </x:c>
      <x:c r="L816" t="str">
        <x:f>IFERROR(INDEX(Customers!$C$2:$C$451,MATCH(A816,Customers!$A$2:$A$451,0)),"Unknown")</x:f>
        <x:v>Standard</x:v>
      </x:c>
    </x:row>
    <x:row r="817">
      <x:c r="A817" t="n">
        <x:v>148</x:v>
      </x:c>
      <x:c r="B817" s="16" t="n">
        <x:v>46143</x:v>
      </x:c>
      <x:c r="C817" t="n">
        <x:v>1</x:v>
      </x:c>
      <x:c r="D817" t="n">
        <x:v>11</x:v>
      </x:c>
      <x:c r="E817" s="18" t="n">
        <x:v>1105.91</x:v>
      </x:c>
      <x:c r="F817" s="18" t="n">
        <x:v>0</x:v>
      </x:c>
      <x:c r="G817" s="18" t="n">
        <x:v>4.98</x:v>
      </x:c>
      <x:c r="H817" s="18" t="n">
        <x:v>2.6</x:v>
      </x:c>
      <x:c r="I817" s="18" t="n">
        <x:v>7.58</x:v>
      </x:c>
      <x:c r="J817" t="n">
        <x:f>IF(A817=A816,IFERROR(IF(B817=EDATE(B816,1),C816,0),0),0)</x:f>
        <x:v>1</x:v>
      </x:c>
      <x:c r="K817" t="n">
        <x:f>IF(AND(J817=1,C817=0),1,0)</x:f>
        <x:v>0</x:v>
      </x:c>
      <x:c r="L817" t="str">
        <x:f>IFERROR(INDEX(Customers!$C$2:$C$451,MATCH(A817,Customers!$A$2:$A$451,0)),"Unknown")</x:f>
        <x:v>Standard</x:v>
      </x:c>
    </x:row>
    <x:row r="818">
      <x:c r="A818" t="n">
        <x:v>148</x:v>
      </x:c>
      <x:c r="B818" s="16" t="n">
        <x:v>46174</x:v>
      </x:c>
      <x:c r="C818" t="n">
        <x:v>1</x:v>
      </x:c>
      <x:c r="D818" t="n">
        <x:v>19</x:v>
      </x:c>
      <x:c r="E818" s="18" t="n">
        <x:v>1472.9</x:v>
      </x:c>
      <x:c r="F818" s="18" t="n">
        <x:v>0</x:v>
      </x:c>
      <x:c r="G818" s="18" t="n">
        <x:v>6.63</x:v>
      </x:c>
      <x:c r="H818" s="18" t="n">
        <x:v>1.67</x:v>
      </x:c>
      <x:c r="I818" s="18" t="n">
        <x:v>8.3</x:v>
      </x:c>
      <x:c r="J818" t="n">
        <x:f>IF(A818=A817,IFERROR(IF(B818=EDATE(B817,1),C817,0),0),0)</x:f>
        <x:v>1</x:v>
      </x:c>
      <x:c r="K818" t="n">
        <x:f>IF(AND(J818=1,C818=0),1,0)</x:f>
        <x:v>0</x:v>
      </x:c>
      <x:c r="L818" t="str">
        <x:f>IFERROR(INDEX(Customers!$C$2:$C$451,MATCH(A818,Customers!$A$2:$A$451,0)),"Unknown")</x:f>
        <x:v>Standard</x:v>
      </x:c>
    </x:row>
    <x:row r="819">
      <x:c r="A819" t="n">
        <x:v>148</x:v>
      </x:c>
      <x:c r="B819" s="16" t="n">
        <x:v>46204</x:v>
      </x:c>
      <x:c r="C819" t="n">
        <x:v>0</x:v>
      </x:c>
      <x:c r="D819" t="n">
        <x:v>0</x:v>
      </x:c>
      <x:c r="E819" s="18" t="n">
        <x:v>0</x:v>
      </x:c>
      <x:c r="F819" s="18" t="n">
        <x:v>0</x:v>
      </x:c>
      <x:c r="G819" s="18" t="n">
        <x:v>0</x:v>
      </x:c>
      <x:c r="H819" s="18" t="n">
        <x:v>0</x:v>
      </x:c>
      <x:c r="I819" s="18" t="n">
        <x:v>0</x:v>
      </x:c>
      <x:c r="J819" t="n">
        <x:f>IF(A819=A818,IFERROR(IF(B819=EDATE(B818,1),C818,0),0),0)</x:f>
        <x:v>1</x:v>
      </x:c>
      <x:c r="K819" t="n">
        <x:f>IF(AND(J819=1,C819=0),1,0)</x:f>
        <x:v>1</x:v>
      </x:c>
      <x:c r="L819" t="str">
        <x:f>IFERROR(INDEX(Customers!$C$2:$C$451,MATCH(A819,Customers!$A$2:$A$451,0)),"Unknown")</x:f>
        <x:v>Standard</x:v>
      </x:c>
    </x:row>
    <x:row r="820">
      <x:c r="A820" t="n">
        <x:v>148</x:v>
      </x:c>
      <x:c r="B820" s="16" t="n">
        <x:v>46235</x:v>
      </x:c>
      <x:c r="C820" t="n">
        <x:v>0</x:v>
      </x:c>
      <x:c r="D820" t="n">
        <x:v>0</x:v>
      </x:c>
      <x:c r="E820" s="18" t="n">
        <x:v>0</x:v>
      </x:c>
      <x:c r="F820" s="18" t="n">
        <x:v>0</x:v>
      </x:c>
      <x:c r="G820" s="18" t="n">
        <x:v>0</x:v>
      </x:c>
      <x:c r="H820" s="18" t="n">
        <x:v>0</x:v>
      </x:c>
      <x:c r="I820" s="18" t="n">
        <x:v>0</x:v>
      </x:c>
      <x:c r="J820" t="n">
        <x:f>IF(A820=A819,IFERROR(IF(B820=EDATE(B819,1),C819,0),0),0)</x:f>
        <x:v>0</x:v>
      </x:c>
      <x:c r="K820" t="n">
        <x:f>IF(AND(J820=1,C820=0),1,0)</x:f>
        <x:v>0</x:v>
      </x:c>
      <x:c r="L820" t="str">
        <x:f>IFERROR(INDEX(Customers!$C$2:$C$451,MATCH(A820,Customers!$A$2:$A$451,0)),"Unknown")</x:f>
        <x:v>Standard</x:v>
      </x:c>
    </x:row>
    <x:row r="821">
      <x:c r="A821" t="n">
        <x:v>148</x:v>
      </x:c>
      <x:c r="B821" s="16" t="n">
        <x:v>46266</x:v>
      </x:c>
      <x:c r="C821" t="n">
        <x:v>1</x:v>
      </x:c>
      <x:c r="D821" t="n">
        <x:v>17</x:v>
      </x:c>
      <x:c r="E821" s="18" t="n">
        <x:v>1104.53</x:v>
      </x:c>
      <x:c r="F821" s="18" t="n">
        <x:v>0</x:v>
      </x:c>
      <x:c r="G821" s="18" t="n">
        <x:v>4.97</x:v>
      </x:c>
      <x:c r="H821" s="18" t="n">
        <x:v>2.12</x:v>
      </x:c>
      <x:c r="I821" s="18" t="n">
        <x:v>7.09</x:v>
      </x:c>
      <x:c r="J821" t="n">
        <x:f>IF(A821=A820,IFERROR(IF(B821=EDATE(B820,1),C820,0),0),0)</x:f>
        <x:v>0</x:v>
      </x:c>
      <x:c r="K821" t="n">
        <x:f>IF(AND(J821=1,C821=0),1,0)</x:f>
        <x:v>0</x:v>
      </x:c>
      <x:c r="L821" t="str">
        <x:f>IFERROR(INDEX(Customers!$C$2:$C$451,MATCH(A821,Customers!$A$2:$A$451,0)),"Unknown")</x:f>
        <x:v>Standard</x:v>
      </x:c>
    </x:row>
    <x:row r="822">
      <x:c r="A822" t="n">
        <x:v>149</x:v>
      </x:c>
      <x:c r="B822" s="16" t="n">
        <x:v>46143</x:v>
      </x:c>
      <x:c r="C822" t="n">
        <x:v>1</x:v>
      </x:c>
      <x:c r="D822" t="n">
        <x:v>14</x:v>
      </x:c>
      <x:c r="E822" s="18" t="n">
        <x:v>1657.28</x:v>
      </x:c>
      <x:c r="F822" s="18" t="n">
        <x:v>0</x:v>
      </x:c>
      <x:c r="G822" s="18" t="n">
        <x:v>7.46</x:v>
      </x:c>
      <x:c r="H822" s="18" t="n">
        <x:v>6.2</x:v>
      </x:c>
      <x:c r="I822" s="18" t="n">
        <x:v>13.66</x:v>
      </x:c>
      <x:c r="J822" t="n">
        <x:f>IF(A822=A821,IFERROR(IF(B822=EDATE(B821,1),C821,0),0),0)</x:f>
        <x:v>0</x:v>
      </x:c>
      <x:c r="K822" t="n">
        <x:f>IF(AND(J822=1,C822=0),1,0)</x:f>
        <x:v>0</x:v>
      </x:c>
      <x:c r="L822" t="str">
        <x:f>IFERROR(INDEX(Customers!$C$2:$C$451,MATCH(A822,Customers!$A$2:$A$451,0)),"Unknown")</x:f>
        <x:v>Standard</x:v>
      </x:c>
    </x:row>
    <x:row r="823">
      <x:c r="A823" t="n">
        <x:v>149</x:v>
      </x:c>
      <x:c r="B823" s="16" t="n">
        <x:v>46174</x:v>
      </x:c>
      <x:c r="C823" t="n">
        <x:v>1</x:v>
      </x:c>
      <x:c r="D823" t="n">
        <x:v>31</x:v>
      </x:c>
      <x:c r="E823" s="18" t="n">
        <x:v>3698.13</x:v>
      </x:c>
      <x:c r="F823" s="18" t="n">
        <x:v>0</x:v>
      </x:c>
      <x:c r="G823" s="18" t="n">
        <x:v>16.64</x:v>
      </x:c>
      <x:c r="H823" s="18" t="n">
        <x:v>6.37</x:v>
      </x:c>
      <x:c r="I823" s="18" t="n">
        <x:v>23.01</x:v>
      </x:c>
      <x:c r="J823" t="n">
        <x:f>IF(A823=A822,IFERROR(IF(B823=EDATE(B822,1),C822,0),0),0)</x:f>
        <x:v>1</x:v>
      </x:c>
      <x:c r="K823" t="n">
        <x:f>IF(AND(J823=1,C823=0),1,0)</x:f>
        <x:v>0</x:v>
      </x:c>
      <x:c r="L823" t="str">
        <x:f>IFERROR(INDEX(Customers!$C$2:$C$451,MATCH(A823,Customers!$A$2:$A$451,0)),"Unknown")</x:f>
        <x:v>Standard</x:v>
      </x:c>
    </x:row>
    <x:row r="824">
      <x:c r="A824" t="n">
        <x:v>149</x:v>
      </x:c>
      <x:c r="B824" s="16" t="n">
        <x:v>46204</x:v>
      </x:c>
      <x:c r="C824" t="n">
        <x:v>1</x:v>
      </x:c>
      <x:c r="D824" t="n">
        <x:v>20</x:v>
      </x:c>
      <x:c r="E824" s="18" t="n">
        <x:v>2418.41</x:v>
      </x:c>
      <x:c r="F824" s="18" t="n">
        <x:v>0</x:v>
      </x:c>
      <x:c r="G824" s="18" t="n">
        <x:v>10.88</x:v>
      </x:c>
      <x:c r="H824" s="18" t="n">
        <x:v>2.12</x:v>
      </x:c>
      <x:c r="I824" s="18" t="n">
        <x:v>13</x:v>
      </x:c>
      <x:c r="J824" t="n">
        <x:f>IF(A824=A823,IFERROR(IF(B824=EDATE(B823,1),C823,0),0),0)</x:f>
        <x:v>1</x:v>
      </x:c>
      <x:c r="K824" t="n">
        <x:f>IF(AND(J824=1,C824=0),1,0)</x:f>
        <x:v>0</x:v>
      </x:c>
      <x:c r="L824" t="str">
        <x:f>IFERROR(INDEX(Customers!$C$2:$C$451,MATCH(A824,Customers!$A$2:$A$451,0)),"Unknown")</x:f>
        <x:v>Standard</x:v>
      </x:c>
    </x:row>
    <x:row r="825">
      <x:c r="A825" t="n">
        <x:v>149</x:v>
      </x:c>
      <x:c r="B825" s="16" t="n">
        <x:v>46235</x:v>
      </x:c>
      <x:c r="C825" t="n">
        <x:v>1</x:v>
      </x:c>
      <x:c r="D825" t="n">
        <x:v>13</x:v>
      </x:c>
      <x:c r="E825" s="18" t="n">
        <x:v>854.78</x:v>
      </x:c>
      <x:c r="F825" s="18" t="n">
        <x:v>0</x:v>
      </x:c>
      <x:c r="G825" s="18" t="n">
        <x:v>3.85</x:v>
      </x:c>
      <x:c r="H825" s="18" t="n">
        <x:v>1.23</x:v>
      </x:c>
      <x:c r="I825" s="18" t="n">
        <x:v>5.08</x:v>
      </x:c>
      <x:c r="J825" t="n">
        <x:f>IF(A825=A824,IFERROR(IF(B825=EDATE(B824,1),C824,0),0),0)</x:f>
        <x:v>1</x:v>
      </x:c>
      <x:c r="K825" t="n">
        <x:f>IF(AND(J825=1,C825=0),1,0)</x:f>
        <x:v>0</x:v>
      </x:c>
      <x:c r="L825" t="str">
        <x:f>IFERROR(INDEX(Customers!$C$2:$C$451,MATCH(A825,Customers!$A$2:$A$451,0)),"Unknown")</x:f>
        <x:v>Standard</x:v>
      </x:c>
    </x:row>
    <x:row r="826">
      <x:c r="A826" t="n">
        <x:v>149</x:v>
      </x:c>
      <x:c r="B826" s="16" t="n">
        <x:v>46266</x:v>
      </x:c>
      <x:c r="C826" t="n">
        <x:v>1</x:v>
      </x:c>
      <x:c r="D826" t="n">
        <x:v>32</x:v>
      </x:c>
      <x:c r="E826" s="18" t="n">
        <x:v>2336.47</x:v>
      </x:c>
      <x:c r="F826" s="18" t="n">
        <x:v>0</x:v>
      </x:c>
      <x:c r="G826" s="18" t="n">
        <x:v>10.51</x:v>
      </x:c>
      <x:c r="H826" s="18" t="n">
        <x:v>4.48</x:v>
      </x:c>
      <x:c r="I826" s="18" t="n">
        <x:v>14.99</x:v>
      </x:c>
      <x:c r="J826" t="n">
        <x:f>IF(A826=A825,IFERROR(IF(B826=EDATE(B825,1),C825,0),0),0)</x:f>
        <x:v>1</x:v>
      </x:c>
      <x:c r="K826" t="n">
        <x:f>IF(AND(J826=1,C826=0),1,0)</x:f>
        <x:v>0</x:v>
      </x:c>
      <x:c r="L826" t="str">
        <x:f>IFERROR(INDEX(Customers!$C$2:$C$451,MATCH(A826,Customers!$A$2:$A$451,0)),"Unknown")</x:f>
        <x:v>Standard</x:v>
      </x:c>
    </x:row>
    <x:row r="827">
      <x:c r="A827" t="n">
        <x:v>150</x:v>
      </x:c>
      <x:c r="B827" s="16" t="n">
        <x:v>46113</x:v>
      </x:c>
      <x:c r="C827" t="n">
        <x:v>0</x:v>
      </x:c>
      <x:c r="D827" t="n">
        <x:v>0</x:v>
      </x:c>
      <x:c r="E827" s="18" t="n">
        <x:v>0</x:v>
      </x:c>
      <x:c r="F827" s="18" t="n">
        <x:v>0</x:v>
      </x:c>
      <x:c r="G827" s="18" t="n">
        <x:v>0</x:v>
      </x:c>
      <x:c r="H827" s="18" t="n">
        <x:v>0</x:v>
      </x:c>
      <x:c r="I827" s="18" t="n">
        <x:v>0</x:v>
      </x:c>
      <x:c r="J827" t="n">
        <x:f>IF(A827=A826,IFERROR(IF(B827=EDATE(B826,1),C826,0),0),0)</x:f>
        <x:v>0</x:v>
      </x:c>
      <x:c r="K827" t="n">
        <x:f>IF(AND(J827=1,C827=0),1,0)</x:f>
        <x:v>0</x:v>
      </x:c>
      <x:c r="L827" t="str">
        <x:f>IFERROR(INDEX(Customers!$C$2:$C$451,MATCH(A827,Customers!$A$2:$A$451,0)),"Unknown")</x:f>
        <x:v>Plus</x:v>
      </x:c>
    </x:row>
    <x:row r="828">
      <x:c r="A828" t="n">
        <x:v>150</x:v>
      </x:c>
      <x:c r="B828" s="16" t="n">
        <x:v>46143</x:v>
      </x:c>
      <x:c r="C828" t="n">
        <x:v>1</x:v>
      </x:c>
      <x:c r="D828" t="n">
        <x:v>35</x:v>
      </x:c>
      <x:c r="E828" s="18" t="n">
        <x:v>3242.22</x:v>
      </x:c>
      <x:c r="F828" s="18" t="n">
        <x:v>8</x:v>
      </x:c>
      <x:c r="G828" s="18" t="n">
        <x:v>14.59</x:v>
      </x:c>
      <x:c r="H828" s="18" t="n">
        <x:v>4.39</x:v>
      </x:c>
      <x:c r="I828" s="18" t="n">
        <x:v>26.98</x:v>
      </x:c>
      <x:c r="J828" t="n">
        <x:f>IF(A828=A827,IFERROR(IF(B828=EDATE(B827,1),C827,0),0),0)</x:f>
        <x:v>0</x:v>
      </x:c>
      <x:c r="K828" t="n">
        <x:f>IF(AND(J828=1,C828=0),1,0)</x:f>
        <x:v>0</x:v>
      </x:c>
      <x:c r="L828" t="str">
        <x:f>IFERROR(INDEX(Customers!$C$2:$C$451,MATCH(A828,Customers!$A$2:$A$451,0)),"Unknown")</x:f>
        <x:v>Plus</x:v>
      </x:c>
    </x:row>
    <x:row r="829">
      <x:c r="A829" t="n">
        <x:v>150</x:v>
      </x:c>
      <x:c r="B829" s="16" t="n">
        <x:v>46174</x:v>
      </x:c>
      <x:c r="C829" t="n">
        <x:v>1</x:v>
      </x:c>
      <x:c r="D829" t="n">
        <x:v>36</x:v>
      </x:c>
      <x:c r="E829" s="18" t="n">
        <x:v>2682.61</x:v>
      </x:c>
      <x:c r="F829" s="18" t="n">
        <x:v>8</x:v>
      </x:c>
      <x:c r="G829" s="18" t="n">
        <x:v>12.07</x:v>
      </x:c>
      <x:c r="H829" s="18" t="n">
        <x:v>7.19</x:v>
      </x:c>
      <x:c r="I829" s="18" t="n">
        <x:v>27.26</x:v>
      </x:c>
      <x:c r="J829" t="n">
        <x:f>IF(A829=A828,IFERROR(IF(B829=EDATE(B828,1),C828,0),0),0)</x:f>
        <x:v>1</x:v>
      </x:c>
      <x:c r="K829" t="n">
        <x:f>IF(AND(J829=1,C829=0),1,0)</x:f>
        <x:v>0</x:v>
      </x:c>
      <x:c r="L829" t="str">
        <x:f>IFERROR(INDEX(Customers!$C$2:$C$451,MATCH(A829,Customers!$A$2:$A$451,0)),"Unknown")</x:f>
        <x:v>Plus</x:v>
      </x:c>
    </x:row>
    <x:row r="830">
      <x:c r="A830" t="n">
        <x:v>150</x:v>
      </x:c>
      <x:c r="B830" s="16" t="n">
        <x:v>46204</x:v>
      </x:c>
      <x:c r="C830" t="n">
        <x:v>1</x:v>
      </x:c>
      <x:c r="D830" t="n">
        <x:v>35</x:v>
      </x:c>
      <x:c r="E830" s="18" t="n">
        <x:v>2985.31</x:v>
      </x:c>
      <x:c r="F830" s="18" t="n">
        <x:v>8</x:v>
      </x:c>
      <x:c r="G830" s="18" t="n">
        <x:v>13.43</x:v>
      </x:c>
      <x:c r="H830" s="18" t="n">
        <x:v>7.55</x:v>
      </x:c>
      <x:c r="I830" s="18" t="n">
        <x:v>28.98</x:v>
      </x:c>
      <x:c r="J830" t="n">
        <x:f>IF(A830=A829,IFERROR(IF(B830=EDATE(B829,1),C829,0),0),0)</x:f>
        <x:v>1</x:v>
      </x:c>
      <x:c r="K830" t="n">
        <x:f>IF(AND(J830=1,C830=0),1,0)</x:f>
        <x:v>0</x:v>
      </x:c>
      <x:c r="L830" t="str">
        <x:f>IFERROR(INDEX(Customers!$C$2:$C$451,MATCH(A830,Customers!$A$2:$A$451,0)),"Unknown")</x:f>
        <x:v>Plus</x:v>
      </x:c>
    </x:row>
    <x:row r="831">
      <x:c r="A831" t="n">
        <x:v>150</x:v>
      </x:c>
      <x:c r="B831" s="16" t="n">
        <x:v>46235</x:v>
      </x:c>
      <x:c r="C831" t="n">
        <x:v>1</x:v>
      </x:c>
      <x:c r="D831" t="n">
        <x:v>31</x:v>
      </x:c>
      <x:c r="E831" s="18" t="n">
        <x:v>3049.35</x:v>
      </x:c>
      <x:c r="F831" s="18" t="n">
        <x:v>8</x:v>
      </x:c>
      <x:c r="G831" s="18" t="n">
        <x:v>13.72</x:v>
      </x:c>
      <x:c r="H831" s="18" t="n">
        <x:v>4.42</x:v>
      </x:c>
      <x:c r="I831" s="18" t="n">
        <x:v>26.14</x:v>
      </x:c>
      <x:c r="J831" t="n">
        <x:f>IF(A831=A830,IFERROR(IF(B831=EDATE(B830,1),C830,0),0),0)</x:f>
        <x:v>1</x:v>
      </x:c>
      <x:c r="K831" t="n">
        <x:f>IF(AND(J831=1,C831=0),1,0)</x:f>
        <x:v>0</x:v>
      </x:c>
      <x:c r="L831" t="str">
        <x:f>IFERROR(INDEX(Customers!$C$2:$C$451,MATCH(A831,Customers!$A$2:$A$451,0)),"Unknown")</x:f>
        <x:v>Plus</x:v>
      </x:c>
    </x:row>
    <x:row r="832">
      <x:c r="A832" t="n">
        <x:v>150</x:v>
      </x:c>
      <x:c r="B832" s="16" t="n">
        <x:v>46266</x:v>
      </x:c>
      <x:c r="C832" t="n">
        <x:v>1</x:v>
      </x:c>
      <x:c r="D832" t="n">
        <x:v>31</x:v>
      </x:c>
      <x:c r="E832" s="18" t="n">
        <x:v>1450.42</x:v>
      </x:c>
      <x:c r="F832" s="18" t="n">
        <x:v>8</x:v>
      </x:c>
      <x:c r="G832" s="18" t="n">
        <x:v>6.53</x:v>
      </x:c>
      <x:c r="H832" s="18" t="n">
        <x:v>5.22</x:v>
      </x:c>
      <x:c r="I832" s="18" t="n">
        <x:v>19.75</x:v>
      </x:c>
      <x:c r="J832" t="n">
        <x:f>IF(A832=A831,IFERROR(IF(B832=EDATE(B831,1),C831,0),0),0)</x:f>
        <x:v>1</x:v>
      </x:c>
      <x:c r="K832" t="n">
        <x:f>IF(AND(J832=1,C832=0),1,0)</x:f>
        <x:v>0</x:v>
      </x:c>
      <x:c r="L832" t="str">
        <x:f>IFERROR(INDEX(Customers!$C$2:$C$451,MATCH(A832,Customers!$A$2:$A$451,0)),"Unknown")</x:f>
        <x:v>Plus</x:v>
      </x:c>
    </x:row>
    <x:row r="833">
      <x:c r="A833" t="n">
        <x:v>151</x:v>
      </x:c>
      <x:c r="B833" s="16" t="n">
        <x:v>46113</x:v>
      </x:c>
      <x:c r="C833" t="n">
        <x:v>1</x:v>
      </x:c>
      <x:c r="D833" t="n">
        <x:v>5</x:v>
      </x:c>
      <x:c r="E833" s="18" t="n">
        <x:v>216.51</x:v>
      </x:c>
      <x:c r="F833" s="18" t="n">
        <x:v>0</x:v>
      </x:c>
      <x:c r="G833" s="18" t="n">
        <x:v>0.97</x:v>
      </x:c>
      <x:c r="H833" s="18" t="n">
        <x:v>0.65</x:v>
      </x:c>
      <x:c r="I833" s="18" t="n">
        <x:v>1.62</x:v>
      </x:c>
      <x:c r="J833" t="n">
        <x:f>IF(A833=A832,IFERROR(IF(B833=EDATE(B832,1),C832,0),0),0)</x:f>
        <x:v>0</x:v>
      </x:c>
      <x:c r="K833" t="n">
        <x:f>IF(AND(J833=1,C833=0),1,0)</x:f>
        <x:v>0</x:v>
      </x:c>
      <x:c r="L833" t="str">
        <x:f>IFERROR(INDEX(Customers!$C$2:$C$451,MATCH(A833,Customers!$A$2:$A$451,0)),"Unknown")</x:f>
        <x:v>Standard</x:v>
      </x:c>
    </x:row>
    <x:row r="834">
      <x:c r="A834" t="n">
        <x:v>151</x:v>
      </x:c>
      <x:c r="B834" s="16" t="n">
        <x:v>46143</x:v>
      </x:c>
      <x:c r="C834" t="n">
        <x:v>0</x:v>
      </x:c>
      <x:c r="D834" t="n">
        <x:v>0</x:v>
      </x:c>
      <x:c r="E834" s="18" t="n">
        <x:v>0</x:v>
      </x:c>
      <x:c r="F834" s="18" t="n">
        <x:v>0</x:v>
      </x:c>
      <x:c r="G834" s="18" t="n">
        <x:v>0</x:v>
      </x:c>
      <x:c r="H834" s="18" t="n">
        <x:v>0</x:v>
      </x:c>
      <x:c r="I834" s="18" t="n">
        <x:v>0</x:v>
      </x:c>
      <x:c r="J834" t="n">
        <x:f>IF(A834=A833,IFERROR(IF(B834=EDATE(B833,1),C833,0),0),0)</x:f>
        <x:v>1</x:v>
      </x:c>
      <x:c r="K834" t="n">
        <x:f>IF(AND(J834=1,C834=0),1,0)</x:f>
        <x:v>1</x:v>
      </x:c>
      <x:c r="L834" t="str">
        <x:f>IFERROR(INDEX(Customers!$C$2:$C$451,MATCH(A834,Customers!$A$2:$A$451,0)),"Unknown")</x:f>
        <x:v>Standard</x:v>
      </x:c>
    </x:row>
    <x:row r="835">
      <x:c r="A835" t="n">
        <x:v>151</x:v>
      </x:c>
      <x:c r="B835" s="16" t="n">
        <x:v>46174</x:v>
      </x:c>
      <x:c r="C835" t="n">
        <x:v>1</x:v>
      </x:c>
      <x:c r="D835" t="n">
        <x:v>17</x:v>
      </x:c>
      <x:c r="E835" s="18" t="n">
        <x:v>1153.02</x:v>
      </x:c>
      <x:c r="F835" s="18" t="n">
        <x:v>0</x:v>
      </x:c>
      <x:c r="G835" s="18" t="n">
        <x:v>5.19</x:v>
      </x:c>
      <x:c r="H835" s="18" t="n">
        <x:v>4.19</x:v>
      </x:c>
      <x:c r="I835" s="18" t="n">
        <x:v>9.38</x:v>
      </x:c>
      <x:c r="J835" t="n">
        <x:f>IF(A835=A834,IFERROR(IF(B835=EDATE(B834,1),C834,0),0),0)</x:f>
        <x:v>0</x:v>
      </x:c>
      <x:c r="K835" t="n">
        <x:f>IF(AND(J835=1,C835=0),1,0)</x:f>
        <x:v>0</x:v>
      </x:c>
      <x:c r="L835" t="str">
        <x:f>IFERROR(INDEX(Customers!$C$2:$C$451,MATCH(A835,Customers!$A$2:$A$451,0)),"Unknown")</x:f>
        <x:v>Standard</x:v>
      </x:c>
    </x:row>
    <x:row r="836">
      <x:c r="A836" t="n">
        <x:v>151</x:v>
      </x:c>
      <x:c r="B836" s="16" t="n">
        <x:v>46204</x:v>
      </x:c>
      <x:c r="C836" t="n">
        <x:v>1</x:v>
      </x:c>
      <x:c r="D836" t="n">
        <x:v>23</x:v>
      </x:c>
      <x:c r="E836" s="18" t="n">
        <x:v>1612.19</x:v>
      </x:c>
      <x:c r="F836" s="18" t="n">
        <x:v>0</x:v>
      </x:c>
      <x:c r="G836" s="18" t="n">
        <x:v>7.25</x:v>
      </x:c>
      <x:c r="H836" s="18" t="n">
        <x:v>2.79</x:v>
      </x:c>
      <x:c r="I836" s="18" t="n">
        <x:v>10.04</x:v>
      </x:c>
      <x:c r="J836" t="n">
        <x:f>IF(A836=A835,IFERROR(IF(B836=EDATE(B835,1),C835,0),0),0)</x:f>
        <x:v>1</x:v>
      </x:c>
      <x:c r="K836" t="n">
        <x:f>IF(AND(J836=1,C836=0),1,0)</x:f>
        <x:v>0</x:v>
      </x:c>
      <x:c r="L836" t="str">
        <x:f>IFERROR(INDEX(Customers!$C$2:$C$451,MATCH(A836,Customers!$A$2:$A$451,0)),"Unknown")</x:f>
        <x:v>Standard</x:v>
      </x:c>
    </x:row>
    <x:row r="837">
      <x:c r="A837" t="n">
        <x:v>151</x:v>
      </x:c>
      <x:c r="B837" s="16" t="n">
        <x:v>46235</x:v>
      </x:c>
      <x:c r="C837" t="n">
        <x:v>1</x:v>
      </x:c>
      <x:c r="D837" t="n">
        <x:v>8</x:v>
      </x:c>
      <x:c r="E837" s="18" t="n">
        <x:v>760.33</x:v>
      </x:c>
      <x:c r="F837" s="18" t="n">
        <x:v>0</x:v>
      </x:c>
      <x:c r="G837" s="18" t="n">
        <x:v>3.42</x:v>
      </x:c>
      <x:c r="H837" s="18" t="n">
        <x:v>1.7</x:v>
      </x:c>
      <x:c r="I837" s="18" t="n">
        <x:v>5.12</x:v>
      </x:c>
      <x:c r="J837" t="n">
        <x:f>IF(A837=A836,IFERROR(IF(B837=EDATE(B836,1),C836,0),0),0)</x:f>
        <x:v>1</x:v>
      </x:c>
      <x:c r="K837" t="n">
        <x:f>IF(AND(J837=1,C837=0),1,0)</x:f>
        <x:v>0</x:v>
      </x:c>
      <x:c r="L837" t="str">
        <x:f>IFERROR(INDEX(Customers!$C$2:$C$451,MATCH(A837,Customers!$A$2:$A$451,0)),"Unknown")</x:f>
        <x:v>Standard</x:v>
      </x:c>
    </x:row>
    <x:row r="838">
      <x:c r="A838" t="n">
        <x:v>151</x:v>
      </x:c>
      <x:c r="B838" s="16" t="n">
        <x:v>46266</x:v>
      </x:c>
      <x:c r="C838" t="n">
        <x:v>0</x:v>
      </x:c>
      <x:c r="D838" t="n">
        <x:v>0</x:v>
      </x:c>
      <x:c r="E838" s="18" t="n">
        <x:v>0</x:v>
      </x:c>
      <x:c r="F838" s="18" t="n">
        <x:v>0</x:v>
      </x:c>
      <x:c r="G838" s="18" t="n">
        <x:v>0</x:v>
      </x:c>
      <x:c r="H838" s="18" t="n">
        <x:v>0</x:v>
      </x:c>
      <x:c r="I838" s="18" t="n">
        <x:v>0</x:v>
      </x:c>
      <x:c r="J838" t="n">
        <x:f>IF(A838=A837,IFERROR(IF(B838=EDATE(B837,1),C837,0),0),0)</x:f>
        <x:v>1</x:v>
      </x:c>
      <x:c r="K838" t="n">
        <x:f>IF(AND(J838=1,C838=0),1,0)</x:f>
        <x:v>1</x:v>
      </x:c>
      <x:c r="L838" t="str">
        <x:f>IFERROR(INDEX(Customers!$C$2:$C$451,MATCH(A838,Customers!$A$2:$A$451,0)),"Unknown")</x:f>
        <x:v>Standard</x:v>
      </x:c>
    </x:row>
    <x:row r="839">
      <x:c r="A839" t="n">
        <x:v>152</x:v>
      </x:c>
      <x:c r="B839" s="16" t="n">
        <x:v>46113</x:v>
      </x:c>
      <x:c r="C839" t="n">
        <x:v>0</x:v>
      </x:c>
      <x:c r="D839" t="n">
        <x:v>0</x:v>
      </x:c>
      <x:c r="E839" s="18" t="n">
        <x:v>0</x:v>
      </x:c>
      <x:c r="F839" s="18" t="n">
        <x:v>0</x:v>
      </x:c>
      <x:c r="G839" s="18" t="n">
        <x:v>0</x:v>
      </x:c>
      <x:c r="H839" s="18" t="n">
        <x:v>0</x:v>
      </x:c>
      <x:c r="I839" s="18" t="n">
        <x:v>0</x:v>
      </x:c>
      <x:c r="J839" t="n">
        <x:f>IF(A839=A838,IFERROR(IF(B839=EDATE(B838,1),C838,0),0),0)</x:f>
        <x:v>0</x:v>
      </x:c>
      <x:c r="K839" t="n">
        <x:f>IF(AND(J839=1,C839=0),1,0)</x:f>
        <x:v>0</x:v>
      </x:c>
      <x:c r="L839" t="str">
        <x:f>IFERROR(INDEX(Customers!$C$2:$C$451,MATCH(A839,Customers!$A$2:$A$451,0)),"Unknown")</x:f>
        <x:v>Standard</x:v>
      </x:c>
    </x:row>
    <x:row r="840">
      <x:c r="A840" t="n">
        <x:v>152</x:v>
      </x:c>
      <x:c r="B840" s="16" t="n">
        <x:v>46143</x:v>
      </x:c>
      <x:c r="C840" t="n">
        <x:v>1</x:v>
      </x:c>
      <x:c r="D840" t="n">
        <x:v>16</x:v>
      </x:c>
      <x:c r="E840" s="18" t="n">
        <x:v>1110.01</x:v>
      </x:c>
      <x:c r="F840" s="18" t="n">
        <x:v>0</x:v>
      </x:c>
      <x:c r="G840" s="18" t="n">
        <x:v>5</x:v>
      </x:c>
      <x:c r="H840" s="18" t="n">
        <x:v>2.91</x:v>
      </x:c>
      <x:c r="I840" s="18" t="n">
        <x:v>7.91</x:v>
      </x:c>
      <x:c r="J840" t="n">
        <x:f>IF(A840=A839,IFERROR(IF(B840=EDATE(B839,1),C839,0),0),0)</x:f>
        <x:v>0</x:v>
      </x:c>
      <x:c r="K840" t="n">
        <x:f>IF(AND(J840=1,C840=0),1,0)</x:f>
        <x:v>0</x:v>
      </x:c>
      <x:c r="L840" t="str">
        <x:f>IFERROR(INDEX(Customers!$C$2:$C$451,MATCH(A840,Customers!$A$2:$A$451,0)),"Unknown")</x:f>
        <x:v>Standard</x:v>
      </x:c>
    </x:row>
    <x:row r="841">
      <x:c r="A841" t="n">
        <x:v>152</x:v>
      </x:c>
      <x:c r="B841" s="16" t="n">
        <x:v>46174</x:v>
      </x:c>
      <x:c r="C841" t="n">
        <x:v>1</x:v>
      </x:c>
      <x:c r="D841" t="n">
        <x:v>8</x:v>
      </x:c>
      <x:c r="E841" s="18" t="n">
        <x:v>641.93</x:v>
      </x:c>
      <x:c r="F841" s="18" t="n">
        <x:v>0</x:v>
      </x:c>
      <x:c r="G841" s="18" t="n">
        <x:v>2.89</x:v>
      </x:c>
      <x:c r="H841" s="18" t="n">
        <x:v>1.67</x:v>
      </x:c>
      <x:c r="I841" s="18" t="n">
        <x:v>4.56</x:v>
      </x:c>
      <x:c r="J841" t="n">
        <x:f>IF(A841=A840,IFERROR(IF(B841=EDATE(B840,1),C840,0),0),0)</x:f>
        <x:v>1</x:v>
      </x:c>
      <x:c r="K841" t="n">
        <x:f>IF(AND(J841=1,C841=0),1,0)</x:f>
        <x:v>0</x:v>
      </x:c>
      <x:c r="L841" t="str">
        <x:f>IFERROR(INDEX(Customers!$C$2:$C$451,MATCH(A841,Customers!$A$2:$A$451,0)),"Unknown")</x:f>
        <x:v>Standard</x:v>
      </x:c>
    </x:row>
    <x:row r="842">
      <x:c r="A842" t="n">
        <x:v>152</x:v>
      </x:c>
      <x:c r="B842" s="16" t="n">
        <x:v>46204</x:v>
      </x:c>
      <x:c r="C842" t="n">
        <x:v>1</x:v>
      </x:c>
      <x:c r="D842" t="n">
        <x:v>10</x:v>
      </x:c>
      <x:c r="E842" s="18" t="n">
        <x:v>1384.36</x:v>
      </x:c>
      <x:c r="F842" s="18" t="n">
        <x:v>0</x:v>
      </x:c>
      <x:c r="G842" s="18" t="n">
        <x:v>6.23</x:v>
      </x:c>
      <x:c r="H842" s="18" t="n">
        <x:v>2.72</x:v>
      </x:c>
      <x:c r="I842" s="18" t="n">
        <x:v>8.95</x:v>
      </x:c>
      <x:c r="J842" t="n">
        <x:f>IF(A842=A841,IFERROR(IF(B842=EDATE(B841,1),C841,0),0),0)</x:f>
        <x:v>1</x:v>
      </x:c>
      <x:c r="K842" t="n">
        <x:f>IF(AND(J842=1,C842=0),1,0)</x:f>
        <x:v>0</x:v>
      </x:c>
      <x:c r="L842" t="str">
        <x:f>IFERROR(INDEX(Customers!$C$2:$C$451,MATCH(A842,Customers!$A$2:$A$451,0)),"Unknown")</x:f>
        <x:v>Standard</x:v>
      </x:c>
    </x:row>
    <x:row r="843">
      <x:c r="A843" t="n">
        <x:v>152</x:v>
      </x:c>
      <x:c r="B843" s="16" t="n">
        <x:v>46235</x:v>
      </x:c>
      <x:c r="C843" t="n">
        <x:v>1</x:v>
      </x:c>
      <x:c r="D843" t="n">
        <x:v>14</x:v>
      </x:c>
      <x:c r="E843" s="18" t="n">
        <x:v>1267.85</x:v>
      </x:c>
      <x:c r="F843" s="18" t="n">
        <x:v>0</x:v>
      </x:c>
      <x:c r="G843" s="18" t="n">
        <x:v>5.71</x:v>
      </x:c>
      <x:c r="H843" s="18" t="n">
        <x:v>2.91</x:v>
      </x:c>
      <x:c r="I843" s="18" t="n">
        <x:v>8.62</x:v>
      </x:c>
      <x:c r="J843" t="n">
        <x:f>IF(A843=A842,IFERROR(IF(B843=EDATE(B842,1),C842,0),0),0)</x:f>
        <x:v>1</x:v>
      </x:c>
      <x:c r="K843" t="n">
        <x:f>IF(AND(J843=1,C843=0),1,0)</x:f>
        <x:v>0</x:v>
      </x:c>
      <x:c r="L843" t="str">
        <x:f>IFERROR(INDEX(Customers!$C$2:$C$451,MATCH(A843,Customers!$A$2:$A$451,0)),"Unknown")</x:f>
        <x:v>Standard</x:v>
      </x:c>
    </x:row>
    <x:row r="844">
      <x:c r="A844" t="n">
        <x:v>152</x:v>
      </x:c>
      <x:c r="B844" s="16" t="n">
        <x:v>46266</x:v>
      </x:c>
      <x:c r="C844" t="n">
        <x:v>0</x:v>
      </x:c>
      <x:c r="D844" t="n">
        <x:v>0</x:v>
      </x:c>
      <x:c r="E844" s="18" t="n">
        <x:v>0</x:v>
      </x:c>
      <x:c r="F844" s="18" t="n">
        <x:v>0</x:v>
      </x:c>
      <x:c r="G844" s="18" t="n">
        <x:v>0</x:v>
      </x:c>
      <x:c r="H844" s="18" t="n">
        <x:v>0</x:v>
      </x:c>
      <x:c r="I844" s="18" t="n">
        <x:v>0</x:v>
      </x:c>
      <x:c r="J844" t="n">
        <x:f>IF(A844=A843,IFERROR(IF(B844=EDATE(B843,1),C843,0),0),0)</x:f>
        <x:v>1</x:v>
      </x:c>
      <x:c r="K844" t="n">
        <x:f>IF(AND(J844=1,C844=0),1,0)</x:f>
        <x:v>1</x:v>
      </x:c>
      <x:c r="L844" t="str">
        <x:f>IFERROR(INDEX(Customers!$C$2:$C$451,MATCH(A844,Customers!$A$2:$A$451,0)),"Unknown")</x:f>
        <x:v>Standard</x:v>
      </x:c>
    </x:row>
    <x:row r="845">
      <x:c r="A845" t="n">
        <x:v>153</x:v>
      </x:c>
      <x:c r="B845" s="16" t="n">
        <x:v>46174</x:v>
      </x:c>
      <x:c r="C845" t="n">
        <x:v>1</x:v>
      </x:c>
      <x:c r="D845" t="n">
        <x:v>30</x:v>
      </x:c>
      <x:c r="E845" s="18" t="n">
        <x:v>3999.11</x:v>
      </x:c>
      <x:c r="F845" s="18" t="n">
        <x:v>0</x:v>
      </x:c>
      <x:c r="G845" s="18" t="n">
        <x:v>18</x:v>
      </x:c>
      <x:c r="H845" s="18" t="n">
        <x:v>14.28</x:v>
      </x:c>
      <x:c r="I845" s="18" t="n">
        <x:v>32.28</x:v>
      </x:c>
      <x:c r="J845" t="n">
        <x:f>IF(A845=A844,IFERROR(IF(B845=EDATE(B844,1),C844,0),0),0)</x:f>
        <x:v>0</x:v>
      </x:c>
      <x:c r="K845" t="n">
        <x:f>IF(AND(J845=1,C845=0),1,0)</x:f>
        <x:v>0</x:v>
      </x:c>
      <x:c r="L845" t="str">
        <x:f>IFERROR(INDEX(Customers!$C$2:$C$451,MATCH(A845,Customers!$A$2:$A$451,0)),"Unknown")</x:f>
        <x:v>Standard</x:v>
      </x:c>
    </x:row>
    <x:row r="846">
      <x:c r="A846" t="n">
        <x:v>153</x:v>
      </x:c>
      <x:c r="B846" s="16" t="n">
        <x:v>46204</x:v>
      </x:c>
      <x:c r="C846" t="n">
        <x:v>0</x:v>
      </x:c>
      <x:c r="D846" t="n">
        <x:v>0</x:v>
      </x:c>
      <x:c r="E846" s="18" t="n">
        <x:v>0</x:v>
      </x:c>
      <x:c r="F846" s="18" t="n">
        <x:v>0</x:v>
      </x:c>
      <x:c r="G846" s="18" t="n">
        <x:v>0</x:v>
      </x:c>
      <x:c r="H846" s="18" t="n">
        <x:v>0</x:v>
      </x:c>
      <x:c r="I846" s="18" t="n">
        <x:v>0</x:v>
      </x:c>
      <x:c r="J846" t="n">
        <x:f>IF(A846=A845,IFERROR(IF(B846=EDATE(B845,1),C845,0),0),0)</x:f>
        <x:v>1</x:v>
      </x:c>
      <x:c r="K846" t="n">
        <x:f>IF(AND(J846=1,C846=0),1,0)</x:f>
        <x:v>1</x:v>
      </x:c>
      <x:c r="L846" t="str">
        <x:f>IFERROR(INDEX(Customers!$C$2:$C$451,MATCH(A846,Customers!$A$2:$A$451,0)),"Unknown")</x:f>
        <x:v>Standard</x:v>
      </x:c>
    </x:row>
    <x:row r="847">
      <x:c r="A847" t="n">
        <x:v>153</x:v>
      </x:c>
      <x:c r="B847" s="16" t="n">
        <x:v>46235</x:v>
      </x:c>
      <x:c r="C847" t="n">
        <x:v>1</x:v>
      </x:c>
      <x:c r="D847" t="n">
        <x:v>28</x:v>
      </x:c>
      <x:c r="E847" s="18" t="n">
        <x:v>2398.18</x:v>
      </x:c>
      <x:c r="F847" s="18" t="n">
        <x:v>0</x:v>
      </x:c>
      <x:c r="G847" s="18" t="n">
        <x:v>10.79</x:v>
      </x:c>
      <x:c r="H847" s="18" t="n">
        <x:v>8.52</x:v>
      </x:c>
      <x:c r="I847" s="18" t="n">
        <x:v>19.31</x:v>
      </x:c>
      <x:c r="J847" t="n">
        <x:f>IF(A847=A846,IFERROR(IF(B847=EDATE(B846,1),C846,0),0),0)</x:f>
        <x:v>0</x:v>
      </x:c>
      <x:c r="K847" t="n">
        <x:f>IF(AND(J847=1,C847=0),1,0)</x:f>
        <x:v>0</x:v>
      </x:c>
      <x:c r="L847" t="str">
        <x:f>IFERROR(INDEX(Customers!$C$2:$C$451,MATCH(A847,Customers!$A$2:$A$451,0)),"Unknown")</x:f>
        <x:v>Standard</x:v>
      </x:c>
    </x:row>
    <x:row r="848">
      <x:c r="A848" t="n">
        <x:v>153</x:v>
      </x:c>
      <x:c r="B848" s="16" t="n">
        <x:v>46266</x:v>
      </x:c>
      <x:c r="C848" t="n">
        <x:v>0</x:v>
      </x:c>
      <x:c r="D848" t="n">
        <x:v>0</x:v>
      </x:c>
      <x:c r="E848" s="18" t="n">
        <x:v>0</x:v>
      </x:c>
      <x:c r="F848" s="18" t="n">
        <x:v>0</x:v>
      </x:c>
      <x:c r="G848" s="18" t="n">
        <x:v>0</x:v>
      </x:c>
      <x:c r="H848" s="18" t="n">
        <x:v>0</x:v>
      </x:c>
      <x:c r="I848" s="18" t="n">
        <x:v>0</x:v>
      </x:c>
      <x:c r="J848" t="n">
        <x:f>IF(A848=A847,IFERROR(IF(B848=EDATE(B847,1),C847,0),0),0)</x:f>
        <x:v>1</x:v>
      </x:c>
      <x:c r="K848" t="n">
        <x:f>IF(AND(J848=1,C848=0),1,0)</x:f>
        <x:v>1</x:v>
      </x:c>
      <x:c r="L848" t="str">
        <x:f>IFERROR(INDEX(Customers!$C$2:$C$451,MATCH(A848,Customers!$A$2:$A$451,0)),"Unknown")</x:f>
        <x:v>Standard</x:v>
      </x:c>
    </x:row>
    <x:row r="849">
      <x:c r="A849" t="n">
        <x:v>154</x:v>
      </x:c>
      <x:c r="B849" s="16" t="n">
        <x:v>46113</x:v>
      </x:c>
      <x:c r="C849" t="n">
        <x:v>1</x:v>
      </x:c>
      <x:c r="D849" t="n">
        <x:v>15</x:v>
      </x:c>
      <x:c r="E849" s="18" t="n">
        <x:v>577.44</x:v>
      </x:c>
      <x:c r="F849" s="18" t="n">
        <x:v>8</x:v>
      </x:c>
      <x:c r="G849" s="18" t="n">
        <x:v>2.6</x:v>
      </x:c>
      <x:c r="H849" s="18" t="n">
        <x:v>2.14</x:v>
      </x:c>
      <x:c r="I849" s="18" t="n">
        <x:v>12.74</x:v>
      </x:c>
      <x:c r="J849" t="n">
        <x:f>IF(A849=A848,IFERROR(IF(B849=EDATE(B848,1),C848,0),0),0)</x:f>
        <x:v>0</x:v>
      </x:c>
      <x:c r="K849" t="n">
        <x:f>IF(AND(J849=1,C849=0),1,0)</x:f>
        <x:v>0</x:v>
      </x:c>
      <x:c r="L849" t="str">
        <x:f>IFERROR(INDEX(Customers!$C$2:$C$451,MATCH(A849,Customers!$A$2:$A$451,0)),"Unknown")</x:f>
        <x:v>Plus</x:v>
      </x:c>
    </x:row>
    <x:row r="850">
      <x:c r="A850" t="n">
        <x:v>154</x:v>
      </x:c>
      <x:c r="B850" s="16" t="n">
        <x:v>46143</x:v>
      </x:c>
      <x:c r="C850" t="n">
        <x:v>1</x:v>
      </x:c>
      <x:c r="D850" t="n">
        <x:v>7</x:v>
      </x:c>
      <x:c r="E850" s="18" t="n">
        <x:v>444.73</x:v>
      </x:c>
      <x:c r="F850" s="18" t="n">
        <x:v>8</x:v>
      </x:c>
      <x:c r="G850" s="18" t="n">
        <x:v>2</x:v>
      </x:c>
      <x:c r="H850" s="18" t="n">
        <x:v>0.83</x:v>
      </x:c>
      <x:c r="I850" s="18" t="n">
        <x:v>10.83</x:v>
      </x:c>
      <x:c r="J850" t="n">
        <x:f>IF(A850=A849,IFERROR(IF(B850=EDATE(B849,1),C849,0),0),0)</x:f>
        <x:v>1</x:v>
      </x:c>
      <x:c r="K850" t="n">
        <x:f>IF(AND(J850=1,C850=0),1,0)</x:f>
        <x:v>0</x:v>
      </x:c>
      <x:c r="L850" t="str">
        <x:f>IFERROR(INDEX(Customers!$C$2:$C$451,MATCH(A850,Customers!$A$2:$A$451,0)),"Unknown")</x:f>
        <x:v>Plus</x:v>
      </x:c>
    </x:row>
    <x:row r="851">
      <x:c r="A851" t="n">
        <x:v>154</x:v>
      </x:c>
      <x:c r="B851" s="16" t="n">
        <x:v>46174</x:v>
      </x:c>
      <x:c r="C851" t="n">
        <x:v>0</x:v>
      </x:c>
      <x:c r="D851" t="n">
        <x:v>0</x:v>
      </x:c>
      <x:c r="E851" s="18" t="n">
        <x:v>0</x:v>
      </x:c>
      <x:c r="F851" s="18" t="n">
        <x:v>0</x:v>
      </x:c>
      <x:c r="G851" s="18" t="n">
        <x:v>0</x:v>
      </x:c>
      <x:c r="H851" s="18" t="n">
        <x:v>0</x:v>
      </x:c>
      <x:c r="I851" s="18" t="n">
        <x:v>0</x:v>
      </x:c>
      <x:c r="J851" t="n">
        <x:f>IF(A851=A850,IFERROR(IF(B851=EDATE(B850,1),C850,0),0),0)</x:f>
        <x:v>1</x:v>
      </x:c>
      <x:c r="K851" t="n">
        <x:f>IF(AND(J851=1,C851=0),1,0)</x:f>
        <x:v>1</x:v>
      </x:c>
      <x:c r="L851" t="str">
        <x:f>IFERROR(INDEX(Customers!$C$2:$C$451,MATCH(A851,Customers!$A$2:$A$451,0)),"Unknown")</x:f>
        <x:v>Plus</x:v>
      </x:c>
    </x:row>
    <x:row r="852">
      <x:c r="A852" t="n">
        <x:v>154</x:v>
      </x:c>
      <x:c r="B852" s="16" t="n">
        <x:v>46204</x:v>
      </x:c>
      <x:c r="C852" t="n">
        <x:v>1</x:v>
      </x:c>
      <x:c r="D852" t="n">
        <x:v>4</x:v>
      </x:c>
      <x:c r="E852" s="18" t="n">
        <x:v>242.65</x:v>
      </x:c>
      <x:c r="F852" s="18" t="n">
        <x:v>8</x:v>
      </x:c>
      <x:c r="G852" s="18" t="n">
        <x:v>1.09</x:v>
      </x:c>
      <x:c r="H852" s="18" t="n">
        <x:v>0.52</x:v>
      </x:c>
      <x:c r="I852" s="18" t="n">
        <x:v>9.61</x:v>
      </x:c>
      <x:c r="J852" t="n">
        <x:f>IF(A852=A851,IFERROR(IF(B852=EDATE(B851,1),C851,0),0),0)</x:f>
        <x:v>0</x:v>
      </x:c>
      <x:c r="K852" t="n">
        <x:f>IF(AND(J852=1,C852=0),1,0)</x:f>
        <x:v>0</x:v>
      </x:c>
      <x:c r="L852" t="str">
        <x:f>IFERROR(INDEX(Customers!$C$2:$C$451,MATCH(A852,Customers!$A$2:$A$451,0)),"Unknown")</x:f>
        <x:v>Plus</x:v>
      </x:c>
    </x:row>
    <x:row r="853">
      <x:c r="A853" t="n">
        <x:v>154</x:v>
      </x:c>
      <x:c r="B853" s="16" t="n">
        <x:v>46235</x:v>
      </x:c>
      <x:c r="C853" t="n">
        <x:v>0</x:v>
      </x:c>
      <x:c r="D853" t="n">
        <x:v>0</x:v>
      </x:c>
      <x:c r="E853" s="18" t="n">
        <x:v>0</x:v>
      </x:c>
      <x:c r="F853" s="18" t="n">
        <x:v>0</x:v>
      </x:c>
      <x:c r="G853" s="18" t="n">
        <x:v>0</x:v>
      </x:c>
      <x:c r="H853" s="18" t="n">
        <x:v>0</x:v>
      </x:c>
      <x:c r="I853" s="18" t="n">
        <x:v>0</x:v>
      </x:c>
      <x:c r="J853" t="n">
        <x:f>IF(A853=A852,IFERROR(IF(B853=EDATE(B852,1),C852,0),0),0)</x:f>
        <x:v>1</x:v>
      </x:c>
      <x:c r="K853" t="n">
        <x:f>IF(AND(J853=1,C853=0),1,0)</x:f>
        <x:v>1</x:v>
      </x:c>
      <x:c r="L853" t="str">
        <x:f>IFERROR(INDEX(Customers!$C$2:$C$451,MATCH(A853,Customers!$A$2:$A$451,0)),"Unknown")</x:f>
        <x:v>Plus</x:v>
      </x:c>
    </x:row>
    <x:row r="854">
      <x:c r="A854" t="n">
        <x:v>154</x:v>
      </x:c>
      <x:c r="B854" s="16" t="n">
        <x:v>46266</x:v>
      </x:c>
      <x:c r="C854" t="n">
        <x:v>0</x:v>
      </x:c>
      <x:c r="D854" t="n">
        <x:v>0</x:v>
      </x:c>
      <x:c r="E854" s="18" t="n">
        <x:v>0</x:v>
      </x:c>
      <x:c r="F854" s="18" t="n">
        <x:v>0</x:v>
      </x:c>
      <x:c r="G854" s="18" t="n">
        <x:v>0</x:v>
      </x:c>
      <x:c r="H854" s="18" t="n">
        <x:v>0</x:v>
      </x:c>
      <x:c r="I854" s="18" t="n">
        <x:v>0</x:v>
      </x:c>
      <x:c r="J854" t="n">
        <x:f>IF(A854=A853,IFERROR(IF(B854=EDATE(B853,1),C853,0),0),0)</x:f>
        <x:v>0</x:v>
      </x:c>
      <x:c r="K854" t="n">
        <x:f>IF(AND(J854=1,C854=0),1,0)</x:f>
        <x:v>0</x:v>
      </x:c>
      <x:c r="L854" t="str">
        <x:f>IFERROR(INDEX(Customers!$C$2:$C$451,MATCH(A854,Customers!$A$2:$A$451,0)),"Unknown")</x:f>
        <x:v>Plus</x:v>
      </x:c>
    </x:row>
    <x:row r="855">
      <x:c r="A855" t="n">
        <x:v>155</x:v>
      </x:c>
      <x:c r="B855" s="16" t="n">
        <x:v>46113</x:v>
      </x:c>
      <x:c r="C855" t="n">
        <x:v>0</x:v>
      </x:c>
      <x:c r="D855" t="n">
        <x:v>0</x:v>
      </x:c>
      <x:c r="E855" s="18" t="n">
        <x:v>0</x:v>
      </x:c>
      <x:c r="F855" s="18" t="n">
        <x:v>0</x:v>
      </x:c>
      <x:c r="G855" s="18" t="n">
        <x:v>0</x:v>
      </x:c>
      <x:c r="H855" s="18" t="n">
        <x:v>0</x:v>
      </x:c>
      <x:c r="I855" s="18" t="n">
        <x:v>0</x:v>
      </x:c>
      <x:c r="J855" t="n">
        <x:f>IF(A855=A854,IFERROR(IF(B855=EDATE(B854,1),C854,0),0),0)</x:f>
        <x:v>0</x:v>
      </x:c>
      <x:c r="K855" t="n">
        <x:f>IF(AND(J855=1,C855=0),1,0)</x:f>
        <x:v>0</x:v>
      </x:c>
      <x:c r="L855" t="str">
        <x:f>IFERROR(INDEX(Customers!$C$2:$C$451,MATCH(A855,Customers!$A$2:$A$451,0)),"Unknown")</x:f>
        <x:v>Standard</x:v>
      </x:c>
    </x:row>
    <x:row r="856">
      <x:c r="A856" t="n">
        <x:v>155</x:v>
      </x:c>
      <x:c r="B856" s="16" t="n">
        <x:v>46143</x:v>
      </x:c>
      <x:c r="C856" t="n">
        <x:v>1</x:v>
      </x:c>
      <x:c r="D856" t="n">
        <x:v>16</x:v>
      </x:c>
      <x:c r="E856" s="18" t="n">
        <x:v>584.5</x:v>
      </x:c>
      <x:c r="F856" s="18" t="n">
        <x:v>0</x:v>
      </x:c>
      <x:c r="G856" s="18" t="n">
        <x:v>2.63</x:v>
      </x:c>
      <x:c r="H856" s="18" t="n">
        <x:v>1.07</x:v>
      </x:c>
      <x:c r="I856" s="18" t="n">
        <x:v>3.7</x:v>
      </x:c>
      <x:c r="J856" t="n">
        <x:f>IF(A856=A855,IFERROR(IF(B856=EDATE(B855,1),C855,0),0),0)</x:f>
        <x:v>0</x:v>
      </x:c>
      <x:c r="K856" t="n">
        <x:f>IF(AND(J856=1,C856=0),1,0)</x:f>
        <x:v>0</x:v>
      </x:c>
      <x:c r="L856" t="str">
        <x:f>IFERROR(INDEX(Customers!$C$2:$C$451,MATCH(A856,Customers!$A$2:$A$451,0)),"Unknown")</x:f>
        <x:v>Standard</x:v>
      </x:c>
    </x:row>
    <x:row r="857">
      <x:c r="A857" t="n">
        <x:v>155</x:v>
      </x:c>
      <x:c r="B857" s="16" t="n">
        <x:v>46174</x:v>
      </x:c>
      <x:c r="C857" t="n">
        <x:v>0</x:v>
      </x:c>
      <x:c r="D857" t="n">
        <x:v>0</x:v>
      </x:c>
      <x:c r="E857" s="18" t="n">
        <x:v>0</x:v>
      </x:c>
      <x:c r="F857" s="18" t="n">
        <x:v>0</x:v>
      </x:c>
      <x:c r="G857" s="18" t="n">
        <x:v>0</x:v>
      </x:c>
      <x:c r="H857" s="18" t="n">
        <x:v>0</x:v>
      </x:c>
      <x:c r="I857" s="18" t="n">
        <x:v>0</x:v>
      </x:c>
      <x:c r="J857" t="n">
        <x:f>IF(A857=A856,IFERROR(IF(B857=EDATE(B856,1),C856,0),0),0)</x:f>
        <x:v>1</x:v>
      </x:c>
      <x:c r="K857" t="n">
        <x:f>IF(AND(J857=1,C857=0),1,0)</x:f>
        <x:v>1</x:v>
      </x:c>
      <x:c r="L857" t="str">
        <x:f>IFERROR(INDEX(Customers!$C$2:$C$451,MATCH(A857,Customers!$A$2:$A$451,0)),"Unknown")</x:f>
        <x:v>Standard</x:v>
      </x:c>
    </x:row>
    <x:row r="858">
      <x:c r="A858" t="n">
        <x:v>155</x:v>
      </x:c>
      <x:c r="B858" s="16" t="n">
        <x:v>46204</x:v>
      </x:c>
      <x:c r="C858" t="n">
        <x:v>1</x:v>
      </x:c>
      <x:c r="D858" t="n">
        <x:v>7</x:v>
      </x:c>
      <x:c r="E858" s="18" t="n">
        <x:v>466.39</x:v>
      </x:c>
      <x:c r="F858" s="18" t="n">
        <x:v>0</x:v>
      </x:c>
      <x:c r="G858" s="18" t="n">
        <x:v>2.1</x:v>
      </x:c>
      <x:c r="H858" s="18" t="n">
        <x:v>1.45</x:v>
      </x:c>
      <x:c r="I858" s="18" t="n">
        <x:v>3.55</x:v>
      </x:c>
      <x:c r="J858" t="n">
        <x:f>IF(A858=A857,IFERROR(IF(B858=EDATE(B857,1),C857,0),0),0)</x:f>
        <x:v>0</x:v>
      </x:c>
      <x:c r="K858" t="n">
        <x:f>IF(AND(J858=1,C858=0),1,0)</x:f>
        <x:v>0</x:v>
      </x:c>
      <x:c r="L858" t="str">
        <x:f>IFERROR(INDEX(Customers!$C$2:$C$451,MATCH(A858,Customers!$A$2:$A$451,0)),"Unknown")</x:f>
        <x:v>Standard</x:v>
      </x:c>
    </x:row>
    <x:row r="859">
      <x:c r="A859" t="n">
        <x:v>155</x:v>
      </x:c>
      <x:c r="B859" s="16" t="n">
        <x:v>46235</x:v>
      </x:c>
      <x:c r="C859" t="n">
        <x:v>1</x:v>
      </x:c>
      <x:c r="D859" t="n">
        <x:v>32</x:v>
      </x:c>
      <x:c r="E859" s="18" t="n">
        <x:v>1702.27</x:v>
      </x:c>
      <x:c r="F859" s="18" t="n">
        <x:v>0</x:v>
      </x:c>
      <x:c r="G859" s="18" t="n">
        <x:v>7.66</x:v>
      </x:c>
      <x:c r="H859" s="18" t="n">
        <x:v>3.63</x:v>
      </x:c>
      <x:c r="I859" s="18" t="n">
        <x:v>11.29</x:v>
      </x:c>
      <x:c r="J859" t="n">
        <x:f>IF(A859=A858,IFERROR(IF(B859=EDATE(B858,1),C858,0),0),0)</x:f>
        <x:v>1</x:v>
      </x:c>
      <x:c r="K859" t="n">
        <x:f>IF(AND(J859=1,C859=0),1,0)</x:f>
        <x:v>0</x:v>
      </x:c>
      <x:c r="L859" t="str">
        <x:f>IFERROR(INDEX(Customers!$C$2:$C$451,MATCH(A859,Customers!$A$2:$A$451,0)),"Unknown")</x:f>
        <x:v>Standard</x:v>
      </x:c>
    </x:row>
    <x:row r="860">
      <x:c r="A860" t="n">
        <x:v>155</x:v>
      </x:c>
      <x:c r="B860" s="16" t="n">
        <x:v>46266</x:v>
      </x:c>
      <x:c r="C860" t="n">
        <x:v>1</x:v>
      </x:c>
      <x:c r="D860" t="n">
        <x:v>32</x:v>
      </x:c>
      <x:c r="E860" s="18" t="n">
        <x:v>2943.01</x:v>
      </x:c>
      <x:c r="F860" s="18" t="n">
        <x:v>0</x:v>
      </x:c>
      <x:c r="G860" s="18" t="n">
        <x:v>13.24</x:v>
      </x:c>
      <x:c r="H860" s="18" t="n">
        <x:v>7.18</x:v>
      </x:c>
      <x:c r="I860" s="18" t="n">
        <x:v>20.42</x:v>
      </x:c>
      <x:c r="J860" t="n">
        <x:f>IF(A860=A859,IFERROR(IF(B860=EDATE(B859,1),C859,0),0),0)</x:f>
        <x:v>1</x:v>
      </x:c>
      <x:c r="K860" t="n">
        <x:f>IF(AND(J860=1,C860=0),1,0)</x:f>
        <x:v>0</x:v>
      </x:c>
      <x:c r="L860" t="str">
        <x:f>IFERROR(INDEX(Customers!$C$2:$C$451,MATCH(A860,Customers!$A$2:$A$451,0)),"Unknown")</x:f>
        <x:v>Standard</x:v>
      </x:c>
    </x:row>
    <x:row r="861">
      <x:c r="A861" t="n">
        <x:v>156</x:v>
      </x:c>
      <x:c r="B861" s="16" t="n">
        <x:v>46113</x:v>
      </x:c>
      <x:c r="C861" t="n">
        <x:v>1</x:v>
      </x:c>
      <x:c r="D861" t="n">
        <x:v>12</x:v>
      </x:c>
      <x:c r="E861" s="18" t="n">
        <x:v>945.84</x:v>
      </x:c>
      <x:c r="F861" s="18" t="n">
        <x:v>0</x:v>
      </x:c>
      <x:c r="G861" s="18" t="n">
        <x:v>4.26</x:v>
      </x:c>
      <x:c r="H861" s="18" t="n">
        <x:v>1.36</x:v>
      </x:c>
      <x:c r="I861" s="18" t="n">
        <x:v>5.62</x:v>
      </x:c>
      <x:c r="J861" t="n">
        <x:f>IF(A861=A860,IFERROR(IF(B861=EDATE(B860,1),C860,0),0),0)</x:f>
        <x:v>0</x:v>
      </x:c>
      <x:c r="K861" t="n">
        <x:f>IF(AND(J861=1,C861=0),1,0)</x:f>
        <x:v>0</x:v>
      </x:c>
      <x:c r="L861" t="str">
        <x:f>IFERROR(INDEX(Customers!$C$2:$C$451,MATCH(A861,Customers!$A$2:$A$451,0)),"Unknown")</x:f>
        <x:v>Standard</x:v>
      </x:c>
    </x:row>
    <x:row r="862">
      <x:c r="A862" t="n">
        <x:v>156</x:v>
      </x:c>
      <x:c r="B862" s="16" t="n">
        <x:v>46143</x:v>
      </x:c>
      <x:c r="C862" t="n">
        <x:v>1</x:v>
      </x:c>
      <x:c r="D862" t="n">
        <x:v>15</x:v>
      </x:c>
      <x:c r="E862" s="18" t="n">
        <x:v>1096.47</x:v>
      </x:c>
      <x:c r="F862" s="18" t="n">
        <x:v>0</x:v>
      </x:c>
      <x:c r="G862" s="18" t="n">
        <x:v>4.93</x:v>
      </x:c>
      <x:c r="H862" s="18" t="n">
        <x:v>2.84</x:v>
      </x:c>
      <x:c r="I862" s="18" t="n">
        <x:v>7.77</x:v>
      </x:c>
      <x:c r="J862" t="n">
        <x:f>IF(A862=A861,IFERROR(IF(B862=EDATE(B861,1),C861,0),0),0)</x:f>
        <x:v>1</x:v>
      </x:c>
      <x:c r="K862" t="n">
        <x:f>IF(AND(J862=1,C862=0),1,0)</x:f>
        <x:v>0</x:v>
      </x:c>
      <x:c r="L862" t="str">
        <x:f>IFERROR(INDEX(Customers!$C$2:$C$451,MATCH(A862,Customers!$A$2:$A$451,0)),"Unknown")</x:f>
        <x:v>Standard</x:v>
      </x:c>
    </x:row>
    <x:row r="863">
      <x:c r="A863" t="n">
        <x:v>156</x:v>
      </x:c>
      <x:c r="B863" s="16" t="n">
        <x:v>46174</x:v>
      </x:c>
      <x:c r="C863" t="n">
        <x:v>0</x:v>
      </x:c>
      <x:c r="D863" t="n">
        <x:v>0</x:v>
      </x:c>
      <x:c r="E863" s="18" t="n">
        <x:v>0</x:v>
      </x:c>
      <x:c r="F863" s="18" t="n">
        <x:v>0</x:v>
      </x:c>
      <x:c r="G863" s="18" t="n">
        <x:v>0</x:v>
      </x:c>
      <x:c r="H863" s="18" t="n">
        <x:v>0</x:v>
      </x:c>
      <x:c r="I863" s="18" t="n">
        <x:v>0</x:v>
      </x:c>
      <x:c r="J863" t="n">
        <x:f>IF(A863=A862,IFERROR(IF(B863=EDATE(B862,1),C862,0),0),0)</x:f>
        <x:v>1</x:v>
      </x:c>
      <x:c r="K863" t="n">
        <x:f>IF(AND(J863=1,C863=0),1,0)</x:f>
        <x:v>1</x:v>
      </x:c>
      <x:c r="L863" t="str">
        <x:f>IFERROR(INDEX(Customers!$C$2:$C$451,MATCH(A863,Customers!$A$2:$A$451,0)),"Unknown")</x:f>
        <x:v>Standard</x:v>
      </x:c>
    </x:row>
    <x:row r="864">
      <x:c r="A864" t="n">
        <x:v>156</x:v>
      </x:c>
      <x:c r="B864" s="16" t="n">
        <x:v>46204</x:v>
      </x:c>
      <x:c r="C864" t="n">
        <x:v>1</x:v>
      </x:c>
      <x:c r="D864" t="n">
        <x:v>19</x:v>
      </x:c>
      <x:c r="E864" s="18" t="n">
        <x:v>2435.61</x:v>
      </x:c>
      <x:c r="F864" s="18" t="n">
        <x:v>0</x:v>
      </x:c>
      <x:c r="G864" s="18" t="n">
        <x:v>10.96</x:v>
      </x:c>
      <x:c r="H864" s="18" t="n">
        <x:v>2.71</x:v>
      </x:c>
      <x:c r="I864" s="18" t="n">
        <x:v>13.67</x:v>
      </x:c>
      <x:c r="J864" t="n">
        <x:f>IF(A864=A863,IFERROR(IF(B864=EDATE(B863,1),C863,0),0),0)</x:f>
        <x:v>0</x:v>
      </x:c>
      <x:c r="K864" t="n">
        <x:f>IF(AND(J864=1,C864=0),1,0)</x:f>
        <x:v>0</x:v>
      </x:c>
      <x:c r="L864" t="str">
        <x:f>IFERROR(INDEX(Customers!$C$2:$C$451,MATCH(A864,Customers!$A$2:$A$451,0)),"Unknown")</x:f>
        <x:v>Standard</x:v>
      </x:c>
    </x:row>
    <x:row r="865">
      <x:c r="A865" t="n">
        <x:v>156</x:v>
      </x:c>
      <x:c r="B865" s="16" t="n">
        <x:v>46235</x:v>
      </x:c>
      <x:c r="C865" t="n">
        <x:v>0</x:v>
      </x:c>
      <x:c r="D865" t="n">
        <x:v>0</x:v>
      </x:c>
      <x:c r="E865" s="18" t="n">
        <x:v>0</x:v>
      </x:c>
      <x:c r="F865" s="18" t="n">
        <x:v>0</x:v>
      </x:c>
      <x:c r="G865" s="18" t="n">
        <x:v>0</x:v>
      </x:c>
      <x:c r="H865" s="18" t="n">
        <x:v>0</x:v>
      </x:c>
      <x:c r="I865" s="18" t="n">
        <x:v>0</x:v>
      </x:c>
      <x:c r="J865" t="n">
        <x:f>IF(A865=A864,IFERROR(IF(B865=EDATE(B864,1),C864,0),0),0)</x:f>
        <x:v>1</x:v>
      </x:c>
      <x:c r="K865" t="n">
        <x:f>IF(AND(J865=1,C865=0),1,0)</x:f>
        <x:v>1</x:v>
      </x:c>
      <x:c r="L865" t="str">
        <x:f>IFERROR(INDEX(Customers!$C$2:$C$451,MATCH(A865,Customers!$A$2:$A$451,0)),"Unknown")</x:f>
        <x:v>Standard</x:v>
      </x:c>
    </x:row>
    <x:row r="866">
      <x:c r="A866" t="n">
        <x:v>156</x:v>
      </x:c>
      <x:c r="B866" s="16" t="n">
        <x:v>46266</x:v>
      </x:c>
      <x:c r="C866" t="n">
        <x:v>0</x:v>
      </x:c>
      <x:c r="D866" t="n">
        <x:v>0</x:v>
      </x:c>
      <x:c r="E866" s="18" t="n">
        <x:v>0</x:v>
      </x:c>
      <x:c r="F866" s="18" t="n">
        <x:v>0</x:v>
      </x:c>
      <x:c r="G866" s="18" t="n">
        <x:v>0</x:v>
      </x:c>
      <x:c r="H866" s="18" t="n">
        <x:v>0</x:v>
      </x:c>
      <x:c r="I866" s="18" t="n">
        <x:v>0</x:v>
      </x:c>
      <x:c r="J866" t="n">
        <x:f>IF(A866=A865,IFERROR(IF(B866=EDATE(B865,1),C865,0),0),0)</x:f>
        <x:v>0</x:v>
      </x:c>
      <x:c r="K866" t="n">
        <x:f>IF(AND(J866=1,C866=0),1,0)</x:f>
        <x:v>0</x:v>
      </x:c>
      <x:c r="L866" t="str">
        <x:f>IFERROR(INDEX(Customers!$C$2:$C$451,MATCH(A866,Customers!$A$2:$A$451,0)),"Unknown")</x:f>
        <x:v>Standard</x:v>
      </x:c>
    </x:row>
    <x:row r="867">
      <x:c r="A867" t="n">
        <x:v>157</x:v>
      </x:c>
      <x:c r="B867" s="16" t="n">
        <x:v>46113</x:v>
      </x:c>
      <x:c r="C867" t="n">
        <x:v>0</x:v>
      </x:c>
      <x:c r="D867" t="n">
        <x:v>0</x:v>
      </x:c>
      <x:c r="E867" s="18" t="n">
        <x:v>0</x:v>
      </x:c>
      <x:c r="F867" s="18" t="n">
        <x:v>0</x:v>
      </x:c>
      <x:c r="G867" s="18" t="n">
        <x:v>0</x:v>
      </x:c>
      <x:c r="H867" s="18" t="n">
        <x:v>0</x:v>
      </x:c>
      <x:c r="I867" s="18" t="n">
        <x:v>0</x:v>
      </x:c>
      <x:c r="J867" t="n">
        <x:f>IF(A867=A866,IFERROR(IF(B867=EDATE(B866,1),C866,0),0),0)</x:f>
        <x:v>0</x:v>
      </x:c>
      <x:c r="K867" t="n">
        <x:f>IF(AND(J867=1,C867=0),1,0)</x:f>
        <x:v>0</x:v>
      </x:c>
      <x:c r="L867" t="str">
        <x:f>IFERROR(INDEX(Customers!$C$2:$C$451,MATCH(A867,Customers!$A$2:$A$451,0)),"Unknown")</x:f>
        <x:v>Standard</x:v>
      </x:c>
    </x:row>
    <x:row r="868">
      <x:c r="A868" t="n">
        <x:v>157</x:v>
      </x:c>
      <x:c r="B868" s="16" t="n">
        <x:v>46143</x:v>
      </x:c>
      <x:c r="C868" t="n">
        <x:v>1</x:v>
      </x:c>
      <x:c r="D868" t="n">
        <x:v>32</x:v>
      </x:c>
      <x:c r="E868" s="18" t="n">
        <x:v>2946.41</x:v>
      </x:c>
      <x:c r="F868" s="18" t="n">
        <x:v>0</x:v>
      </x:c>
      <x:c r="G868" s="18" t="n">
        <x:v>13.26</x:v>
      </x:c>
      <x:c r="H868" s="18" t="n">
        <x:v>6.71</x:v>
      </x:c>
      <x:c r="I868" s="18" t="n">
        <x:v>19.97</x:v>
      </x:c>
      <x:c r="J868" t="n">
        <x:f>IF(A868=A867,IFERROR(IF(B868=EDATE(B867,1),C867,0),0),0)</x:f>
        <x:v>0</x:v>
      </x:c>
      <x:c r="K868" t="n">
        <x:f>IF(AND(J868=1,C868=0),1,0)</x:f>
        <x:v>0</x:v>
      </x:c>
      <x:c r="L868" t="str">
        <x:f>IFERROR(INDEX(Customers!$C$2:$C$451,MATCH(A868,Customers!$A$2:$A$451,0)),"Unknown")</x:f>
        <x:v>Standard</x:v>
      </x:c>
    </x:row>
    <x:row r="869">
      <x:c r="A869" t="n">
        <x:v>157</x:v>
      </x:c>
      <x:c r="B869" s="16" t="n">
        <x:v>46174</x:v>
      </x:c>
      <x:c r="C869" t="n">
        <x:v>0</x:v>
      </x:c>
      <x:c r="D869" t="n">
        <x:v>0</x:v>
      </x:c>
      <x:c r="E869" s="18" t="n">
        <x:v>0</x:v>
      </x:c>
      <x:c r="F869" s="18" t="n">
        <x:v>0</x:v>
      </x:c>
      <x:c r="G869" s="18" t="n">
        <x:v>0</x:v>
      </x:c>
      <x:c r="H869" s="18" t="n">
        <x:v>0</x:v>
      </x:c>
      <x:c r="I869" s="18" t="n">
        <x:v>0</x:v>
      </x:c>
      <x:c r="J869" t="n">
        <x:f>IF(A869=A868,IFERROR(IF(B869=EDATE(B868,1),C868,0),0),0)</x:f>
        <x:v>1</x:v>
      </x:c>
      <x:c r="K869" t="n">
        <x:f>IF(AND(J869=1,C869=0),1,0)</x:f>
        <x:v>1</x:v>
      </x:c>
      <x:c r="L869" t="str">
        <x:f>IFERROR(INDEX(Customers!$C$2:$C$451,MATCH(A869,Customers!$A$2:$A$451,0)),"Unknown")</x:f>
        <x:v>Standard</x:v>
      </x:c>
    </x:row>
    <x:row r="870">
      <x:c r="A870" t="n">
        <x:v>157</x:v>
      </x:c>
      <x:c r="B870" s="16" t="n">
        <x:v>46204</x:v>
      </x:c>
      <x:c r="C870" t="n">
        <x:v>1</x:v>
      </x:c>
      <x:c r="D870" t="n">
        <x:v>4</x:v>
      </x:c>
      <x:c r="E870" s="18" t="n">
        <x:v>207.13</x:v>
      </x:c>
      <x:c r="F870" s="18" t="n">
        <x:v>0</x:v>
      </x:c>
      <x:c r="G870" s="18" t="n">
        <x:v>0.93</x:v>
      </x:c>
      <x:c r="H870" s="18" t="n">
        <x:v>0.18</x:v>
      </x:c>
      <x:c r="I870" s="18" t="n">
        <x:v>1.11</x:v>
      </x:c>
      <x:c r="J870" t="n">
        <x:f>IF(A870=A869,IFERROR(IF(B870=EDATE(B869,1),C869,0),0),0)</x:f>
        <x:v>0</x:v>
      </x:c>
      <x:c r="K870" t="n">
        <x:f>IF(AND(J870=1,C870=0),1,0)</x:f>
        <x:v>0</x:v>
      </x:c>
      <x:c r="L870" t="str">
        <x:f>IFERROR(INDEX(Customers!$C$2:$C$451,MATCH(A870,Customers!$A$2:$A$451,0)),"Unknown")</x:f>
        <x:v>Standard</x:v>
      </x:c>
    </x:row>
    <x:row r="871">
      <x:c r="A871" t="n">
        <x:v>157</x:v>
      </x:c>
      <x:c r="B871" s="16" t="n">
        <x:v>46235</x:v>
      </x:c>
      <x:c r="C871" t="n">
        <x:v>0</x:v>
      </x:c>
      <x:c r="D871" t="n">
        <x:v>0</x:v>
      </x:c>
      <x:c r="E871" s="18" t="n">
        <x:v>0</x:v>
      </x:c>
      <x:c r="F871" s="18" t="n">
        <x:v>0</x:v>
      </x:c>
      <x:c r="G871" s="18" t="n">
        <x:v>0</x:v>
      </x:c>
      <x:c r="H871" s="18" t="n">
        <x:v>0</x:v>
      </x:c>
      <x:c r="I871" s="18" t="n">
        <x:v>0</x:v>
      </x:c>
      <x:c r="J871" t="n">
        <x:f>IF(A871=A870,IFERROR(IF(B871=EDATE(B870,1),C870,0),0),0)</x:f>
        <x:v>1</x:v>
      </x:c>
      <x:c r="K871" t="n">
        <x:f>IF(AND(J871=1,C871=0),1,0)</x:f>
        <x:v>1</x:v>
      </x:c>
      <x:c r="L871" t="str">
        <x:f>IFERROR(INDEX(Customers!$C$2:$C$451,MATCH(A871,Customers!$A$2:$A$451,0)),"Unknown")</x:f>
        <x:v>Standard</x:v>
      </x:c>
    </x:row>
    <x:row r="872">
      <x:c r="A872" t="n">
        <x:v>157</x:v>
      </x:c>
      <x:c r="B872" s="16" t="n">
        <x:v>46266</x:v>
      </x:c>
      <x:c r="C872" t="n">
        <x:v>1</x:v>
      </x:c>
      <x:c r="D872" t="n">
        <x:v>23</x:v>
      </x:c>
      <x:c r="E872" s="18" t="n">
        <x:v>1190.98</x:v>
      </x:c>
      <x:c r="F872" s="18" t="n">
        <x:v>0</x:v>
      </x:c>
      <x:c r="G872" s="18" t="n">
        <x:v>5.36</x:v>
      </x:c>
      <x:c r="H872" s="18" t="n">
        <x:v>3.62</x:v>
      </x:c>
      <x:c r="I872" s="18" t="n">
        <x:v>8.98</x:v>
      </x:c>
      <x:c r="J872" t="n">
        <x:f>IF(A872=A871,IFERROR(IF(B872=EDATE(B871,1),C871,0),0),0)</x:f>
        <x:v>0</x:v>
      </x:c>
      <x:c r="K872" t="n">
        <x:f>IF(AND(J872=1,C872=0),1,0)</x:f>
        <x:v>0</x:v>
      </x:c>
      <x:c r="L872" t="str">
        <x:f>IFERROR(INDEX(Customers!$C$2:$C$451,MATCH(A872,Customers!$A$2:$A$451,0)),"Unknown")</x:f>
        <x:v>Standard</x:v>
      </x:c>
    </x:row>
    <x:row r="873">
      <x:c r="A873" t="n">
        <x:v>158</x:v>
      </x:c>
      <x:c r="B873" s="16" t="n">
        <x:v>46113</x:v>
      </x:c>
      <x:c r="C873" t="n">
        <x:v>0</x:v>
      </x:c>
      <x:c r="D873" t="n">
        <x:v>0</x:v>
      </x:c>
      <x:c r="E873" s="18" t="n">
        <x:v>0</x:v>
      </x:c>
      <x:c r="F873" s="18" t="n">
        <x:v>0</x:v>
      </x:c>
      <x:c r="G873" s="18" t="n">
        <x:v>0</x:v>
      </x:c>
      <x:c r="H873" s="18" t="n">
        <x:v>0</x:v>
      </x:c>
      <x:c r="I873" s="18" t="n">
        <x:v>0</x:v>
      </x:c>
      <x:c r="J873" t="n">
        <x:f>IF(A873=A872,IFERROR(IF(B873=EDATE(B872,1),C872,0),0),0)</x:f>
        <x:v>0</x:v>
      </x:c>
      <x:c r="K873" t="n">
        <x:f>IF(AND(J873=1,C873=0),1,0)</x:f>
        <x:v>0</x:v>
      </x:c>
      <x:c r="L873" t="str">
        <x:f>IFERROR(INDEX(Customers!$C$2:$C$451,MATCH(A873,Customers!$A$2:$A$451,0)),"Unknown")</x:f>
        <x:v>Plus</x:v>
      </x:c>
    </x:row>
    <x:row r="874">
      <x:c r="A874" t="n">
        <x:v>158</x:v>
      </x:c>
      <x:c r="B874" s="16" t="n">
        <x:v>46143</x:v>
      </x:c>
      <x:c r="C874" t="n">
        <x:v>1</x:v>
      </x:c>
      <x:c r="D874" t="n">
        <x:v>20</x:v>
      </x:c>
      <x:c r="E874" s="18" t="n">
        <x:v>926.6</x:v>
      </x:c>
      <x:c r="F874" s="18" t="n">
        <x:v>8</x:v>
      </x:c>
      <x:c r="G874" s="18" t="n">
        <x:v>4.17</x:v>
      </x:c>
      <x:c r="H874" s="18" t="n">
        <x:v>2.09</x:v>
      </x:c>
      <x:c r="I874" s="18" t="n">
        <x:v>14.26</x:v>
      </x:c>
      <x:c r="J874" t="n">
        <x:f>IF(A874=A873,IFERROR(IF(B874=EDATE(B873,1),C873,0),0),0)</x:f>
        <x:v>0</x:v>
      </x:c>
      <x:c r="K874" t="n">
        <x:f>IF(AND(J874=1,C874=0),1,0)</x:f>
        <x:v>0</x:v>
      </x:c>
      <x:c r="L874" t="str">
        <x:f>IFERROR(INDEX(Customers!$C$2:$C$451,MATCH(A874,Customers!$A$2:$A$451,0)),"Unknown")</x:f>
        <x:v>Plus</x:v>
      </x:c>
    </x:row>
    <x:row r="875">
      <x:c r="A875" t="n">
        <x:v>158</x:v>
      </x:c>
      <x:c r="B875" s="16" t="n">
        <x:v>46174</x:v>
      </x:c>
      <x:c r="C875" t="n">
        <x:v>1</x:v>
      </x:c>
      <x:c r="D875" t="n">
        <x:v>4</x:v>
      </x:c>
      <x:c r="E875" s="18" t="n">
        <x:v>155.06</x:v>
      </x:c>
      <x:c r="F875" s="18" t="n">
        <x:v>8</x:v>
      </x:c>
      <x:c r="G875" s="18" t="n">
        <x:v>0.7</x:v>
      </x:c>
      <x:c r="H875" s="18" t="n">
        <x:v>0.43</x:v>
      </x:c>
      <x:c r="I875" s="18" t="n">
        <x:v>9.13</x:v>
      </x:c>
      <x:c r="J875" t="n">
        <x:f>IF(A875=A874,IFERROR(IF(B875=EDATE(B874,1),C874,0),0),0)</x:f>
        <x:v>1</x:v>
      </x:c>
      <x:c r="K875" t="n">
        <x:f>IF(AND(J875=1,C875=0),1,0)</x:f>
        <x:v>0</x:v>
      </x:c>
      <x:c r="L875" t="str">
        <x:f>IFERROR(INDEX(Customers!$C$2:$C$451,MATCH(A875,Customers!$A$2:$A$451,0)),"Unknown")</x:f>
        <x:v>Plus</x:v>
      </x:c>
    </x:row>
    <x:row r="876">
      <x:c r="A876" t="n">
        <x:v>158</x:v>
      </x:c>
      <x:c r="B876" s="16" t="n">
        <x:v>46204</x:v>
      </x:c>
      <x:c r="C876" t="n">
        <x:v>1</x:v>
      </x:c>
      <x:c r="D876" t="n">
        <x:v>20</x:v>
      </x:c>
      <x:c r="E876" s="18" t="n">
        <x:v>2506.93</x:v>
      </x:c>
      <x:c r="F876" s="18" t="n">
        <x:v>8</x:v>
      </x:c>
      <x:c r="G876" s="18" t="n">
        <x:v>11.28</x:v>
      </x:c>
      <x:c r="H876" s="18" t="n">
        <x:v>5.29</x:v>
      </x:c>
      <x:c r="I876" s="18" t="n">
        <x:v>24.57</x:v>
      </x:c>
      <x:c r="J876" t="n">
        <x:f>IF(A876=A875,IFERROR(IF(B876=EDATE(B875,1),C875,0),0),0)</x:f>
        <x:v>1</x:v>
      </x:c>
      <x:c r="K876" t="n">
        <x:f>IF(AND(J876=1,C876=0),1,0)</x:f>
        <x:v>0</x:v>
      </x:c>
      <x:c r="L876" t="str">
        <x:f>IFERROR(INDEX(Customers!$C$2:$C$451,MATCH(A876,Customers!$A$2:$A$451,0)),"Unknown")</x:f>
        <x:v>Plus</x:v>
      </x:c>
    </x:row>
    <x:row r="877">
      <x:c r="A877" t="n">
        <x:v>158</x:v>
      </x:c>
      <x:c r="B877" s="16" t="n">
        <x:v>46235</x:v>
      </x:c>
      <x:c r="C877" t="n">
        <x:v>1</x:v>
      </x:c>
      <x:c r="D877" t="n">
        <x:v>5</x:v>
      </x:c>
      <x:c r="E877" s="18" t="n">
        <x:v>314.5</x:v>
      </x:c>
      <x:c r="F877" s="18" t="n">
        <x:v>8</x:v>
      </x:c>
      <x:c r="G877" s="18" t="n">
        <x:v>1.42</x:v>
      </x:c>
      <x:c r="H877" s="18" t="n">
        <x:v>0.77</x:v>
      </x:c>
      <x:c r="I877" s="18" t="n">
        <x:v>10.19</x:v>
      </x:c>
      <x:c r="J877" t="n">
        <x:f>IF(A877=A876,IFERROR(IF(B877=EDATE(B876,1),C876,0),0),0)</x:f>
        <x:v>1</x:v>
      </x:c>
      <x:c r="K877" t="n">
        <x:f>IF(AND(J877=1,C877=0),1,0)</x:f>
        <x:v>0</x:v>
      </x:c>
      <x:c r="L877" t="str">
        <x:f>IFERROR(INDEX(Customers!$C$2:$C$451,MATCH(A877,Customers!$A$2:$A$451,0)),"Unknown")</x:f>
        <x:v>Plus</x:v>
      </x:c>
    </x:row>
    <x:row r="878">
      <x:c r="A878" t="n">
        <x:v>158</x:v>
      </x:c>
      <x:c r="B878" s="16" t="n">
        <x:v>46266</x:v>
      </x:c>
      <x:c r="C878" t="n">
        <x:v>0</x:v>
      </x:c>
      <x:c r="D878" t="n">
        <x:v>0</x:v>
      </x:c>
      <x:c r="E878" s="18" t="n">
        <x:v>0</x:v>
      </x:c>
      <x:c r="F878" s="18" t="n">
        <x:v>0</x:v>
      </x:c>
      <x:c r="G878" s="18" t="n">
        <x:v>0</x:v>
      </x:c>
      <x:c r="H878" s="18" t="n">
        <x:v>0</x:v>
      </x:c>
      <x:c r="I878" s="18" t="n">
        <x:v>0</x:v>
      </x:c>
      <x:c r="J878" t="n">
        <x:f>IF(A878=A877,IFERROR(IF(B878=EDATE(B877,1),C877,0),0),0)</x:f>
        <x:v>1</x:v>
      </x:c>
      <x:c r="K878" t="n">
        <x:f>IF(AND(J878=1,C878=0),1,0)</x:f>
        <x:v>1</x:v>
      </x:c>
      <x:c r="L878" t="str">
        <x:f>IFERROR(INDEX(Customers!$C$2:$C$451,MATCH(A878,Customers!$A$2:$A$451,0)),"Unknown")</x:f>
        <x:v>Plus</x:v>
      </x:c>
    </x:row>
    <x:row r="879">
      <x:c r="A879" t="n">
        <x:v>159</x:v>
      </x:c>
      <x:c r="B879" s="16" t="n">
        <x:v>46143</x:v>
      </x:c>
      <x:c r="C879" t="n">
        <x:v>1</x:v>
      </x:c>
      <x:c r="D879" t="n">
        <x:v>29</x:v>
      </x:c>
      <x:c r="E879" s="18" t="n">
        <x:v>2268.39</x:v>
      </x:c>
      <x:c r="F879" s="18" t="n">
        <x:v>34</x:v>
      </x:c>
      <x:c r="G879" s="18" t="n">
        <x:v>10.21</x:v>
      </x:c>
      <x:c r="H879" s="18" t="n">
        <x:v>3.29</x:v>
      </x:c>
      <x:c r="I879" s="18" t="n">
        <x:v>47.5</x:v>
      </x:c>
      <x:c r="J879" t="n">
        <x:f>IF(A879=A878,IFERROR(IF(B879=EDATE(B878,1),C878,0),0),0)</x:f>
        <x:v>0</x:v>
      </x:c>
      <x:c r="K879" t="n">
        <x:f>IF(AND(J879=1,C879=0),1,0)</x:f>
        <x:v>0</x:v>
      </x:c>
      <x:c r="L879" t="str">
        <x:f>IFERROR(INDEX(Customers!$C$2:$C$451,MATCH(A879,Customers!$A$2:$A$451,0)),"Unknown")</x:f>
        <x:v>Metal</x:v>
      </x:c>
    </x:row>
    <x:row r="880">
      <x:c r="A880" t="n">
        <x:v>159</x:v>
      </x:c>
      <x:c r="B880" s="16" t="n">
        <x:v>46174</x:v>
      </x:c>
      <x:c r="C880" t="n">
        <x:v>1</x:v>
      </x:c>
      <x:c r="D880" t="n">
        <x:v>34</x:v>
      </x:c>
      <x:c r="E880" s="18" t="n">
        <x:v>3277.53</x:v>
      </x:c>
      <x:c r="F880" s="18" t="n">
        <x:v>34</x:v>
      </x:c>
      <x:c r="G880" s="18" t="n">
        <x:v>14.75</x:v>
      </x:c>
      <x:c r="H880" s="18" t="n">
        <x:v>6.97</x:v>
      </x:c>
      <x:c r="I880" s="18" t="n">
        <x:v>55.72</x:v>
      </x:c>
      <x:c r="J880" t="n">
        <x:f>IF(A880=A879,IFERROR(IF(B880=EDATE(B879,1),C879,0),0),0)</x:f>
        <x:v>1</x:v>
      </x:c>
      <x:c r="K880" t="n">
        <x:f>IF(AND(J880=1,C880=0),1,0)</x:f>
        <x:v>0</x:v>
      </x:c>
      <x:c r="L880" t="str">
        <x:f>IFERROR(INDEX(Customers!$C$2:$C$451,MATCH(A880,Customers!$A$2:$A$451,0)),"Unknown")</x:f>
        <x:v>Metal</x:v>
      </x:c>
    </x:row>
    <x:row r="881">
      <x:c r="A881" t="n">
        <x:v>159</x:v>
      </x:c>
      <x:c r="B881" s="16" t="n">
        <x:v>46204</x:v>
      </x:c>
      <x:c r="C881" t="n">
        <x:v>1</x:v>
      </x:c>
      <x:c r="D881" t="n">
        <x:v>13</x:v>
      </x:c>
      <x:c r="E881" s="18" t="n">
        <x:v>1203.96</x:v>
      </x:c>
      <x:c r="F881" s="18" t="n">
        <x:v>34</x:v>
      </x:c>
      <x:c r="G881" s="18" t="n">
        <x:v>5.42</x:v>
      </x:c>
      <x:c r="H881" s="18" t="n">
        <x:v>3.04</x:v>
      </x:c>
      <x:c r="I881" s="18" t="n">
        <x:v>42.46</x:v>
      </x:c>
      <x:c r="J881" t="n">
        <x:f>IF(A881=A880,IFERROR(IF(B881=EDATE(B880,1),C880,0),0),0)</x:f>
        <x:v>1</x:v>
      </x:c>
      <x:c r="K881" t="n">
        <x:f>IF(AND(J881=1,C881=0),1,0)</x:f>
        <x:v>0</x:v>
      </x:c>
      <x:c r="L881" t="str">
        <x:f>IFERROR(INDEX(Customers!$C$2:$C$451,MATCH(A881,Customers!$A$2:$A$451,0)),"Unknown")</x:f>
        <x:v>Metal</x:v>
      </x:c>
    </x:row>
    <x:row r="882">
      <x:c r="A882" t="n">
        <x:v>159</x:v>
      </x:c>
      <x:c r="B882" s="16" t="n">
        <x:v>46235</x:v>
      </x:c>
      <x:c r="C882" t="n">
        <x:v>0</x:v>
      </x:c>
      <x:c r="D882" t="n">
        <x:v>0</x:v>
      </x:c>
      <x:c r="E882" s="18" t="n">
        <x:v>0</x:v>
      </x:c>
      <x:c r="F882" s="18" t="n">
        <x:v>0</x:v>
      </x:c>
      <x:c r="G882" s="18" t="n">
        <x:v>0</x:v>
      </x:c>
      <x:c r="H882" s="18" t="n">
        <x:v>0</x:v>
      </x:c>
      <x:c r="I882" s="18" t="n">
        <x:v>0</x:v>
      </x:c>
      <x:c r="J882" t="n">
        <x:f>IF(A882=A881,IFERROR(IF(B882=EDATE(B881,1),C881,0),0),0)</x:f>
        <x:v>1</x:v>
      </x:c>
      <x:c r="K882" t="n">
        <x:f>IF(AND(J882=1,C882=0),1,0)</x:f>
        <x:v>1</x:v>
      </x:c>
      <x:c r="L882" t="str">
        <x:f>IFERROR(INDEX(Customers!$C$2:$C$451,MATCH(A882,Customers!$A$2:$A$451,0)),"Unknown")</x:f>
        <x:v>Metal</x:v>
      </x:c>
    </x:row>
    <x:row r="883">
      <x:c r="A883" t="n">
        <x:v>159</x:v>
      </x:c>
      <x:c r="B883" s="16" t="n">
        <x:v>46266</x:v>
      </x:c>
      <x:c r="C883" t="n">
        <x:v>0</x:v>
      </x:c>
      <x:c r="D883" t="n">
        <x:v>0</x:v>
      </x:c>
      <x:c r="E883" s="18" t="n">
        <x:v>0</x:v>
      </x:c>
      <x:c r="F883" s="18" t="n">
        <x:v>0</x:v>
      </x:c>
      <x:c r="G883" s="18" t="n">
        <x:v>0</x:v>
      </x:c>
      <x:c r="H883" s="18" t="n">
        <x:v>0</x:v>
      </x:c>
      <x:c r="I883" s="18" t="n">
        <x:v>0</x:v>
      </x:c>
      <x:c r="J883" t="n">
        <x:f>IF(A883=A882,IFERROR(IF(B883=EDATE(B882,1),C882,0),0),0)</x:f>
        <x:v>0</x:v>
      </x:c>
      <x:c r="K883" t="n">
        <x:f>IF(AND(J883=1,C883=0),1,0)</x:f>
        <x:v>0</x:v>
      </x:c>
      <x:c r="L883" t="str">
        <x:f>IFERROR(INDEX(Customers!$C$2:$C$451,MATCH(A883,Customers!$A$2:$A$451,0)),"Unknown")</x:f>
        <x:v>Metal</x:v>
      </x:c>
    </x:row>
    <x:row r="884">
      <x:c r="A884" t="n">
        <x:v>160</x:v>
      </x:c>
      <x:c r="B884" s="16" t="n">
        <x:v>46174</x:v>
      </x:c>
      <x:c r="C884" t="n">
        <x:v>1</x:v>
      </x:c>
      <x:c r="D884" t="n">
        <x:v>26</x:v>
      </x:c>
      <x:c r="E884" s="18" t="n">
        <x:v>3237.69</x:v>
      </x:c>
      <x:c r="F884" s="18" t="n">
        <x:v>0</x:v>
      </x:c>
      <x:c r="G884" s="18" t="n">
        <x:v>14.57</x:v>
      </x:c>
      <x:c r="H884" s="18" t="n">
        <x:v>10.97</x:v>
      </x:c>
      <x:c r="I884" s="18" t="n">
        <x:v>25.54</x:v>
      </x:c>
      <x:c r="J884" t="n">
        <x:f>IF(A884=A883,IFERROR(IF(B884=EDATE(B883,1),C883,0),0),0)</x:f>
        <x:v>0</x:v>
      </x:c>
      <x:c r="K884" t="n">
        <x:f>IF(AND(J884=1,C884=0),1,0)</x:f>
        <x:v>0</x:v>
      </x:c>
      <x:c r="L884" t="str">
        <x:f>IFERROR(INDEX(Customers!$C$2:$C$451,MATCH(A884,Customers!$A$2:$A$451,0)),"Unknown")</x:f>
        <x:v>Standard</x:v>
      </x:c>
    </x:row>
    <x:row r="885">
      <x:c r="A885" t="n">
        <x:v>160</x:v>
      </x:c>
      <x:c r="B885" s="16" t="n">
        <x:v>46204</x:v>
      </x:c>
      <x:c r="C885" t="n">
        <x:v>1</x:v>
      </x:c>
      <x:c r="D885" t="n">
        <x:v>21</x:v>
      </x:c>
      <x:c r="E885" s="18" t="n">
        <x:v>1351.02</x:v>
      </x:c>
      <x:c r="F885" s="18" t="n">
        <x:v>0</x:v>
      </x:c>
      <x:c r="G885" s="18" t="n">
        <x:v>6.08</x:v>
      </x:c>
      <x:c r="H885" s="18" t="n">
        <x:v>4.85</x:v>
      </x:c>
      <x:c r="I885" s="18" t="n">
        <x:v>10.93</x:v>
      </x:c>
      <x:c r="J885" t="n">
        <x:f>IF(A885=A884,IFERROR(IF(B885=EDATE(B884,1),C884,0),0),0)</x:f>
        <x:v>1</x:v>
      </x:c>
      <x:c r="K885" t="n">
        <x:f>IF(AND(J885=1,C885=0),1,0)</x:f>
        <x:v>0</x:v>
      </x:c>
      <x:c r="L885" t="str">
        <x:f>IFERROR(INDEX(Customers!$C$2:$C$451,MATCH(A885,Customers!$A$2:$A$451,0)),"Unknown")</x:f>
        <x:v>Standard</x:v>
      </x:c>
    </x:row>
    <x:row r="886">
      <x:c r="A886" t="n">
        <x:v>160</x:v>
      </x:c>
      <x:c r="B886" s="16" t="n">
        <x:v>46235</x:v>
      </x:c>
      <x:c r="C886" t="n">
        <x:v>1</x:v>
      </x:c>
      <x:c r="D886" t="n">
        <x:v>11</x:v>
      </x:c>
      <x:c r="E886" s="18" t="n">
        <x:v>1197.24</x:v>
      </x:c>
      <x:c r="F886" s="18" t="n">
        <x:v>0</x:v>
      </x:c>
      <x:c r="G886" s="18" t="n">
        <x:v>5.39</x:v>
      </x:c>
      <x:c r="H886" s="18" t="n">
        <x:v>2.49</x:v>
      </x:c>
      <x:c r="I886" s="18" t="n">
        <x:v>7.88</x:v>
      </x:c>
      <x:c r="J886" t="n">
        <x:f>IF(A886=A885,IFERROR(IF(B886=EDATE(B885,1),C885,0),0),0)</x:f>
        <x:v>1</x:v>
      </x:c>
      <x:c r="K886" t="n">
        <x:f>IF(AND(J886=1,C886=0),1,0)</x:f>
        <x:v>0</x:v>
      </x:c>
      <x:c r="L886" t="str">
        <x:f>IFERROR(INDEX(Customers!$C$2:$C$451,MATCH(A886,Customers!$A$2:$A$451,0)),"Unknown")</x:f>
        <x:v>Standard</x:v>
      </x:c>
    </x:row>
    <x:row r="887">
      <x:c r="A887" t="n">
        <x:v>160</x:v>
      </x:c>
      <x:c r="B887" s="16" t="n">
        <x:v>46266</x:v>
      </x:c>
      <x:c r="C887" t="n">
        <x:v>1</x:v>
      </x:c>
      <x:c r="D887" t="n">
        <x:v>33</x:v>
      </x:c>
      <x:c r="E887" s="18" t="n">
        <x:v>2811.22</x:v>
      </x:c>
      <x:c r="F887" s="18" t="n">
        <x:v>0</x:v>
      </x:c>
      <x:c r="G887" s="18" t="n">
        <x:v>12.65</x:v>
      </x:c>
      <x:c r="H887" s="18" t="n">
        <x:v>2.77</x:v>
      </x:c>
      <x:c r="I887" s="18" t="n">
        <x:v>15.42</x:v>
      </x:c>
      <x:c r="J887" t="n">
        <x:f>IF(A887=A886,IFERROR(IF(B887=EDATE(B886,1),C886,0),0),0)</x:f>
        <x:v>1</x:v>
      </x:c>
      <x:c r="K887" t="n">
        <x:f>IF(AND(J887=1,C887=0),1,0)</x:f>
        <x:v>0</x:v>
      </x:c>
      <x:c r="L887" t="str">
        <x:f>IFERROR(INDEX(Customers!$C$2:$C$451,MATCH(A887,Customers!$A$2:$A$451,0)),"Unknown")</x:f>
        <x:v>Standard</x:v>
      </x:c>
    </x:row>
    <x:row r="888">
      <x:c r="A888" t="n">
        <x:v>161</x:v>
      </x:c>
      <x:c r="B888" s="16" t="n">
        <x:v>46113</x:v>
      </x:c>
      <x:c r="C888" t="n">
        <x:v>0</x:v>
      </x:c>
      <x:c r="D888" t="n">
        <x:v>0</x:v>
      </x:c>
      <x:c r="E888" s="18" t="n">
        <x:v>0</x:v>
      </x:c>
      <x:c r="F888" s="18" t="n">
        <x:v>0</x:v>
      </x:c>
      <x:c r="G888" s="18" t="n">
        <x:v>0</x:v>
      </x:c>
      <x:c r="H888" s="18" t="n">
        <x:v>0</x:v>
      </x:c>
      <x:c r="I888" s="18" t="n">
        <x:v>0</x:v>
      </x:c>
      <x:c r="J888" t="n">
        <x:f>IF(A888=A887,IFERROR(IF(B888=EDATE(B887,1),C887,0),0),0)</x:f>
        <x:v>0</x:v>
      </x:c>
      <x:c r="K888" t="n">
        <x:f>IF(AND(J888=1,C888=0),1,0)</x:f>
        <x:v>0</x:v>
      </x:c>
      <x:c r="L888" t="str">
        <x:f>IFERROR(INDEX(Customers!$C$2:$C$451,MATCH(A888,Customers!$A$2:$A$451,0)),"Unknown")</x:f>
        <x:v>Plus</x:v>
      </x:c>
    </x:row>
    <x:row r="889">
      <x:c r="A889" t="n">
        <x:v>161</x:v>
      </x:c>
      <x:c r="B889" s="16" t="n">
        <x:v>46143</x:v>
      </x:c>
      <x:c r="C889" t="n">
        <x:v>1</x:v>
      </x:c>
      <x:c r="D889" t="n">
        <x:v>23</x:v>
      </x:c>
      <x:c r="E889" s="18" t="n">
        <x:v>1090.01</x:v>
      </x:c>
      <x:c r="F889" s="18" t="n">
        <x:v>8</x:v>
      </x:c>
      <x:c r="G889" s="18" t="n">
        <x:v>4.91</x:v>
      </x:c>
      <x:c r="H889" s="18" t="n">
        <x:v>3.84</x:v>
      </x:c>
      <x:c r="I889" s="18" t="n">
        <x:v>16.75</x:v>
      </x:c>
      <x:c r="J889" t="n">
        <x:f>IF(A889=A888,IFERROR(IF(B889=EDATE(B888,1),C888,0),0),0)</x:f>
        <x:v>0</x:v>
      </x:c>
      <x:c r="K889" t="n">
        <x:f>IF(AND(J889=1,C889=0),1,0)</x:f>
        <x:v>0</x:v>
      </x:c>
      <x:c r="L889" t="str">
        <x:f>IFERROR(INDEX(Customers!$C$2:$C$451,MATCH(A889,Customers!$A$2:$A$451,0)),"Unknown")</x:f>
        <x:v>Plus</x:v>
      </x:c>
    </x:row>
    <x:row r="890">
      <x:c r="A890" t="n">
        <x:v>161</x:v>
      </x:c>
      <x:c r="B890" s="16" t="n">
        <x:v>46174</x:v>
      </x:c>
      <x:c r="C890" t="n">
        <x:v>1</x:v>
      </x:c>
      <x:c r="D890" t="n">
        <x:v>31</x:v>
      </x:c>
      <x:c r="E890" s="18" t="n">
        <x:v>3309.12</x:v>
      </x:c>
      <x:c r="F890" s="18" t="n">
        <x:v>8</x:v>
      </x:c>
      <x:c r="G890" s="18" t="n">
        <x:v>14.89</x:v>
      </x:c>
      <x:c r="H890" s="18" t="n">
        <x:v>11.54</x:v>
      </x:c>
      <x:c r="I890" s="18" t="n">
        <x:v>34.43</x:v>
      </x:c>
      <x:c r="J890" t="n">
        <x:f>IF(A890=A889,IFERROR(IF(B890=EDATE(B889,1),C889,0),0),0)</x:f>
        <x:v>1</x:v>
      </x:c>
      <x:c r="K890" t="n">
        <x:f>IF(AND(J890=1,C890=0),1,0)</x:f>
        <x:v>0</x:v>
      </x:c>
      <x:c r="L890" t="str">
        <x:f>IFERROR(INDEX(Customers!$C$2:$C$451,MATCH(A890,Customers!$A$2:$A$451,0)),"Unknown")</x:f>
        <x:v>Plus</x:v>
      </x:c>
    </x:row>
    <x:row r="891">
      <x:c r="A891" t="n">
        <x:v>161</x:v>
      </x:c>
      <x:c r="B891" s="16" t="n">
        <x:v>46204</x:v>
      </x:c>
      <x:c r="C891" t="n">
        <x:v>1</x:v>
      </x:c>
      <x:c r="D891" t="n">
        <x:v>5</x:v>
      </x:c>
      <x:c r="E891" s="18" t="n">
        <x:v>348.12</x:v>
      </x:c>
      <x:c r="F891" s="18" t="n">
        <x:v>8</x:v>
      </x:c>
      <x:c r="G891" s="18" t="n">
        <x:v>1.57</x:v>
      </x:c>
      <x:c r="H891" s="18" t="n">
        <x:v>0.4</x:v>
      </x:c>
      <x:c r="I891" s="18" t="n">
        <x:v>9.97</x:v>
      </x:c>
      <x:c r="J891" t="n">
        <x:f>IF(A891=A890,IFERROR(IF(B891=EDATE(B890,1),C890,0),0),0)</x:f>
        <x:v>1</x:v>
      </x:c>
      <x:c r="K891" t="n">
        <x:f>IF(AND(J891=1,C891=0),1,0)</x:f>
        <x:v>0</x:v>
      </x:c>
      <x:c r="L891" t="str">
        <x:f>IFERROR(INDEX(Customers!$C$2:$C$451,MATCH(A891,Customers!$A$2:$A$451,0)),"Unknown")</x:f>
        <x:v>Plus</x:v>
      </x:c>
    </x:row>
    <x:row r="892">
      <x:c r="A892" t="n">
        <x:v>161</x:v>
      </x:c>
      <x:c r="B892" s="16" t="n">
        <x:v>46235</x:v>
      </x:c>
      <x:c r="C892" t="n">
        <x:v>1</x:v>
      </x:c>
      <x:c r="D892" t="n">
        <x:v>35</x:v>
      </x:c>
      <x:c r="E892" s="18" t="n">
        <x:v>2062.46</x:v>
      </x:c>
      <x:c r="F892" s="18" t="n">
        <x:v>8</x:v>
      </x:c>
      <x:c r="G892" s="18" t="n">
        <x:v>9.28</x:v>
      </x:c>
      <x:c r="H892" s="18" t="n">
        <x:v>7.07</x:v>
      </x:c>
      <x:c r="I892" s="18" t="n">
        <x:v>24.35</x:v>
      </x:c>
      <x:c r="J892" t="n">
        <x:f>IF(A892=A891,IFERROR(IF(B892=EDATE(B891,1),C891,0),0),0)</x:f>
        <x:v>1</x:v>
      </x:c>
      <x:c r="K892" t="n">
        <x:f>IF(AND(J892=1,C892=0),1,0)</x:f>
        <x:v>0</x:v>
      </x:c>
      <x:c r="L892" t="str">
        <x:f>IFERROR(INDEX(Customers!$C$2:$C$451,MATCH(A892,Customers!$A$2:$A$451,0)),"Unknown")</x:f>
        <x:v>Plus</x:v>
      </x:c>
    </x:row>
    <x:row r="893">
      <x:c r="A893" t="n">
        <x:v>161</x:v>
      </x:c>
      <x:c r="B893" s="16" t="n">
        <x:v>46266</x:v>
      </x:c>
      <x:c r="C893" t="n">
        <x:v>0</x:v>
      </x:c>
      <x:c r="D893" t="n">
        <x:v>0</x:v>
      </x:c>
      <x:c r="E893" s="18" t="n">
        <x:v>0</x:v>
      </x:c>
      <x:c r="F893" s="18" t="n">
        <x:v>0</x:v>
      </x:c>
      <x:c r="G893" s="18" t="n">
        <x:v>0</x:v>
      </x:c>
      <x:c r="H893" s="18" t="n">
        <x:v>0</x:v>
      </x:c>
      <x:c r="I893" s="18" t="n">
        <x:v>0</x:v>
      </x:c>
      <x:c r="J893" t="n">
        <x:f>IF(A893=A892,IFERROR(IF(B893=EDATE(B892,1),C892,0),0),0)</x:f>
        <x:v>1</x:v>
      </x:c>
      <x:c r="K893" t="n">
        <x:f>IF(AND(J893=1,C893=0),1,0)</x:f>
        <x:v>1</x:v>
      </x:c>
      <x:c r="L893" t="str">
        <x:f>IFERROR(INDEX(Customers!$C$2:$C$451,MATCH(A893,Customers!$A$2:$A$451,0)),"Unknown")</x:f>
        <x:v>Plus</x:v>
      </x:c>
    </x:row>
    <x:row r="894">
      <x:c r="A894" t="n">
        <x:v>162</x:v>
      </x:c>
      <x:c r="B894" s="16" t="n">
        <x:v>46113</x:v>
      </x:c>
      <x:c r="C894" t="n">
        <x:v>1</x:v>
      </x:c>
      <x:c r="D894" t="n">
        <x:v>13</x:v>
      </x:c>
      <x:c r="E894" s="18" t="n">
        <x:v>1204.9</x:v>
      </x:c>
      <x:c r="F894" s="18" t="n">
        <x:v>0</x:v>
      </x:c>
      <x:c r="G894" s="18" t="n">
        <x:v>5.42</x:v>
      </x:c>
      <x:c r="H894" s="18" t="n">
        <x:v>3.98</x:v>
      </x:c>
      <x:c r="I894" s="18" t="n">
        <x:v>9.4</x:v>
      </x:c>
      <x:c r="J894" t="n">
        <x:f>IF(A894=A893,IFERROR(IF(B894=EDATE(B893,1),C893,0),0),0)</x:f>
        <x:v>0</x:v>
      </x:c>
      <x:c r="K894" t="n">
        <x:f>IF(AND(J894=1,C894=0),1,0)</x:f>
        <x:v>0</x:v>
      </x:c>
      <x:c r="L894" t="str">
        <x:f>IFERROR(INDEX(Customers!$C$2:$C$451,MATCH(A894,Customers!$A$2:$A$451,0)),"Unknown")</x:f>
        <x:v>Standard</x:v>
      </x:c>
    </x:row>
    <x:row r="895">
      <x:c r="A895" t="n">
        <x:v>162</x:v>
      </x:c>
      <x:c r="B895" s="16" t="n">
        <x:v>46143</x:v>
      </x:c>
      <x:c r="C895" t="n">
        <x:v>1</x:v>
      </x:c>
      <x:c r="D895" t="n">
        <x:v>4</x:v>
      </x:c>
      <x:c r="E895" s="18" t="n">
        <x:v>332.14</x:v>
      </x:c>
      <x:c r="F895" s="18" t="n">
        <x:v>0</x:v>
      </x:c>
      <x:c r="G895" s="18" t="n">
        <x:v>1.49</x:v>
      </x:c>
      <x:c r="H895" s="18" t="n">
        <x:v>0.63</x:v>
      </x:c>
      <x:c r="I895" s="18" t="n">
        <x:v>2.12</x:v>
      </x:c>
      <x:c r="J895" t="n">
        <x:f>IF(A895=A894,IFERROR(IF(B895=EDATE(B894,1),C894,0),0),0)</x:f>
        <x:v>1</x:v>
      </x:c>
      <x:c r="K895" t="n">
        <x:f>IF(AND(J895=1,C895=0),1,0)</x:f>
        <x:v>0</x:v>
      </x:c>
      <x:c r="L895" t="str">
        <x:f>IFERROR(INDEX(Customers!$C$2:$C$451,MATCH(A895,Customers!$A$2:$A$451,0)),"Unknown")</x:f>
        <x:v>Standard</x:v>
      </x:c>
    </x:row>
    <x:row r="896">
      <x:c r="A896" t="n">
        <x:v>162</x:v>
      </x:c>
      <x:c r="B896" s="16" t="n">
        <x:v>46174</x:v>
      </x:c>
      <x:c r="C896" t="n">
        <x:v>1</x:v>
      </x:c>
      <x:c r="D896" t="n">
        <x:v>17</x:v>
      </x:c>
      <x:c r="E896" s="18" t="n">
        <x:v>2262.73</x:v>
      </x:c>
      <x:c r="F896" s="18" t="n">
        <x:v>0</x:v>
      </x:c>
      <x:c r="G896" s="18" t="n">
        <x:v>10.18</x:v>
      </x:c>
      <x:c r="H896" s="18" t="n">
        <x:v>8.47</x:v>
      </x:c>
      <x:c r="I896" s="18" t="n">
        <x:v>18.65</x:v>
      </x:c>
      <x:c r="J896" t="n">
        <x:f>IF(A896=A895,IFERROR(IF(B896=EDATE(B895,1),C895,0),0),0)</x:f>
        <x:v>1</x:v>
      </x:c>
      <x:c r="K896" t="n">
        <x:f>IF(AND(J896=1,C896=0),1,0)</x:f>
        <x:v>0</x:v>
      </x:c>
      <x:c r="L896" t="str">
        <x:f>IFERROR(INDEX(Customers!$C$2:$C$451,MATCH(A896,Customers!$A$2:$A$451,0)),"Unknown")</x:f>
        <x:v>Standard</x:v>
      </x:c>
    </x:row>
    <x:row r="897">
      <x:c r="A897" t="n">
        <x:v>162</x:v>
      </x:c>
      <x:c r="B897" s="16" t="n">
        <x:v>46204</x:v>
      </x:c>
      <x:c r="C897" t="n">
        <x:v>1</x:v>
      </x:c>
      <x:c r="D897" t="n">
        <x:v>35</x:v>
      </x:c>
      <x:c r="E897" s="18" t="n">
        <x:v>1830.17</x:v>
      </x:c>
      <x:c r="F897" s="18" t="n">
        <x:v>0</x:v>
      </x:c>
      <x:c r="G897" s="18" t="n">
        <x:v>8.24</x:v>
      </x:c>
      <x:c r="H897" s="18" t="n">
        <x:v>1.83</x:v>
      </x:c>
      <x:c r="I897" s="18" t="n">
        <x:v>10.07</x:v>
      </x:c>
      <x:c r="J897" t="n">
        <x:f>IF(A897=A896,IFERROR(IF(B897=EDATE(B896,1),C896,0),0),0)</x:f>
        <x:v>1</x:v>
      </x:c>
      <x:c r="K897" t="n">
        <x:f>IF(AND(J897=1,C897=0),1,0)</x:f>
        <x:v>0</x:v>
      </x:c>
      <x:c r="L897" t="str">
        <x:f>IFERROR(INDEX(Customers!$C$2:$C$451,MATCH(A897,Customers!$A$2:$A$451,0)),"Unknown")</x:f>
        <x:v>Standard</x:v>
      </x:c>
    </x:row>
    <x:row r="898">
      <x:c r="A898" t="n">
        <x:v>162</x:v>
      </x:c>
      <x:c r="B898" s="16" t="n">
        <x:v>46235</x:v>
      </x:c>
      <x:c r="C898" t="n">
        <x:v>1</x:v>
      </x:c>
      <x:c r="D898" t="n">
        <x:v>31</x:v>
      </x:c>
      <x:c r="E898" s="18" t="n">
        <x:v>1395.78</x:v>
      </x:c>
      <x:c r="F898" s="18" t="n">
        <x:v>0</x:v>
      </x:c>
      <x:c r="G898" s="18" t="n">
        <x:v>6.28</x:v>
      </x:c>
      <x:c r="H898" s="18" t="n">
        <x:v>2.67</x:v>
      </x:c>
      <x:c r="I898" s="18" t="n">
        <x:v>8.95</x:v>
      </x:c>
      <x:c r="J898" t="n">
        <x:f>IF(A898=A897,IFERROR(IF(B898=EDATE(B897,1),C897,0),0),0)</x:f>
        <x:v>1</x:v>
      </x:c>
      <x:c r="K898" t="n">
        <x:f>IF(AND(J898=1,C898=0),1,0)</x:f>
        <x:v>0</x:v>
      </x:c>
      <x:c r="L898" t="str">
        <x:f>IFERROR(INDEX(Customers!$C$2:$C$451,MATCH(A898,Customers!$A$2:$A$451,0)),"Unknown")</x:f>
        <x:v>Standard</x:v>
      </x:c>
    </x:row>
    <x:row r="899">
      <x:c r="A899" t="n">
        <x:v>162</x:v>
      </x:c>
      <x:c r="B899" s="16" t="n">
        <x:v>46266</x:v>
      </x:c>
      <x:c r="C899" t="n">
        <x:v>0</x:v>
      </x:c>
      <x:c r="D899" t="n">
        <x:v>0</x:v>
      </x:c>
      <x:c r="E899" s="18" t="n">
        <x:v>0</x:v>
      </x:c>
      <x:c r="F899" s="18" t="n">
        <x:v>0</x:v>
      </x:c>
      <x:c r="G899" s="18" t="n">
        <x:v>0</x:v>
      </x:c>
      <x:c r="H899" s="18" t="n">
        <x:v>0</x:v>
      </x:c>
      <x:c r="I899" s="18" t="n">
        <x:v>0</x:v>
      </x:c>
      <x:c r="J899" t="n">
        <x:f>IF(A899=A898,IFERROR(IF(B899=EDATE(B898,1),C898,0),0),0)</x:f>
        <x:v>1</x:v>
      </x:c>
      <x:c r="K899" t="n">
        <x:f>IF(AND(J899=1,C899=0),1,0)</x:f>
        <x:v>1</x:v>
      </x:c>
      <x:c r="L899" t="str">
        <x:f>IFERROR(INDEX(Customers!$C$2:$C$451,MATCH(A899,Customers!$A$2:$A$451,0)),"Unknown")</x:f>
        <x:v>Standard</x:v>
      </x:c>
    </x:row>
    <x:row r="900">
      <x:c r="A900" t="n">
        <x:v>163</x:v>
      </x:c>
      <x:c r="B900" s="16" t="n">
        <x:v>46113</x:v>
      </x:c>
      <x:c r="C900" t="n">
        <x:v>0</x:v>
      </x:c>
      <x:c r="D900" t="n">
        <x:v>0</x:v>
      </x:c>
      <x:c r="E900" s="18" t="n">
        <x:v>0</x:v>
      </x:c>
      <x:c r="F900" s="18" t="n">
        <x:v>0</x:v>
      </x:c>
      <x:c r="G900" s="18" t="n">
        <x:v>0</x:v>
      </x:c>
      <x:c r="H900" s="18" t="n">
        <x:v>0</x:v>
      </x:c>
      <x:c r="I900" s="18" t="n">
        <x:v>0</x:v>
      </x:c>
      <x:c r="J900" t="n">
        <x:f>IF(A900=A899,IFERROR(IF(B900=EDATE(B899,1),C899,0),0),0)</x:f>
        <x:v>0</x:v>
      </x:c>
      <x:c r="K900" t="n">
        <x:f>IF(AND(J900=1,C900=0),1,0)</x:f>
        <x:v>0</x:v>
      </x:c>
      <x:c r="L900" t="str">
        <x:f>IFERROR(INDEX(Customers!$C$2:$C$451,MATCH(A900,Customers!$A$2:$A$451,0)),"Unknown")</x:f>
        <x:v>Standard</x:v>
      </x:c>
    </x:row>
    <x:row r="901">
      <x:c r="A901" t="n">
        <x:v>163</x:v>
      </x:c>
      <x:c r="B901" s="16" t="n">
        <x:v>46143</x:v>
      </x:c>
      <x:c r="C901" t="n">
        <x:v>1</x:v>
      </x:c>
      <x:c r="D901" t="n">
        <x:v>16</x:v>
      </x:c>
      <x:c r="E901" s="18" t="n">
        <x:v>1800.25</x:v>
      </x:c>
      <x:c r="F901" s="18" t="n">
        <x:v>0</x:v>
      </x:c>
      <x:c r="G901" s="18" t="n">
        <x:v>8.1</x:v>
      </x:c>
      <x:c r="H901" s="18" t="n">
        <x:v>5.34</x:v>
      </x:c>
      <x:c r="I901" s="18" t="n">
        <x:v>13.44</x:v>
      </x:c>
      <x:c r="J901" t="n">
        <x:f>IF(A901=A900,IFERROR(IF(B901=EDATE(B900,1),C900,0),0),0)</x:f>
        <x:v>0</x:v>
      </x:c>
      <x:c r="K901" t="n">
        <x:f>IF(AND(J901=1,C901=0),1,0)</x:f>
        <x:v>0</x:v>
      </x:c>
      <x:c r="L901" t="str">
        <x:f>IFERROR(INDEX(Customers!$C$2:$C$451,MATCH(A901,Customers!$A$2:$A$451,0)),"Unknown")</x:f>
        <x:v>Standard</x:v>
      </x:c>
    </x:row>
    <x:row r="902">
      <x:c r="A902" t="n">
        <x:v>163</x:v>
      </x:c>
      <x:c r="B902" s="16" t="n">
        <x:v>46174</x:v>
      </x:c>
      <x:c r="C902" t="n">
        <x:v>1</x:v>
      </x:c>
      <x:c r="D902" t="n">
        <x:v>19</x:v>
      </x:c>
      <x:c r="E902" s="18" t="n">
        <x:v>2468.42</x:v>
      </x:c>
      <x:c r="F902" s="18" t="n">
        <x:v>0</x:v>
      </x:c>
      <x:c r="G902" s="18" t="n">
        <x:v>11.11</x:v>
      </x:c>
      <x:c r="H902" s="18" t="n">
        <x:v>3.21</x:v>
      </x:c>
      <x:c r="I902" s="18" t="n">
        <x:v>14.32</x:v>
      </x:c>
      <x:c r="J902" t="n">
        <x:f>IF(A902=A901,IFERROR(IF(B902=EDATE(B901,1),C901,0),0),0)</x:f>
        <x:v>1</x:v>
      </x:c>
      <x:c r="K902" t="n">
        <x:f>IF(AND(J902=1,C902=0),1,0)</x:f>
        <x:v>0</x:v>
      </x:c>
      <x:c r="L902" t="str">
        <x:f>IFERROR(INDEX(Customers!$C$2:$C$451,MATCH(A902,Customers!$A$2:$A$451,0)),"Unknown")</x:f>
        <x:v>Standard</x:v>
      </x:c>
    </x:row>
    <x:row r="903">
      <x:c r="A903" t="n">
        <x:v>163</x:v>
      </x:c>
      <x:c r="B903" s="16" t="n">
        <x:v>46204</x:v>
      </x:c>
      <x:c r="C903" t="n">
        <x:v>1</x:v>
      </x:c>
      <x:c r="D903" t="n">
        <x:v>17</x:v>
      </x:c>
      <x:c r="E903" s="18" t="n">
        <x:v>2143.78</x:v>
      </x:c>
      <x:c r="F903" s="18" t="n">
        <x:v>0</x:v>
      </x:c>
      <x:c r="G903" s="18" t="n">
        <x:v>9.65</x:v>
      </x:c>
      <x:c r="H903" s="18" t="n">
        <x:v>4.32</x:v>
      </x:c>
      <x:c r="I903" s="18" t="n">
        <x:v>13.97</x:v>
      </x:c>
      <x:c r="J903" t="n">
        <x:f>IF(A903=A902,IFERROR(IF(B903=EDATE(B902,1),C902,0),0),0)</x:f>
        <x:v>1</x:v>
      </x:c>
      <x:c r="K903" t="n">
        <x:f>IF(AND(J903=1,C903=0),1,0)</x:f>
        <x:v>0</x:v>
      </x:c>
      <x:c r="L903" t="str">
        <x:f>IFERROR(INDEX(Customers!$C$2:$C$451,MATCH(A903,Customers!$A$2:$A$451,0)),"Unknown")</x:f>
        <x:v>Standard</x:v>
      </x:c>
    </x:row>
    <x:row r="904">
      <x:c r="A904" t="n">
        <x:v>163</x:v>
      </x:c>
      <x:c r="B904" s="16" t="n">
        <x:v>46235</x:v>
      </x:c>
      <x:c r="C904" t="n">
        <x:v>1</x:v>
      </x:c>
      <x:c r="D904" t="n">
        <x:v>26</x:v>
      </x:c>
      <x:c r="E904" s="18" t="n">
        <x:v>1074.84</x:v>
      </x:c>
      <x:c r="F904" s="18" t="n">
        <x:v>0</x:v>
      </x:c>
      <x:c r="G904" s="18" t="n">
        <x:v>4.84</x:v>
      </x:c>
      <x:c r="H904" s="18" t="n">
        <x:v>0.96</x:v>
      </x:c>
      <x:c r="I904" s="18" t="n">
        <x:v>5.8</x:v>
      </x:c>
      <x:c r="J904" t="n">
        <x:f>IF(A904=A903,IFERROR(IF(B904=EDATE(B903,1),C903,0),0),0)</x:f>
        <x:v>1</x:v>
      </x:c>
      <x:c r="K904" t="n">
        <x:f>IF(AND(J904=1,C904=0),1,0)</x:f>
        <x:v>0</x:v>
      </x:c>
      <x:c r="L904" t="str">
        <x:f>IFERROR(INDEX(Customers!$C$2:$C$451,MATCH(A904,Customers!$A$2:$A$451,0)),"Unknown")</x:f>
        <x:v>Standard</x:v>
      </x:c>
    </x:row>
    <x:row r="905">
      <x:c r="A905" t="n">
        <x:v>163</x:v>
      </x:c>
      <x:c r="B905" s="16" t="n">
        <x:v>46266</x:v>
      </x:c>
      <x:c r="C905" t="n">
        <x:v>1</x:v>
      </x:c>
      <x:c r="D905" t="n">
        <x:v>15</x:v>
      </x:c>
      <x:c r="E905" s="18" t="n">
        <x:v>1383.57</x:v>
      </x:c>
      <x:c r="F905" s="18" t="n">
        <x:v>0</x:v>
      </x:c>
      <x:c r="G905" s="18" t="n">
        <x:v>6.23</x:v>
      </x:c>
      <x:c r="H905" s="18" t="n">
        <x:v>2.6</x:v>
      </x:c>
      <x:c r="I905" s="18" t="n">
        <x:v>8.83</x:v>
      </x:c>
      <x:c r="J905" t="n">
        <x:f>IF(A905=A904,IFERROR(IF(B905=EDATE(B904,1),C904,0),0),0)</x:f>
        <x:v>1</x:v>
      </x:c>
      <x:c r="K905" t="n">
        <x:f>IF(AND(J905=1,C905=0),1,0)</x:f>
        <x:v>0</x:v>
      </x:c>
      <x:c r="L905" t="str">
        <x:f>IFERROR(INDEX(Customers!$C$2:$C$451,MATCH(A905,Customers!$A$2:$A$451,0)),"Unknown")</x:f>
        <x:v>Standard</x:v>
      </x:c>
    </x:row>
    <x:row r="906">
      <x:c r="A906" t="n">
        <x:v>164</x:v>
      </x:c>
      <x:c r="B906" s="16" t="n">
        <x:v>46143</x:v>
      </x:c>
      <x:c r="C906" t="n">
        <x:v>1</x:v>
      </x:c>
      <x:c r="D906" t="n">
        <x:v>11</x:v>
      </x:c>
      <x:c r="E906" s="18" t="n">
        <x:v>1003.27</x:v>
      </x:c>
      <x:c r="F906" s="18" t="n">
        <x:v>8</x:v>
      </x:c>
      <x:c r="G906" s="18" t="n">
        <x:v>4.51</x:v>
      </x:c>
      <x:c r="H906" s="18" t="n">
        <x:v>3.74</x:v>
      </x:c>
      <x:c r="I906" s="18" t="n">
        <x:v>16.25</x:v>
      </x:c>
      <x:c r="J906" t="n">
        <x:f>IF(A906=A905,IFERROR(IF(B906=EDATE(B905,1),C905,0),0),0)</x:f>
        <x:v>0</x:v>
      </x:c>
      <x:c r="K906" t="n">
        <x:f>IF(AND(J906=1,C906=0),1,0)</x:f>
        <x:v>0</x:v>
      </x:c>
      <x:c r="L906" t="str">
        <x:f>IFERROR(INDEX(Customers!$C$2:$C$451,MATCH(A906,Customers!$A$2:$A$451,0)),"Unknown")</x:f>
        <x:v>Plus</x:v>
      </x:c>
    </x:row>
    <x:row r="907">
      <x:c r="A907" t="n">
        <x:v>164</x:v>
      </x:c>
      <x:c r="B907" s="16" t="n">
        <x:v>46174</x:v>
      </x:c>
      <x:c r="C907" t="n">
        <x:v>1</x:v>
      </x:c>
      <x:c r="D907" t="n">
        <x:v>27</x:v>
      </x:c>
      <x:c r="E907" s="18" t="n">
        <x:v>997.64</x:v>
      </x:c>
      <x:c r="F907" s="18" t="n">
        <x:v>8</x:v>
      </x:c>
      <x:c r="G907" s="18" t="n">
        <x:v>4.49</x:v>
      </x:c>
      <x:c r="H907" s="18" t="n">
        <x:v>1.53</x:v>
      </x:c>
      <x:c r="I907" s="18" t="n">
        <x:v>14.02</x:v>
      </x:c>
      <x:c r="J907" t="n">
        <x:f>IF(A907=A906,IFERROR(IF(B907=EDATE(B906,1),C906,0),0),0)</x:f>
        <x:v>1</x:v>
      </x:c>
      <x:c r="K907" t="n">
        <x:f>IF(AND(J907=1,C907=0),1,0)</x:f>
        <x:v>0</x:v>
      </x:c>
      <x:c r="L907" t="str">
        <x:f>IFERROR(INDEX(Customers!$C$2:$C$451,MATCH(A907,Customers!$A$2:$A$451,0)),"Unknown")</x:f>
        <x:v>Plus</x:v>
      </x:c>
    </x:row>
    <x:row r="908">
      <x:c r="A908" t="n">
        <x:v>164</x:v>
      </x:c>
      <x:c r="B908" s="16" t="n">
        <x:v>46204</x:v>
      </x:c>
      <x:c r="C908" t="n">
        <x:v>1</x:v>
      </x:c>
      <x:c r="D908" t="n">
        <x:v>7</x:v>
      </x:c>
      <x:c r="E908" s="18" t="n">
        <x:v>860.17</x:v>
      </x:c>
      <x:c r="F908" s="18" t="n">
        <x:v>8</x:v>
      </x:c>
      <x:c r="G908" s="18" t="n">
        <x:v>3.87</x:v>
      </x:c>
      <x:c r="H908" s="18" t="n">
        <x:v>1.7</x:v>
      </x:c>
      <x:c r="I908" s="18" t="n">
        <x:v>13.57</x:v>
      </x:c>
      <x:c r="J908" t="n">
        <x:f>IF(A908=A907,IFERROR(IF(B908=EDATE(B907,1),C907,0),0),0)</x:f>
        <x:v>1</x:v>
      </x:c>
      <x:c r="K908" t="n">
        <x:f>IF(AND(J908=1,C908=0),1,0)</x:f>
        <x:v>0</x:v>
      </x:c>
      <x:c r="L908" t="str">
        <x:f>IFERROR(INDEX(Customers!$C$2:$C$451,MATCH(A908,Customers!$A$2:$A$451,0)),"Unknown")</x:f>
        <x:v>Plus</x:v>
      </x:c>
    </x:row>
    <x:row r="909">
      <x:c r="A909" t="n">
        <x:v>164</x:v>
      </x:c>
      <x:c r="B909" s="16" t="n">
        <x:v>46235</x:v>
      </x:c>
      <x:c r="C909" t="n">
        <x:v>1</x:v>
      </x:c>
      <x:c r="D909" t="n">
        <x:v>29</x:v>
      </x:c>
      <x:c r="E909" s="18" t="n">
        <x:v>3697.83</x:v>
      </x:c>
      <x:c r="F909" s="18" t="n">
        <x:v>8</x:v>
      </x:c>
      <x:c r="G909" s="18" t="n">
        <x:v>16.64</x:v>
      </x:c>
      <x:c r="H909" s="18" t="n">
        <x:v>6.79</x:v>
      </x:c>
      <x:c r="I909" s="18" t="n">
        <x:v>31.43</x:v>
      </x:c>
      <x:c r="J909" t="n">
        <x:f>IF(A909=A908,IFERROR(IF(B909=EDATE(B908,1),C908,0),0),0)</x:f>
        <x:v>1</x:v>
      </x:c>
      <x:c r="K909" t="n">
        <x:f>IF(AND(J909=1,C909=0),1,0)</x:f>
        <x:v>0</x:v>
      </x:c>
      <x:c r="L909" t="str">
        <x:f>IFERROR(INDEX(Customers!$C$2:$C$451,MATCH(A909,Customers!$A$2:$A$451,0)),"Unknown")</x:f>
        <x:v>Plus</x:v>
      </x:c>
    </x:row>
    <x:row r="910">
      <x:c r="A910" t="n">
        <x:v>164</x:v>
      </x:c>
      <x:c r="B910" s="16" t="n">
        <x:v>46266</x:v>
      </x:c>
      <x:c r="C910" t="n">
        <x:v>1</x:v>
      </x:c>
      <x:c r="D910" t="n">
        <x:v>23</x:v>
      </x:c>
      <x:c r="E910" s="18" t="n">
        <x:v>2222.31</x:v>
      </x:c>
      <x:c r="F910" s="18" t="n">
        <x:v>8</x:v>
      </x:c>
      <x:c r="G910" s="18" t="n">
        <x:v>10</x:v>
      </x:c>
      <x:c r="H910" s="18" t="n">
        <x:v>6.73</x:v>
      </x:c>
      <x:c r="I910" s="18" t="n">
        <x:v>24.73</x:v>
      </x:c>
      <x:c r="J910" t="n">
        <x:f>IF(A910=A909,IFERROR(IF(B910=EDATE(B909,1),C909,0),0),0)</x:f>
        <x:v>1</x:v>
      </x:c>
      <x:c r="K910" t="n">
        <x:f>IF(AND(J910=1,C910=0),1,0)</x:f>
        <x:v>0</x:v>
      </x:c>
      <x:c r="L910" t="str">
        <x:f>IFERROR(INDEX(Customers!$C$2:$C$451,MATCH(A910,Customers!$A$2:$A$451,0)),"Unknown")</x:f>
        <x:v>Plus</x:v>
      </x:c>
    </x:row>
    <x:row r="911">
      <x:c r="A911" t="n">
        <x:v>165</x:v>
      </x:c>
      <x:c r="B911" s="16" t="n">
        <x:v>46174</x:v>
      </x:c>
      <x:c r="C911" t="n">
        <x:v>1</x:v>
      </x:c>
      <x:c r="D911" t="n">
        <x:v>6</x:v>
      </x:c>
      <x:c r="E911" s="18" t="n">
        <x:v>653.91</x:v>
      </x:c>
      <x:c r="F911" s="18" t="n">
        <x:v>17</x:v>
      </x:c>
      <x:c r="G911" s="18" t="n">
        <x:v>2.94</x:v>
      </x:c>
      <x:c r="H911" s="18" t="n">
        <x:v>0.68</x:v>
      </x:c>
      <x:c r="I911" s="18" t="n">
        <x:v>20.62</x:v>
      </x:c>
      <x:c r="J911" t="n">
        <x:f>IF(A911=A910,IFERROR(IF(B911=EDATE(B910,1),C910,0),0),0)</x:f>
        <x:v>0</x:v>
      </x:c>
      <x:c r="K911" t="n">
        <x:f>IF(AND(J911=1,C911=0),1,0)</x:f>
        <x:v>0</x:v>
      </x:c>
      <x:c r="L911" t="str">
        <x:f>IFERROR(INDEX(Customers!$C$2:$C$451,MATCH(A911,Customers!$A$2:$A$451,0)),"Unknown")</x:f>
        <x:v>Premium</x:v>
      </x:c>
    </x:row>
    <x:row r="912">
      <x:c r="A912" t="n">
        <x:v>165</x:v>
      </x:c>
      <x:c r="B912" s="16" t="n">
        <x:v>46204</x:v>
      </x:c>
      <x:c r="C912" t="n">
        <x:v>0</x:v>
      </x:c>
      <x:c r="D912" t="n">
        <x:v>0</x:v>
      </x:c>
      <x:c r="E912" s="18" t="n">
        <x:v>0</x:v>
      </x:c>
      <x:c r="F912" s="18" t="n">
        <x:v>0</x:v>
      </x:c>
      <x:c r="G912" s="18" t="n">
        <x:v>0</x:v>
      </x:c>
      <x:c r="H912" s="18" t="n">
        <x:v>0</x:v>
      </x:c>
      <x:c r="I912" s="18" t="n">
        <x:v>0</x:v>
      </x:c>
      <x:c r="J912" t="n">
        <x:f>IF(A912=A911,IFERROR(IF(B912=EDATE(B911,1),C911,0),0),0)</x:f>
        <x:v>1</x:v>
      </x:c>
      <x:c r="K912" t="n">
        <x:f>IF(AND(J912=1,C912=0),1,0)</x:f>
        <x:v>1</x:v>
      </x:c>
      <x:c r="L912" t="str">
        <x:f>IFERROR(INDEX(Customers!$C$2:$C$451,MATCH(A912,Customers!$A$2:$A$451,0)),"Unknown")</x:f>
        <x:v>Premium</x:v>
      </x:c>
    </x:row>
    <x:row r="913">
      <x:c r="A913" t="n">
        <x:v>165</x:v>
      </x:c>
      <x:c r="B913" s="16" t="n">
        <x:v>46235</x:v>
      </x:c>
      <x:c r="C913" t="n">
        <x:v>1</x:v>
      </x:c>
      <x:c r="D913" t="n">
        <x:v>22</x:v>
      </x:c>
      <x:c r="E913" s="18" t="n">
        <x:v>977.64</x:v>
      </x:c>
      <x:c r="F913" s="18" t="n">
        <x:v>17</x:v>
      </x:c>
      <x:c r="G913" s="18" t="n">
        <x:v>4.4</x:v>
      </x:c>
      <x:c r="H913" s="18" t="n">
        <x:v>1.29</x:v>
      </x:c>
      <x:c r="I913" s="18" t="n">
        <x:v>22.69</x:v>
      </x:c>
      <x:c r="J913" t="n">
        <x:f>IF(A913=A912,IFERROR(IF(B913=EDATE(B912,1),C912,0),0),0)</x:f>
        <x:v>0</x:v>
      </x:c>
      <x:c r="K913" t="n">
        <x:f>IF(AND(J913=1,C913=0),1,0)</x:f>
        <x:v>0</x:v>
      </x:c>
      <x:c r="L913" t="str">
        <x:f>IFERROR(INDEX(Customers!$C$2:$C$451,MATCH(A913,Customers!$A$2:$A$451,0)),"Unknown")</x:f>
        <x:v>Premium</x:v>
      </x:c>
    </x:row>
    <x:row r="914">
      <x:c r="A914" t="n">
        <x:v>165</x:v>
      </x:c>
      <x:c r="B914" s="16" t="n">
        <x:v>46266</x:v>
      </x:c>
      <x:c r="C914" t="n">
        <x:v>1</x:v>
      </x:c>
      <x:c r="D914" t="n">
        <x:v>35</x:v>
      </x:c>
      <x:c r="E914" s="18" t="n">
        <x:v>1361.16</x:v>
      </x:c>
      <x:c r="F914" s="18" t="n">
        <x:v>17</x:v>
      </x:c>
      <x:c r="G914" s="18" t="n">
        <x:v>6.13</x:v>
      </x:c>
      <x:c r="H914" s="18" t="n">
        <x:v>1.17</x:v>
      </x:c>
      <x:c r="I914" s="18" t="n">
        <x:v>24.3</x:v>
      </x:c>
      <x:c r="J914" t="n">
        <x:f>IF(A914=A913,IFERROR(IF(B914=EDATE(B913,1),C913,0),0),0)</x:f>
        <x:v>1</x:v>
      </x:c>
      <x:c r="K914" t="n">
        <x:f>IF(AND(J914=1,C914=0),1,0)</x:f>
        <x:v>0</x:v>
      </x:c>
      <x:c r="L914" t="str">
        <x:f>IFERROR(INDEX(Customers!$C$2:$C$451,MATCH(A914,Customers!$A$2:$A$451,0)),"Unknown")</x:f>
        <x:v>Premium</x:v>
      </x:c>
    </x:row>
    <x:row r="915">
      <x:c r="A915" t="n">
        <x:v>166</x:v>
      </x:c>
      <x:c r="B915" s="16" t="n">
        <x:v>46143</x:v>
      </x:c>
      <x:c r="C915" t="n">
        <x:v>1</x:v>
      </x:c>
      <x:c r="D915" t="n">
        <x:v>28</x:v>
      </x:c>
      <x:c r="E915" s="18" t="n">
        <x:v>1931.75</x:v>
      </x:c>
      <x:c r="F915" s="18" t="n">
        <x:v>0</x:v>
      </x:c>
      <x:c r="G915" s="18" t="n">
        <x:v>8.69</x:v>
      </x:c>
      <x:c r="H915" s="18" t="n">
        <x:v>3.87</x:v>
      </x:c>
      <x:c r="I915" s="18" t="n">
        <x:v>12.56</x:v>
      </x:c>
      <x:c r="J915" t="n">
        <x:f>IF(A915=A914,IFERROR(IF(B915=EDATE(B914,1),C914,0),0),0)</x:f>
        <x:v>0</x:v>
      </x:c>
      <x:c r="K915" t="n">
        <x:f>IF(AND(J915=1,C915=0),1,0)</x:f>
        <x:v>0</x:v>
      </x:c>
      <x:c r="L915" t="str">
        <x:f>IFERROR(INDEX(Customers!$C$2:$C$451,MATCH(A915,Customers!$A$2:$A$451,0)),"Unknown")</x:f>
        <x:v>Standard</x:v>
      </x:c>
    </x:row>
    <x:row r="916">
      <x:c r="A916" t="n">
        <x:v>166</x:v>
      </x:c>
      <x:c r="B916" s="16" t="n">
        <x:v>46174</x:v>
      </x:c>
      <x:c r="C916" t="n">
        <x:v>1</x:v>
      </x:c>
      <x:c r="D916" t="n">
        <x:v>34</x:v>
      </x:c>
      <x:c r="E916" s="18" t="n">
        <x:v>4464.88</x:v>
      </x:c>
      <x:c r="F916" s="18" t="n">
        <x:v>0</x:v>
      </x:c>
      <x:c r="G916" s="18" t="n">
        <x:v>20.09</x:v>
      </x:c>
      <x:c r="H916" s="18" t="n">
        <x:v>4.16</x:v>
      </x:c>
      <x:c r="I916" s="18" t="n">
        <x:v>24.25</x:v>
      </x:c>
      <x:c r="J916" t="n">
        <x:f>IF(A916=A915,IFERROR(IF(B916=EDATE(B915,1),C915,0),0),0)</x:f>
        <x:v>1</x:v>
      </x:c>
      <x:c r="K916" t="n">
        <x:f>IF(AND(J916=1,C916=0),1,0)</x:f>
        <x:v>0</x:v>
      </x:c>
      <x:c r="L916" t="str">
        <x:f>IFERROR(INDEX(Customers!$C$2:$C$451,MATCH(A916,Customers!$A$2:$A$451,0)),"Unknown")</x:f>
        <x:v>Standard</x:v>
      </x:c>
    </x:row>
    <x:row r="917">
      <x:c r="A917" t="n">
        <x:v>166</x:v>
      </x:c>
      <x:c r="B917" s="16" t="n">
        <x:v>46204</x:v>
      </x:c>
      <x:c r="C917" t="n">
        <x:v>1</x:v>
      </x:c>
      <x:c r="D917" t="n">
        <x:v>29</x:v>
      </x:c>
      <x:c r="E917" s="18" t="n">
        <x:v>1725.49</x:v>
      </x:c>
      <x:c r="F917" s="18" t="n">
        <x:v>0</x:v>
      </x:c>
      <x:c r="G917" s="18" t="n">
        <x:v>7.76</x:v>
      </x:c>
      <x:c r="H917" s="18" t="n">
        <x:v>4.56</x:v>
      </x:c>
      <x:c r="I917" s="18" t="n">
        <x:v>12.32</x:v>
      </x:c>
      <x:c r="J917" t="n">
        <x:f>IF(A917=A916,IFERROR(IF(B917=EDATE(B916,1),C916,0),0),0)</x:f>
        <x:v>1</x:v>
      </x:c>
      <x:c r="K917" t="n">
        <x:f>IF(AND(J917=1,C917=0),1,0)</x:f>
        <x:v>0</x:v>
      </x:c>
      <x:c r="L917" t="str">
        <x:f>IFERROR(INDEX(Customers!$C$2:$C$451,MATCH(A917,Customers!$A$2:$A$451,0)),"Unknown")</x:f>
        <x:v>Standard</x:v>
      </x:c>
    </x:row>
    <x:row r="918">
      <x:c r="A918" t="n">
        <x:v>166</x:v>
      </x:c>
      <x:c r="B918" s="16" t="n">
        <x:v>46235</x:v>
      </x:c>
      <x:c r="C918" t="n">
        <x:v>0</x:v>
      </x:c>
      <x:c r="D918" t="n">
        <x:v>0</x:v>
      </x:c>
      <x:c r="E918" s="18" t="n">
        <x:v>0</x:v>
      </x:c>
      <x:c r="F918" s="18" t="n">
        <x:v>0</x:v>
      </x:c>
      <x:c r="G918" s="18" t="n">
        <x:v>0</x:v>
      </x:c>
      <x:c r="H918" s="18" t="n">
        <x:v>0</x:v>
      </x:c>
      <x:c r="I918" s="18" t="n">
        <x:v>0</x:v>
      </x:c>
      <x:c r="J918" t="n">
        <x:f>IF(A918=A917,IFERROR(IF(B918=EDATE(B917,1),C917,0),0),0)</x:f>
        <x:v>1</x:v>
      </x:c>
      <x:c r="K918" t="n">
        <x:f>IF(AND(J918=1,C918=0),1,0)</x:f>
        <x:v>1</x:v>
      </x:c>
      <x:c r="L918" t="str">
        <x:f>IFERROR(INDEX(Customers!$C$2:$C$451,MATCH(A918,Customers!$A$2:$A$451,0)),"Unknown")</x:f>
        <x:v>Standard</x:v>
      </x:c>
    </x:row>
    <x:row r="919">
      <x:c r="A919" t="n">
        <x:v>166</x:v>
      </x:c>
      <x:c r="B919" s="16" t="n">
        <x:v>46266</x:v>
      </x:c>
      <x:c r="C919" t="n">
        <x:v>1</x:v>
      </x:c>
      <x:c r="D919" t="n">
        <x:v>11</x:v>
      </x:c>
      <x:c r="E919" s="18" t="n">
        <x:v>835.61</x:v>
      </x:c>
      <x:c r="F919" s="18" t="n">
        <x:v>0</x:v>
      </x:c>
      <x:c r="G919" s="18" t="n">
        <x:v>3.76</x:v>
      </x:c>
      <x:c r="H919" s="18" t="n">
        <x:v>1.98</x:v>
      </x:c>
      <x:c r="I919" s="18" t="n">
        <x:v>5.74</x:v>
      </x:c>
      <x:c r="J919" t="n">
        <x:f>IF(A919=A918,IFERROR(IF(B919=EDATE(B918,1),C918,0),0),0)</x:f>
        <x:v>0</x:v>
      </x:c>
      <x:c r="K919" t="n">
        <x:f>IF(AND(J919=1,C919=0),1,0)</x:f>
        <x:v>0</x:v>
      </x:c>
      <x:c r="L919" t="str">
        <x:f>IFERROR(INDEX(Customers!$C$2:$C$451,MATCH(A919,Customers!$A$2:$A$451,0)),"Unknown")</x:f>
        <x:v>Standard</x:v>
      </x:c>
    </x:row>
    <x:row r="920">
      <x:c r="A920" t="n">
        <x:v>167</x:v>
      </x:c>
      <x:c r="B920" s="16" t="n">
        <x:v>46113</x:v>
      </x:c>
      <x:c r="C920" t="n">
        <x:v>1</x:v>
      </x:c>
      <x:c r="D920" t="n">
        <x:v>6</x:v>
      </x:c>
      <x:c r="E920" s="18" t="n">
        <x:v>470.34</x:v>
      </x:c>
      <x:c r="F920" s="18" t="n">
        <x:v>0</x:v>
      </x:c>
      <x:c r="G920" s="18" t="n">
        <x:v>2.12</x:v>
      </x:c>
      <x:c r="H920" s="18" t="n">
        <x:v>1.42</x:v>
      </x:c>
      <x:c r="I920" s="18" t="n">
        <x:v>3.54</x:v>
      </x:c>
      <x:c r="J920" t="n">
        <x:f>IF(A920=A919,IFERROR(IF(B920=EDATE(B919,1),C919,0),0),0)</x:f>
        <x:v>0</x:v>
      </x:c>
      <x:c r="K920" t="n">
        <x:f>IF(AND(J920=1,C920=0),1,0)</x:f>
        <x:v>0</x:v>
      </x:c>
      <x:c r="L920" t="str">
        <x:f>IFERROR(INDEX(Customers!$C$2:$C$451,MATCH(A920,Customers!$A$2:$A$451,0)),"Unknown")</x:f>
        <x:v>Standard</x:v>
      </x:c>
    </x:row>
    <x:row r="921">
      <x:c r="A921" t="n">
        <x:v>167</x:v>
      </x:c>
      <x:c r="B921" s="16" t="n">
        <x:v>46143</x:v>
      </x:c>
      <x:c r="C921" t="n">
        <x:v>1</x:v>
      </x:c>
      <x:c r="D921" t="n">
        <x:v>34</x:v>
      </x:c>
      <x:c r="E921" s="18" t="n">
        <x:v>4444.16</x:v>
      </x:c>
      <x:c r="F921" s="18" t="n">
        <x:v>0</x:v>
      </x:c>
      <x:c r="G921" s="18" t="n">
        <x:v>20</x:v>
      </x:c>
      <x:c r="H921" s="18" t="n">
        <x:v>3.65</x:v>
      </x:c>
      <x:c r="I921" s="18" t="n">
        <x:v>23.65</x:v>
      </x:c>
      <x:c r="J921" t="n">
        <x:f>IF(A921=A920,IFERROR(IF(B921=EDATE(B920,1),C920,0),0),0)</x:f>
        <x:v>1</x:v>
      </x:c>
      <x:c r="K921" t="n">
        <x:f>IF(AND(J921=1,C921=0),1,0)</x:f>
        <x:v>0</x:v>
      </x:c>
      <x:c r="L921" t="str">
        <x:f>IFERROR(INDEX(Customers!$C$2:$C$451,MATCH(A921,Customers!$A$2:$A$451,0)),"Unknown")</x:f>
        <x:v>Standard</x:v>
      </x:c>
    </x:row>
    <x:row r="922">
      <x:c r="A922" t="n">
        <x:v>167</x:v>
      </x:c>
      <x:c r="B922" s="16" t="n">
        <x:v>46174</x:v>
      </x:c>
      <x:c r="C922" t="n">
        <x:v>1</x:v>
      </x:c>
      <x:c r="D922" t="n">
        <x:v>13</x:v>
      </x:c>
      <x:c r="E922" s="18" t="n">
        <x:v>1665.5</x:v>
      </x:c>
      <x:c r="F922" s="18" t="n">
        <x:v>0</x:v>
      </x:c>
      <x:c r="G922" s="18" t="n">
        <x:v>7.49</x:v>
      </x:c>
      <x:c r="H922" s="18" t="n">
        <x:v>2.16</x:v>
      </x:c>
      <x:c r="I922" s="18" t="n">
        <x:v>9.65</x:v>
      </x:c>
      <x:c r="J922" t="n">
        <x:f>IF(A922=A921,IFERROR(IF(B922=EDATE(B921,1),C921,0),0),0)</x:f>
        <x:v>1</x:v>
      </x:c>
      <x:c r="K922" t="n">
        <x:f>IF(AND(J922=1,C922=0),1,0)</x:f>
        <x:v>0</x:v>
      </x:c>
      <x:c r="L922" t="str">
        <x:f>IFERROR(INDEX(Customers!$C$2:$C$451,MATCH(A922,Customers!$A$2:$A$451,0)),"Unknown")</x:f>
        <x:v>Standard</x:v>
      </x:c>
    </x:row>
    <x:row r="923">
      <x:c r="A923" t="n">
        <x:v>167</x:v>
      </x:c>
      <x:c r="B923" s="16" t="n">
        <x:v>46204</x:v>
      </x:c>
      <x:c r="C923" t="n">
        <x:v>1</x:v>
      </x:c>
      <x:c r="D923" t="n">
        <x:v>29</x:v>
      </x:c>
      <x:c r="E923" s="18" t="n">
        <x:v>2654.64</x:v>
      </x:c>
      <x:c r="F923" s="18" t="n">
        <x:v>0</x:v>
      </x:c>
      <x:c r="G923" s="18" t="n">
        <x:v>11.95</x:v>
      </x:c>
      <x:c r="H923" s="18" t="n">
        <x:v>4.15</x:v>
      </x:c>
      <x:c r="I923" s="18" t="n">
        <x:v>16.1</x:v>
      </x:c>
      <x:c r="J923" t="n">
        <x:f>IF(A923=A922,IFERROR(IF(B923=EDATE(B922,1),C922,0),0),0)</x:f>
        <x:v>1</x:v>
      </x:c>
      <x:c r="K923" t="n">
        <x:f>IF(AND(J923=1,C923=0),1,0)</x:f>
        <x:v>0</x:v>
      </x:c>
      <x:c r="L923" t="str">
        <x:f>IFERROR(INDEX(Customers!$C$2:$C$451,MATCH(A923,Customers!$A$2:$A$451,0)),"Unknown")</x:f>
        <x:v>Standard</x:v>
      </x:c>
    </x:row>
    <x:row r="924">
      <x:c r="A924" t="n">
        <x:v>167</x:v>
      </x:c>
      <x:c r="B924" s="16" t="n">
        <x:v>46235</x:v>
      </x:c>
      <x:c r="C924" t="n">
        <x:v>1</x:v>
      </x:c>
      <x:c r="D924" t="n">
        <x:v>35</x:v>
      </x:c>
      <x:c r="E924" s="18" t="n">
        <x:v>3621.34</x:v>
      </x:c>
      <x:c r="F924" s="18" t="n">
        <x:v>0</x:v>
      </x:c>
      <x:c r="G924" s="18" t="n">
        <x:v>16.3</x:v>
      </x:c>
      <x:c r="H924" s="18" t="n">
        <x:v>9.66</x:v>
      </x:c>
      <x:c r="I924" s="18" t="n">
        <x:v>25.96</x:v>
      </x:c>
      <x:c r="J924" t="n">
        <x:f>IF(A924=A923,IFERROR(IF(B924=EDATE(B923,1),C923,0),0),0)</x:f>
        <x:v>1</x:v>
      </x:c>
      <x:c r="K924" t="n">
        <x:f>IF(AND(J924=1,C924=0),1,0)</x:f>
        <x:v>0</x:v>
      </x:c>
      <x:c r="L924" t="str">
        <x:f>IFERROR(INDEX(Customers!$C$2:$C$451,MATCH(A924,Customers!$A$2:$A$451,0)),"Unknown")</x:f>
        <x:v>Standard</x:v>
      </x:c>
    </x:row>
    <x:row r="925">
      <x:c r="A925" t="n">
        <x:v>167</x:v>
      </x:c>
      <x:c r="B925" s="16" t="n">
        <x:v>46266</x:v>
      </x:c>
      <x:c r="C925" t="n">
        <x:v>0</x:v>
      </x:c>
      <x:c r="D925" t="n">
        <x:v>0</x:v>
      </x:c>
      <x:c r="E925" s="18" t="n">
        <x:v>0</x:v>
      </x:c>
      <x:c r="F925" s="18" t="n">
        <x:v>0</x:v>
      </x:c>
      <x:c r="G925" s="18" t="n">
        <x:v>0</x:v>
      </x:c>
      <x:c r="H925" s="18" t="n">
        <x:v>0</x:v>
      </x:c>
      <x:c r="I925" s="18" t="n">
        <x:v>0</x:v>
      </x:c>
      <x:c r="J925" t="n">
        <x:f>IF(A925=A924,IFERROR(IF(B925=EDATE(B924,1),C924,0),0),0)</x:f>
        <x:v>1</x:v>
      </x:c>
      <x:c r="K925" t="n">
        <x:f>IF(AND(J925=1,C925=0),1,0)</x:f>
        <x:v>1</x:v>
      </x:c>
      <x:c r="L925" t="str">
        <x:f>IFERROR(INDEX(Customers!$C$2:$C$451,MATCH(A925,Customers!$A$2:$A$451,0)),"Unknown")</x:f>
        <x:v>Standard</x:v>
      </x:c>
    </x:row>
    <x:row r="926">
      <x:c r="A926" t="n">
        <x:v>168</x:v>
      </x:c>
      <x:c r="B926" s="16" t="n">
        <x:v>46174</x:v>
      </x:c>
      <x:c r="C926" t="n">
        <x:v>0</x:v>
      </x:c>
      <x:c r="D926" t="n">
        <x:v>0</x:v>
      </x:c>
      <x:c r="E926" s="18" t="n">
        <x:v>0</x:v>
      </x:c>
      <x:c r="F926" s="18" t="n">
        <x:v>0</x:v>
      </x:c>
      <x:c r="G926" s="18" t="n">
        <x:v>0</x:v>
      </x:c>
      <x:c r="H926" s="18" t="n">
        <x:v>0</x:v>
      </x:c>
      <x:c r="I926" s="18" t="n">
        <x:v>0</x:v>
      </x:c>
      <x:c r="J926" t="n">
        <x:f>IF(A926=A925,IFERROR(IF(B926=EDATE(B925,1),C925,0),0),0)</x:f>
        <x:v>0</x:v>
      </x:c>
      <x:c r="K926" t="n">
        <x:f>IF(AND(J926=1,C926=0),1,0)</x:f>
        <x:v>0</x:v>
      </x:c>
      <x:c r="L926" t="str">
        <x:f>IFERROR(INDEX(Customers!$C$2:$C$451,MATCH(A926,Customers!$A$2:$A$451,0)),"Unknown")</x:f>
        <x:v>Standard</x:v>
      </x:c>
    </x:row>
    <x:row r="927">
      <x:c r="A927" t="n">
        <x:v>168</x:v>
      </x:c>
      <x:c r="B927" s="16" t="n">
        <x:v>46204</x:v>
      </x:c>
      <x:c r="C927" t="n">
        <x:v>1</x:v>
      </x:c>
      <x:c r="D927" t="n">
        <x:v>28</x:v>
      </x:c>
      <x:c r="E927" s="18" t="n">
        <x:v>1902.83</x:v>
      </x:c>
      <x:c r="F927" s="18" t="n">
        <x:v>0</x:v>
      </x:c>
      <x:c r="G927" s="18" t="n">
        <x:v>8.56</x:v>
      </x:c>
      <x:c r="H927" s="18" t="n">
        <x:v>6.27</x:v>
      </x:c>
      <x:c r="I927" s="18" t="n">
        <x:v>14.83</x:v>
      </x:c>
      <x:c r="J927" t="n">
        <x:f>IF(A927=A926,IFERROR(IF(B927=EDATE(B926,1),C926,0),0),0)</x:f>
        <x:v>0</x:v>
      </x:c>
      <x:c r="K927" t="n">
        <x:f>IF(AND(J927=1,C927=0),1,0)</x:f>
        <x:v>0</x:v>
      </x:c>
      <x:c r="L927" t="str">
        <x:f>IFERROR(INDEX(Customers!$C$2:$C$451,MATCH(A927,Customers!$A$2:$A$451,0)),"Unknown")</x:f>
        <x:v>Standard</x:v>
      </x:c>
    </x:row>
    <x:row r="928">
      <x:c r="A928" t="n">
        <x:v>168</x:v>
      </x:c>
      <x:c r="B928" s="16" t="n">
        <x:v>46235</x:v>
      </x:c>
      <x:c r="C928" t="n">
        <x:v>0</x:v>
      </x:c>
      <x:c r="D928" t="n">
        <x:v>0</x:v>
      </x:c>
      <x:c r="E928" s="18" t="n">
        <x:v>0</x:v>
      </x:c>
      <x:c r="F928" s="18" t="n">
        <x:v>0</x:v>
      </x:c>
      <x:c r="G928" s="18" t="n">
        <x:v>0</x:v>
      </x:c>
      <x:c r="H928" s="18" t="n">
        <x:v>0</x:v>
      </x:c>
      <x:c r="I928" s="18" t="n">
        <x:v>0</x:v>
      </x:c>
      <x:c r="J928" t="n">
        <x:f>IF(A928=A927,IFERROR(IF(B928=EDATE(B927,1),C927,0),0),0)</x:f>
        <x:v>1</x:v>
      </x:c>
      <x:c r="K928" t="n">
        <x:f>IF(AND(J928=1,C928=0),1,0)</x:f>
        <x:v>1</x:v>
      </x:c>
      <x:c r="L928" t="str">
        <x:f>IFERROR(INDEX(Customers!$C$2:$C$451,MATCH(A928,Customers!$A$2:$A$451,0)),"Unknown")</x:f>
        <x:v>Standard</x:v>
      </x:c>
    </x:row>
    <x:row r="929">
      <x:c r="A929" t="n">
        <x:v>168</x:v>
      </x:c>
      <x:c r="B929" s="16" t="n">
        <x:v>46266</x:v>
      </x:c>
      <x:c r="C929" t="n">
        <x:v>0</x:v>
      </x:c>
      <x:c r="D929" t="n">
        <x:v>0</x:v>
      </x:c>
      <x:c r="E929" s="18" t="n">
        <x:v>0</x:v>
      </x:c>
      <x:c r="F929" s="18" t="n">
        <x:v>0</x:v>
      </x:c>
      <x:c r="G929" s="18" t="n">
        <x:v>0</x:v>
      </x:c>
      <x:c r="H929" s="18" t="n">
        <x:v>0</x:v>
      </x:c>
      <x:c r="I929" s="18" t="n">
        <x:v>0</x:v>
      </x:c>
      <x:c r="J929" t="n">
        <x:f>IF(A929=A928,IFERROR(IF(B929=EDATE(B928,1),C928,0),0),0)</x:f>
        <x:v>0</x:v>
      </x:c>
      <x:c r="K929" t="n">
        <x:f>IF(AND(J929=1,C929=0),1,0)</x:f>
        <x:v>0</x:v>
      </x:c>
      <x:c r="L929" t="str">
        <x:f>IFERROR(INDEX(Customers!$C$2:$C$451,MATCH(A929,Customers!$A$2:$A$451,0)),"Unknown")</x:f>
        <x:v>Standard</x:v>
      </x:c>
    </x:row>
    <x:row r="930">
      <x:c r="A930" t="n">
        <x:v>169</x:v>
      </x:c>
      <x:c r="B930" s="16" t="n">
        <x:v>46113</x:v>
      </x:c>
      <x:c r="C930" t="n">
        <x:v>1</x:v>
      </x:c>
      <x:c r="D930" t="n">
        <x:v>24</x:v>
      </x:c>
      <x:c r="E930" s="18" t="n">
        <x:v>1120.76</x:v>
      </x:c>
      <x:c r="F930" s="18" t="n">
        <x:v>0</x:v>
      </x:c>
      <x:c r="G930" s="18" t="n">
        <x:v>5.04</x:v>
      </x:c>
      <x:c r="H930" s="18" t="n">
        <x:v>1.21</x:v>
      </x:c>
      <x:c r="I930" s="18" t="n">
        <x:v>6.25</x:v>
      </x:c>
      <x:c r="J930" t="n">
        <x:f>IF(A930=A929,IFERROR(IF(B930=EDATE(B929,1),C929,0),0),0)</x:f>
        <x:v>0</x:v>
      </x:c>
      <x:c r="K930" t="n">
        <x:f>IF(AND(J930=1,C930=0),1,0)</x:f>
        <x:v>0</x:v>
      </x:c>
      <x:c r="L930" t="str">
        <x:f>IFERROR(INDEX(Customers!$C$2:$C$451,MATCH(A930,Customers!$A$2:$A$451,0)),"Unknown")</x:f>
        <x:v>Standard</x:v>
      </x:c>
    </x:row>
    <x:row r="931">
      <x:c r="A931" t="n">
        <x:v>169</x:v>
      </x:c>
      <x:c r="B931" s="16" t="n">
        <x:v>46143</x:v>
      </x:c>
      <x:c r="C931" t="n">
        <x:v>1</x:v>
      </x:c>
      <x:c r="D931" t="n">
        <x:v>5</x:v>
      </x:c>
      <x:c r="E931" s="18" t="n">
        <x:v>658.54</x:v>
      </x:c>
      <x:c r="F931" s="18" t="n">
        <x:v>0</x:v>
      </x:c>
      <x:c r="G931" s="18" t="n">
        <x:v>2.96</x:v>
      </x:c>
      <x:c r="H931" s="18" t="n">
        <x:v>0.84</x:v>
      </x:c>
      <x:c r="I931" s="18" t="n">
        <x:v>3.8</x:v>
      </x:c>
      <x:c r="J931" t="n">
        <x:f>IF(A931=A930,IFERROR(IF(B931=EDATE(B930,1),C930,0),0),0)</x:f>
        <x:v>1</x:v>
      </x:c>
      <x:c r="K931" t="n">
        <x:f>IF(AND(J931=1,C931=0),1,0)</x:f>
        <x:v>0</x:v>
      </x:c>
      <x:c r="L931" t="str">
        <x:f>IFERROR(INDEX(Customers!$C$2:$C$451,MATCH(A931,Customers!$A$2:$A$451,0)),"Unknown")</x:f>
        <x:v>Standard</x:v>
      </x:c>
    </x:row>
    <x:row r="932">
      <x:c r="A932" t="n">
        <x:v>169</x:v>
      </x:c>
      <x:c r="B932" s="16" t="n">
        <x:v>46174</x:v>
      </x:c>
      <x:c r="C932" t="n">
        <x:v>1</x:v>
      </x:c>
      <x:c r="D932" t="n">
        <x:v>13</x:v>
      </x:c>
      <x:c r="E932" s="18" t="n">
        <x:v>1161.4</x:v>
      </x:c>
      <x:c r="F932" s="18" t="n">
        <x:v>0</x:v>
      </x:c>
      <x:c r="G932" s="18" t="n">
        <x:v>5.23</x:v>
      </x:c>
      <x:c r="H932" s="18" t="n">
        <x:v>1.91</x:v>
      </x:c>
      <x:c r="I932" s="18" t="n">
        <x:v>7.14</x:v>
      </x:c>
      <x:c r="J932" t="n">
        <x:f>IF(A932=A931,IFERROR(IF(B932=EDATE(B931,1),C931,0),0),0)</x:f>
        <x:v>1</x:v>
      </x:c>
      <x:c r="K932" t="n">
        <x:f>IF(AND(J932=1,C932=0),1,0)</x:f>
        <x:v>0</x:v>
      </x:c>
      <x:c r="L932" t="str">
        <x:f>IFERROR(INDEX(Customers!$C$2:$C$451,MATCH(A932,Customers!$A$2:$A$451,0)),"Unknown")</x:f>
        <x:v>Standard</x:v>
      </x:c>
    </x:row>
    <x:row r="933">
      <x:c r="A933" t="n">
        <x:v>169</x:v>
      </x:c>
      <x:c r="B933" s="16" t="n">
        <x:v>46204</x:v>
      </x:c>
      <x:c r="C933" t="n">
        <x:v>1</x:v>
      </x:c>
      <x:c r="D933" t="n">
        <x:v>20</x:v>
      </x:c>
      <x:c r="E933" s="18" t="n">
        <x:v>2604.24</x:v>
      </x:c>
      <x:c r="F933" s="18" t="n">
        <x:v>0</x:v>
      </x:c>
      <x:c r="G933" s="18" t="n">
        <x:v>11.72</x:v>
      </x:c>
      <x:c r="H933" s="18" t="n">
        <x:v>3.09</x:v>
      </x:c>
      <x:c r="I933" s="18" t="n">
        <x:v>14.81</x:v>
      </x:c>
      <x:c r="J933" t="n">
        <x:f>IF(A933=A932,IFERROR(IF(B933=EDATE(B932,1),C932,0),0),0)</x:f>
        <x:v>1</x:v>
      </x:c>
      <x:c r="K933" t="n">
        <x:f>IF(AND(J933=1,C933=0),1,0)</x:f>
        <x:v>0</x:v>
      </x:c>
      <x:c r="L933" t="str">
        <x:f>IFERROR(INDEX(Customers!$C$2:$C$451,MATCH(A933,Customers!$A$2:$A$451,0)),"Unknown")</x:f>
        <x:v>Standard</x:v>
      </x:c>
    </x:row>
    <x:row r="934">
      <x:c r="A934" t="n">
        <x:v>169</x:v>
      </x:c>
      <x:c r="B934" s="16" t="n">
        <x:v>46235</x:v>
      </x:c>
      <x:c r="C934" t="n">
        <x:v>1</x:v>
      </x:c>
      <x:c r="D934" t="n">
        <x:v>28</x:v>
      </x:c>
      <x:c r="E934" s="18" t="n">
        <x:v>3166.27</x:v>
      </x:c>
      <x:c r="F934" s="18" t="n">
        <x:v>0</x:v>
      </x:c>
      <x:c r="G934" s="18" t="n">
        <x:v>14.25</x:v>
      </x:c>
      <x:c r="H934" s="18" t="n">
        <x:v>10.28</x:v>
      </x:c>
      <x:c r="I934" s="18" t="n">
        <x:v>24.53</x:v>
      </x:c>
      <x:c r="J934" t="n">
        <x:f>IF(A934=A933,IFERROR(IF(B934=EDATE(B933,1),C933,0),0),0)</x:f>
        <x:v>1</x:v>
      </x:c>
      <x:c r="K934" t="n">
        <x:f>IF(AND(J934=1,C934=0),1,0)</x:f>
        <x:v>0</x:v>
      </x:c>
      <x:c r="L934" t="str">
        <x:f>IFERROR(INDEX(Customers!$C$2:$C$451,MATCH(A934,Customers!$A$2:$A$451,0)),"Unknown")</x:f>
        <x:v>Standard</x:v>
      </x:c>
    </x:row>
    <x:row r="935">
      <x:c r="A935" t="n">
        <x:v>169</x:v>
      </x:c>
      <x:c r="B935" s="16" t="n">
        <x:v>46266</x:v>
      </x:c>
      <x:c r="C935" t="n">
        <x:v>1</x:v>
      </x:c>
      <x:c r="D935" t="n">
        <x:v>28</x:v>
      </x:c>
      <x:c r="E935" s="18" t="n">
        <x:v>1722.34</x:v>
      </x:c>
      <x:c r="F935" s="18" t="n">
        <x:v>0</x:v>
      </x:c>
      <x:c r="G935" s="18" t="n">
        <x:v>7.75</x:v>
      </x:c>
      <x:c r="H935" s="18" t="n">
        <x:v>2.76</x:v>
      </x:c>
      <x:c r="I935" s="18" t="n">
        <x:v>10.51</x:v>
      </x:c>
      <x:c r="J935" t="n">
        <x:f>IF(A935=A934,IFERROR(IF(B935=EDATE(B934,1),C934,0),0),0)</x:f>
        <x:v>1</x:v>
      </x:c>
      <x:c r="K935" t="n">
        <x:f>IF(AND(J935=1,C935=0),1,0)</x:f>
        <x:v>0</x:v>
      </x:c>
      <x:c r="L935" t="str">
        <x:f>IFERROR(INDEX(Customers!$C$2:$C$451,MATCH(A935,Customers!$A$2:$A$451,0)),"Unknown")</x:f>
        <x:v>Standard</x:v>
      </x:c>
    </x:row>
    <x:row r="936">
      <x:c r="A936" t="n">
        <x:v>170</x:v>
      </x:c>
      <x:c r="B936" s="16" t="n">
        <x:v>46174</x:v>
      </x:c>
      <x:c r="C936" t="n">
        <x:v>1</x:v>
      </x:c>
      <x:c r="D936" t="n">
        <x:v>32</x:v>
      </x:c>
      <x:c r="E936" s="18" t="n">
        <x:v>2046.73</x:v>
      </x:c>
      <x:c r="F936" s="18" t="n">
        <x:v>8</x:v>
      </x:c>
      <x:c r="G936" s="18" t="n">
        <x:v>9.21</x:v>
      </x:c>
      <x:c r="H936" s="18" t="n">
        <x:v>5.26</x:v>
      </x:c>
      <x:c r="I936" s="18" t="n">
        <x:v>22.47</x:v>
      </x:c>
      <x:c r="J936" t="n">
        <x:f>IF(A936=A935,IFERROR(IF(B936=EDATE(B935,1),C935,0),0),0)</x:f>
        <x:v>0</x:v>
      </x:c>
      <x:c r="K936" t="n">
        <x:f>IF(AND(J936=1,C936=0),1,0)</x:f>
        <x:v>0</x:v>
      </x:c>
      <x:c r="L936" t="str">
        <x:f>IFERROR(INDEX(Customers!$C$2:$C$451,MATCH(A936,Customers!$A$2:$A$451,0)),"Unknown")</x:f>
        <x:v>Plus</x:v>
      </x:c>
    </x:row>
    <x:row r="937">
      <x:c r="A937" t="n">
        <x:v>170</x:v>
      </x:c>
      <x:c r="B937" s="16" t="n">
        <x:v>46204</x:v>
      </x:c>
      <x:c r="C937" t="n">
        <x:v>1</x:v>
      </x:c>
      <x:c r="D937" t="n">
        <x:v>21</x:v>
      </x:c>
      <x:c r="E937" s="18" t="n">
        <x:v>2056.35</x:v>
      </x:c>
      <x:c r="F937" s="18" t="n">
        <x:v>8</x:v>
      </x:c>
      <x:c r="G937" s="18" t="n">
        <x:v>9.25</x:v>
      </x:c>
      <x:c r="H937" s="18" t="n">
        <x:v>1.86</x:v>
      </x:c>
      <x:c r="I937" s="18" t="n">
        <x:v>19.11</x:v>
      </x:c>
      <x:c r="J937" t="n">
        <x:f>IF(A937=A936,IFERROR(IF(B937=EDATE(B936,1),C936,0),0),0)</x:f>
        <x:v>1</x:v>
      </x:c>
      <x:c r="K937" t="n">
        <x:f>IF(AND(J937=1,C937=0),1,0)</x:f>
        <x:v>0</x:v>
      </x:c>
      <x:c r="L937" t="str">
        <x:f>IFERROR(INDEX(Customers!$C$2:$C$451,MATCH(A937,Customers!$A$2:$A$451,0)),"Unknown")</x:f>
        <x:v>Plus</x:v>
      </x:c>
    </x:row>
    <x:row r="938">
      <x:c r="A938" t="n">
        <x:v>170</x:v>
      </x:c>
      <x:c r="B938" s="16" t="n">
        <x:v>46235</x:v>
      </x:c>
      <x:c r="C938" t="n">
        <x:v>1</x:v>
      </x:c>
      <x:c r="D938" t="n">
        <x:v>13</x:v>
      </x:c>
      <x:c r="E938" s="18" t="n">
        <x:v>1366.11</x:v>
      </x:c>
      <x:c r="F938" s="18" t="n">
        <x:v>8</x:v>
      </x:c>
      <x:c r="G938" s="18" t="n">
        <x:v>6.15</x:v>
      </x:c>
      <x:c r="H938" s="18" t="n">
        <x:v>2.52</x:v>
      </x:c>
      <x:c r="I938" s="18" t="n">
        <x:v>16.67</x:v>
      </x:c>
      <x:c r="J938" t="n">
        <x:f>IF(A938=A937,IFERROR(IF(B938=EDATE(B937,1),C937,0),0),0)</x:f>
        <x:v>1</x:v>
      </x:c>
      <x:c r="K938" t="n">
        <x:f>IF(AND(J938=1,C938=0),1,0)</x:f>
        <x:v>0</x:v>
      </x:c>
      <x:c r="L938" t="str">
        <x:f>IFERROR(INDEX(Customers!$C$2:$C$451,MATCH(A938,Customers!$A$2:$A$451,0)),"Unknown")</x:f>
        <x:v>Plus</x:v>
      </x:c>
    </x:row>
    <x:row r="939">
      <x:c r="A939" t="n">
        <x:v>170</x:v>
      </x:c>
      <x:c r="B939" s="16" t="n">
        <x:v>46266</x:v>
      </x:c>
      <x:c r="C939" t="n">
        <x:v>0</x:v>
      </x:c>
      <x:c r="D939" t="n">
        <x:v>0</x:v>
      </x:c>
      <x:c r="E939" s="18" t="n">
        <x:v>0</x:v>
      </x:c>
      <x:c r="F939" s="18" t="n">
        <x:v>0</x:v>
      </x:c>
      <x:c r="G939" s="18" t="n">
        <x:v>0</x:v>
      </x:c>
      <x:c r="H939" s="18" t="n">
        <x:v>0</x:v>
      </x:c>
      <x:c r="I939" s="18" t="n">
        <x:v>0</x:v>
      </x:c>
      <x:c r="J939" t="n">
        <x:f>IF(A939=A938,IFERROR(IF(B939=EDATE(B938,1),C938,0),0),0)</x:f>
        <x:v>1</x:v>
      </x:c>
      <x:c r="K939" t="n">
        <x:f>IF(AND(J939=1,C939=0),1,0)</x:f>
        <x:v>1</x:v>
      </x:c>
      <x:c r="L939" t="str">
        <x:f>IFERROR(INDEX(Customers!$C$2:$C$451,MATCH(A939,Customers!$A$2:$A$451,0)),"Unknown")</x:f>
        <x:v>Plus</x:v>
      </x:c>
    </x:row>
    <x:row r="940">
      <x:c r="A940" t="n">
        <x:v>171</x:v>
      </x:c>
      <x:c r="B940" s="16" t="n">
        <x:v>46113</x:v>
      </x:c>
      <x:c r="C940" t="n">
        <x:v>1</x:v>
      </x:c>
      <x:c r="D940" t="n">
        <x:v>16</x:v>
      </x:c>
      <x:c r="E940" s="18" t="n">
        <x:v>1561.29</x:v>
      </x:c>
      <x:c r="F940" s="18" t="n">
        <x:v>0</x:v>
      </x:c>
      <x:c r="G940" s="18" t="n">
        <x:v>7.03</x:v>
      </x:c>
      <x:c r="H940" s="18" t="n">
        <x:v>1.7</x:v>
      </x:c>
      <x:c r="I940" s="18" t="n">
        <x:v>8.73</x:v>
      </x:c>
      <x:c r="J940" t="n">
        <x:f>IF(A940=A939,IFERROR(IF(B940=EDATE(B939,1),C939,0),0),0)</x:f>
        <x:v>0</x:v>
      </x:c>
      <x:c r="K940" t="n">
        <x:f>IF(AND(J940=1,C940=0),1,0)</x:f>
        <x:v>0</x:v>
      </x:c>
      <x:c r="L940" t="str">
        <x:f>IFERROR(INDEX(Customers!$C$2:$C$451,MATCH(A940,Customers!$A$2:$A$451,0)),"Unknown")</x:f>
        <x:v>Standard</x:v>
      </x:c>
    </x:row>
    <x:row r="941">
      <x:c r="A941" t="n">
        <x:v>171</x:v>
      </x:c>
      <x:c r="B941" s="16" t="n">
        <x:v>46143</x:v>
      </x:c>
      <x:c r="C941" t="n">
        <x:v>1</x:v>
      </x:c>
      <x:c r="D941" t="n">
        <x:v>5</x:v>
      </x:c>
      <x:c r="E941" s="18" t="n">
        <x:v>600.12</x:v>
      </x:c>
      <x:c r="F941" s="18" t="n">
        <x:v>0</x:v>
      </x:c>
      <x:c r="G941" s="18" t="n">
        <x:v>2.7</x:v>
      </x:c>
      <x:c r="H941" s="18" t="n">
        <x:v>1</x:v>
      </x:c>
      <x:c r="I941" s="18" t="n">
        <x:v>3.7</x:v>
      </x:c>
      <x:c r="J941" t="n">
        <x:f>IF(A941=A940,IFERROR(IF(B941=EDATE(B940,1),C940,0),0),0)</x:f>
        <x:v>1</x:v>
      </x:c>
      <x:c r="K941" t="n">
        <x:f>IF(AND(J941=1,C941=0),1,0)</x:f>
        <x:v>0</x:v>
      </x:c>
      <x:c r="L941" t="str">
        <x:f>IFERROR(INDEX(Customers!$C$2:$C$451,MATCH(A941,Customers!$A$2:$A$451,0)),"Unknown")</x:f>
        <x:v>Standard</x:v>
      </x:c>
    </x:row>
    <x:row r="942">
      <x:c r="A942" t="n">
        <x:v>171</x:v>
      </x:c>
      <x:c r="B942" s="16" t="n">
        <x:v>46174</x:v>
      </x:c>
      <x:c r="C942" t="n">
        <x:v>0</x:v>
      </x:c>
      <x:c r="D942" t="n">
        <x:v>0</x:v>
      </x:c>
      <x:c r="E942" s="18" t="n">
        <x:v>0</x:v>
      </x:c>
      <x:c r="F942" s="18" t="n">
        <x:v>0</x:v>
      </x:c>
      <x:c r="G942" s="18" t="n">
        <x:v>0</x:v>
      </x:c>
      <x:c r="H942" s="18" t="n">
        <x:v>0</x:v>
      </x:c>
      <x:c r="I942" s="18" t="n">
        <x:v>0</x:v>
      </x:c>
      <x:c r="J942" t="n">
        <x:f>IF(A942=A941,IFERROR(IF(B942=EDATE(B941,1),C941,0),0),0)</x:f>
        <x:v>1</x:v>
      </x:c>
      <x:c r="K942" t="n">
        <x:f>IF(AND(J942=1,C942=0),1,0)</x:f>
        <x:v>1</x:v>
      </x:c>
      <x:c r="L942" t="str">
        <x:f>IFERROR(INDEX(Customers!$C$2:$C$451,MATCH(A942,Customers!$A$2:$A$451,0)),"Unknown")</x:f>
        <x:v>Standard</x:v>
      </x:c>
    </x:row>
    <x:row r="943">
      <x:c r="A943" t="n">
        <x:v>171</x:v>
      </x:c>
      <x:c r="B943" s="16" t="n">
        <x:v>46204</x:v>
      </x:c>
      <x:c r="C943" t="n">
        <x:v>1</x:v>
      </x:c>
      <x:c r="D943" t="n">
        <x:v>26</x:v>
      </x:c>
      <x:c r="E943" s="18" t="n">
        <x:v>3524.88</x:v>
      </x:c>
      <x:c r="F943" s="18" t="n">
        <x:v>0</x:v>
      </x:c>
      <x:c r="G943" s="18" t="n">
        <x:v>15.86</x:v>
      </x:c>
      <x:c r="H943" s="18" t="n">
        <x:v>12.85</x:v>
      </x:c>
      <x:c r="I943" s="18" t="n">
        <x:v>28.71</x:v>
      </x:c>
      <x:c r="J943" t="n">
        <x:f>IF(A943=A942,IFERROR(IF(B943=EDATE(B942,1),C942,0),0),0)</x:f>
        <x:v>0</x:v>
      </x:c>
      <x:c r="K943" t="n">
        <x:f>IF(AND(J943=1,C943=0),1,0)</x:f>
        <x:v>0</x:v>
      </x:c>
      <x:c r="L943" t="str">
        <x:f>IFERROR(INDEX(Customers!$C$2:$C$451,MATCH(A943,Customers!$A$2:$A$451,0)),"Unknown")</x:f>
        <x:v>Standard</x:v>
      </x:c>
    </x:row>
    <x:row r="944">
      <x:c r="A944" t="n">
        <x:v>171</x:v>
      </x:c>
      <x:c r="B944" s="16" t="n">
        <x:v>46235</x:v>
      </x:c>
      <x:c r="C944" t="n">
        <x:v>1</x:v>
      </x:c>
      <x:c r="D944" t="n">
        <x:v>21</x:v>
      </x:c>
      <x:c r="E944" s="18" t="n">
        <x:v>926.61</x:v>
      </x:c>
      <x:c r="F944" s="18" t="n">
        <x:v>0</x:v>
      </x:c>
      <x:c r="G944" s="18" t="n">
        <x:v>4.17</x:v>
      </x:c>
      <x:c r="H944" s="18" t="n">
        <x:v>2.57</x:v>
      </x:c>
      <x:c r="I944" s="18" t="n">
        <x:v>6.74</x:v>
      </x:c>
      <x:c r="J944" t="n">
        <x:f>IF(A944=A943,IFERROR(IF(B944=EDATE(B943,1),C943,0),0),0)</x:f>
        <x:v>1</x:v>
      </x:c>
      <x:c r="K944" t="n">
        <x:f>IF(AND(J944=1,C944=0),1,0)</x:f>
        <x:v>0</x:v>
      </x:c>
      <x:c r="L944" t="str">
        <x:f>IFERROR(INDEX(Customers!$C$2:$C$451,MATCH(A944,Customers!$A$2:$A$451,0)),"Unknown")</x:f>
        <x:v>Standard</x:v>
      </x:c>
    </x:row>
    <x:row r="945">
      <x:c r="A945" t="n">
        <x:v>171</x:v>
      </x:c>
      <x:c r="B945" s="16" t="n">
        <x:v>46266</x:v>
      </x:c>
      <x:c r="C945" t="n">
        <x:v>0</x:v>
      </x:c>
      <x:c r="D945" t="n">
        <x:v>0</x:v>
      </x:c>
      <x:c r="E945" s="18" t="n">
        <x:v>0</x:v>
      </x:c>
      <x:c r="F945" s="18" t="n">
        <x:v>0</x:v>
      </x:c>
      <x:c r="G945" s="18" t="n">
        <x:v>0</x:v>
      </x:c>
      <x:c r="H945" s="18" t="n">
        <x:v>0</x:v>
      </x:c>
      <x:c r="I945" s="18" t="n">
        <x:v>0</x:v>
      </x:c>
      <x:c r="J945" t="n">
        <x:f>IF(A945=A944,IFERROR(IF(B945=EDATE(B944,1),C944,0),0),0)</x:f>
        <x:v>1</x:v>
      </x:c>
      <x:c r="K945" t="n">
        <x:f>IF(AND(J945=1,C945=0),1,0)</x:f>
        <x:v>1</x:v>
      </x:c>
      <x:c r="L945" t="str">
        <x:f>IFERROR(INDEX(Customers!$C$2:$C$451,MATCH(A945,Customers!$A$2:$A$451,0)),"Unknown")</x:f>
        <x:v>Standard</x:v>
      </x:c>
    </x:row>
    <x:row r="946">
      <x:c r="A946" t="n">
        <x:v>172</x:v>
      </x:c>
      <x:c r="B946" s="16" t="n">
        <x:v>46143</x:v>
      </x:c>
      <x:c r="C946" t="n">
        <x:v>1</x:v>
      </x:c>
      <x:c r="D946" t="n">
        <x:v>35</x:v>
      </x:c>
      <x:c r="E946" s="18" t="n">
        <x:v>3235.07</x:v>
      </x:c>
      <x:c r="F946" s="18" t="n">
        <x:v>17</x:v>
      </x:c>
      <x:c r="G946" s="18" t="n">
        <x:v>14.56</x:v>
      </x:c>
      <x:c r="H946" s="18" t="n">
        <x:v>5.33</x:v>
      </x:c>
      <x:c r="I946" s="18" t="n">
        <x:v>36.89</x:v>
      </x:c>
      <x:c r="J946" t="n">
        <x:f>IF(A946=A945,IFERROR(IF(B946=EDATE(B945,1),C945,0),0),0)</x:f>
        <x:v>0</x:v>
      </x:c>
      <x:c r="K946" t="n">
        <x:f>IF(AND(J946=1,C946=0),1,0)</x:f>
        <x:v>0</x:v>
      </x:c>
      <x:c r="L946" t="str">
        <x:f>IFERROR(INDEX(Customers!$C$2:$C$451,MATCH(A946,Customers!$A$2:$A$451,0)),"Unknown")</x:f>
        <x:v>Premium</x:v>
      </x:c>
    </x:row>
    <x:row r="947">
      <x:c r="A947" t="n">
        <x:v>172</x:v>
      </x:c>
      <x:c r="B947" s="16" t="n">
        <x:v>46174</x:v>
      </x:c>
      <x:c r="C947" t="n">
        <x:v>0</x:v>
      </x:c>
      <x:c r="D947" t="n">
        <x:v>0</x:v>
      </x:c>
      <x:c r="E947" s="18" t="n">
        <x:v>0</x:v>
      </x:c>
      <x:c r="F947" s="18" t="n">
        <x:v>0</x:v>
      </x:c>
      <x:c r="G947" s="18" t="n">
        <x:v>0</x:v>
      </x:c>
      <x:c r="H947" s="18" t="n">
        <x:v>0</x:v>
      </x:c>
      <x:c r="I947" s="18" t="n">
        <x:v>0</x:v>
      </x:c>
      <x:c r="J947" t="n">
        <x:f>IF(A947=A946,IFERROR(IF(B947=EDATE(B946,1),C946,0),0),0)</x:f>
        <x:v>1</x:v>
      </x:c>
      <x:c r="K947" t="n">
        <x:f>IF(AND(J947=1,C947=0),1,0)</x:f>
        <x:v>1</x:v>
      </x:c>
      <x:c r="L947" t="str">
        <x:f>IFERROR(INDEX(Customers!$C$2:$C$451,MATCH(A947,Customers!$A$2:$A$451,0)),"Unknown")</x:f>
        <x:v>Premium</x:v>
      </x:c>
    </x:row>
    <x:row r="948">
      <x:c r="A948" t="n">
        <x:v>172</x:v>
      </x:c>
      <x:c r="B948" s="16" t="n">
        <x:v>46204</x:v>
      </x:c>
      <x:c r="C948" t="n">
        <x:v>0</x:v>
      </x:c>
      <x:c r="D948" t="n">
        <x:v>0</x:v>
      </x:c>
      <x:c r="E948" s="18" t="n">
        <x:v>0</x:v>
      </x:c>
      <x:c r="F948" s="18" t="n">
        <x:v>0</x:v>
      </x:c>
      <x:c r="G948" s="18" t="n">
        <x:v>0</x:v>
      </x:c>
      <x:c r="H948" s="18" t="n">
        <x:v>0</x:v>
      </x:c>
      <x:c r="I948" s="18" t="n">
        <x:v>0</x:v>
      </x:c>
      <x:c r="J948" t="n">
        <x:f>IF(A948=A947,IFERROR(IF(B948=EDATE(B947,1),C947,0),0),0)</x:f>
        <x:v>0</x:v>
      </x:c>
      <x:c r="K948" t="n">
        <x:f>IF(AND(J948=1,C948=0),1,0)</x:f>
        <x:v>0</x:v>
      </x:c>
      <x:c r="L948" t="str">
        <x:f>IFERROR(INDEX(Customers!$C$2:$C$451,MATCH(A948,Customers!$A$2:$A$451,0)),"Unknown")</x:f>
        <x:v>Premium</x:v>
      </x:c>
    </x:row>
    <x:row r="949">
      <x:c r="A949" t="n">
        <x:v>172</x:v>
      </x:c>
      <x:c r="B949" s="16" t="n">
        <x:v>46235</x:v>
      </x:c>
      <x:c r="C949" t="n">
        <x:v>1</x:v>
      </x:c>
      <x:c r="D949" t="n">
        <x:v>24</x:v>
      </x:c>
      <x:c r="E949" s="18" t="n">
        <x:v>1171.74</x:v>
      </x:c>
      <x:c r="F949" s="18" t="n">
        <x:v>17</x:v>
      </x:c>
      <x:c r="G949" s="18" t="n">
        <x:v>5.27</x:v>
      </x:c>
      <x:c r="H949" s="18" t="n">
        <x:v>3.6</x:v>
      </x:c>
      <x:c r="I949" s="18" t="n">
        <x:v>25.87</x:v>
      </x:c>
      <x:c r="J949" t="n">
        <x:f>IF(A949=A948,IFERROR(IF(B949=EDATE(B948,1),C948,0),0),0)</x:f>
        <x:v>0</x:v>
      </x:c>
      <x:c r="K949" t="n">
        <x:f>IF(AND(J949=1,C949=0),1,0)</x:f>
        <x:v>0</x:v>
      </x:c>
      <x:c r="L949" t="str">
        <x:f>IFERROR(INDEX(Customers!$C$2:$C$451,MATCH(A949,Customers!$A$2:$A$451,0)),"Unknown")</x:f>
        <x:v>Premium</x:v>
      </x:c>
    </x:row>
    <x:row r="950">
      <x:c r="A950" t="n">
        <x:v>172</x:v>
      </x:c>
      <x:c r="B950" s="16" t="n">
        <x:v>46266</x:v>
      </x:c>
      <x:c r="C950" t="n">
        <x:v>0</x:v>
      </x:c>
      <x:c r="D950" t="n">
        <x:v>0</x:v>
      </x:c>
      <x:c r="E950" s="18" t="n">
        <x:v>0</x:v>
      </x:c>
      <x:c r="F950" s="18" t="n">
        <x:v>0</x:v>
      </x:c>
      <x:c r="G950" s="18" t="n">
        <x:v>0</x:v>
      </x:c>
      <x:c r="H950" s="18" t="n">
        <x:v>0</x:v>
      </x:c>
      <x:c r="I950" s="18" t="n">
        <x:v>0</x:v>
      </x:c>
      <x:c r="J950" t="n">
        <x:f>IF(A950=A949,IFERROR(IF(B950=EDATE(B949,1),C949,0),0),0)</x:f>
        <x:v>1</x:v>
      </x:c>
      <x:c r="K950" t="n">
        <x:f>IF(AND(J950=1,C950=0),1,0)</x:f>
        <x:v>1</x:v>
      </x:c>
      <x:c r="L950" t="str">
        <x:f>IFERROR(INDEX(Customers!$C$2:$C$451,MATCH(A950,Customers!$A$2:$A$451,0)),"Unknown")</x:f>
        <x:v>Premium</x:v>
      </x:c>
    </x:row>
    <x:row r="951">
      <x:c r="A951" t="n">
        <x:v>173</x:v>
      </x:c>
      <x:c r="B951" s="16" t="n">
        <x:v>46143</x:v>
      </x:c>
      <x:c r="C951" t="n">
        <x:v>0</x:v>
      </x:c>
      <x:c r="D951" t="n">
        <x:v>0</x:v>
      </x:c>
      <x:c r="E951" s="18" t="n">
        <x:v>0</x:v>
      </x:c>
      <x:c r="F951" s="18" t="n">
        <x:v>0</x:v>
      </x:c>
      <x:c r="G951" s="18" t="n">
        <x:v>0</x:v>
      </x:c>
      <x:c r="H951" s="18" t="n">
        <x:v>0</x:v>
      </x:c>
      <x:c r="I951" s="18" t="n">
        <x:v>0</x:v>
      </x:c>
      <x:c r="J951" t="n">
        <x:f>IF(A951=A950,IFERROR(IF(B951=EDATE(B950,1),C950,0),0),0)</x:f>
        <x:v>0</x:v>
      </x:c>
      <x:c r="K951" t="n">
        <x:f>IF(AND(J951=1,C951=0),1,0)</x:f>
        <x:v>0</x:v>
      </x:c>
      <x:c r="L951" t="str">
        <x:f>IFERROR(INDEX(Customers!$C$2:$C$451,MATCH(A951,Customers!$A$2:$A$451,0)),"Unknown")</x:f>
        <x:v>Premium</x:v>
      </x:c>
    </x:row>
    <x:row r="952">
      <x:c r="A952" t="n">
        <x:v>173</x:v>
      </x:c>
      <x:c r="B952" s="16" t="n">
        <x:v>46174</x:v>
      </x:c>
      <x:c r="C952" t="n">
        <x:v>1</x:v>
      </x:c>
      <x:c r="D952" t="n">
        <x:v>30</x:v>
      </x:c>
      <x:c r="E952" s="18" t="n">
        <x:v>3494.66</x:v>
      </x:c>
      <x:c r="F952" s="18" t="n">
        <x:v>17</x:v>
      </x:c>
      <x:c r="G952" s="18" t="n">
        <x:v>15.73</x:v>
      </x:c>
      <x:c r="H952" s="18" t="n">
        <x:v>5.36</x:v>
      </x:c>
      <x:c r="I952" s="18" t="n">
        <x:v>38.09</x:v>
      </x:c>
      <x:c r="J952" t="n">
        <x:f>IF(A952=A951,IFERROR(IF(B952=EDATE(B951,1),C951,0),0),0)</x:f>
        <x:v>0</x:v>
      </x:c>
      <x:c r="K952" t="n">
        <x:f>IF(AND(J952=1,C952=0),1,0)</x:f>
        <x:v>0</x:v>
      </x:c>
      <x:c r="L952" t="str">
        <x:f>IFERROR(INDEX(Customers!$C$2:$C$451,MATCH(A952,Customers!$A$2:$A$451,0)),"Unknown")</x:f>
        <x:v>Premium</x:v>
      </x:c>
    </x:row>
    <x:row r="953">
      <x:c r="A953" t="n">
        <x:v>173</x:v>
      </x:c>
      <x:c r="B953" s="16" t="n">
        <x:v>46204</x:v>
      </x:c>
      <x:c r="C953" t="n">
        <x:v>1</x:v>
      </x:c>
      <x:c r="D953" t="n">
        <x:v>23</x:v>
      </x:c>
      <x:c r="E953" s="18" t="n">
        <x:v>1963.18</x:v>
      </x:c>
      <x:c r="F953" s="18" t="n">
        <x:v>17</x:v>
      </x:c>
      <x:c r="G953" s="18" t="n">
        <x:v>8.83</x:v>
      </x:c>
      <x:c r="H953" s="18" t="n">
        <x:v>5.92</x:v>
      </x:c>
      <x:c r="I953" s="18" t="n">
        <x:v>31.75</x:v>
      </x:c>
      <x:c r="J953" t="n">
        <x:f>IF(A953=A952,IFERROR(IF(B953=EDATE(B952,1),C952,0),0),0)</x:f>
        <x:v>1</x:v>
      </x:c>
      <x:c r="K953" t="n">
        <x:f>IF(AND(J953=1,C953=0),1,0)</x:f>
        <x:v>0</x:v>
      </x:c>
      <x:c r="L953" t="str">
        <x:f>IFERROR(INDEX(Customers!$C$2:$C$451,MATCH(A953,Customers!$A$2:$A$451,0)),"Unknown")</x:f>
        <x:v>Premium</x:v>
      </x:c>
    </x:row>
    <x:row r="954">
      <x:c r="A954" t="n">
        <x:v>173</x:v>
      </x:c>
      <x:c r="B954" s="16" t="n">
        <x:v>46235</x:v>
      </x:c>
      <x:c r="C954" t="n">
        <x:v>0</x:v>
      </x:c>
      <x:c r="D954" t="n">
        <x:v>0</x:v>
      </x:c>
      <x:c r="E954" s="18" t="n">
        <x:v>0</x:v>
      </x:c>
      <x:c r="F954" s="18" t="n">
        <x:v>0</x:v>
      </x:c>
      <x:c r="G954" s="18" t="n">
        <x:v>0</x:v>
      </x:c>
      <x:c r="H954" s="18" t="n">
        <x:v>0</x:v>
      </x:c>
      <x:c r="I954" s="18" t="n">
        <x:v>0</x:v>
      </x:c>
      <x:c r="J954" t="n">
        <x:f>IF(A954=A953,IFERROR(IF(B954=EDATE(B953,1),C953,0),0),0)</x:f>
        <x:v>1</x:v>
      </x:c>
      <x:c r="K954" t="n">
        <x:f>IF(AND(J954=1,C954=0),1,0)</x:f>
        <x:v>1</x:v>
      </x:c>
      <x:c r="L954" t="str">
        <x:f>IFERROR(INDEX(Customers!$C$2:$C$451,MATCH(A954,Customers!$A$2:$A$451,0)),"Unknown")</x:f>
        <x:v>Premium</x:v>
      </x:c>
    </x:row>
    <x:row r="955">
      <x:c r="A955" t="n">
        <x:v>173</x:v>
      </x:c>
      <x:c r="B955" s="16" t="n">
        <x:v>46266</x:v>
      </x:c>
      <x:c r="C955" t="n">
        <x:v>1</x:v>
      </x:c>
      <x:c r="D955" t="n">
        <x:v>22</x:v>
      </x:c>
      <x:c r="E955" s="18" t="n">
        <x:v>2048.76</x:v>
      </x:c>
      <x:c r="F955" s="18" t="n">
        <x:v>17</x:v>
      </x:c>
      <x:c r="G955" s="18" t="n">
        <x:v>9.22</x:v>
      </x:c>
      <x:c r="H955" s="18" t="n">
        <x:v>5.64</x:v>
      </x:c>
      <x:c r="I955" s="18" t="n">
        <x:v>31.86</x:v>
      </x:c>
      <x:c r="J955" t="n">
        <x:f>IF(A955=A954,IFERROR(IF(B955=EDATE(B954,1),C954,0),0),0)</x:f>
        <x:v>0</x:v>
      </x:c>
      <x:c r="K955" t="n">
        <x:f>IF(AND(J955=1,C955=0),1,0)</x:f>
        <x:v>0</x:v>
      </x:c>
      <x:c r="L955" t="str">
        <x:f>IFERROR(INDEX(Customers!$C$2:$C$451,MATCH(A955,Customers!$A$2:$A$451,0)),"Unknown")</x:f>
        <x:v>Premium</x:v>
      </x:c>
    </x:row>
    <x:row r="956">
      <x:c r="A956" t="n">
        <x:v>174</x:v>
      </x:c>
      <x:c r="B956" s="16" t="n">
        <x:v>46113</x:v>
      </x:c>
      <x:c r="C956" t="n">
        <x:v>1</x:v>
      </x:c>
      <x:c r="D956" t="n">
        <x:v>34</x:v>
      </x:c>
      <x:c r="E956" s="18" t="n">
        <x:v>4746.25</x:v>
      </x:c>
      <x:c r="F956" s="18" t="n">
        <x:v>0</x:v>
      </x:c>
      <x:c r="G956" s="18" t="n">
        <x:v>21.36</x:v>
      </x:c>
      <x:c r="H956" s="18" t="n">
        <x:v>5.02</x:v>
      </x:c>
      <x:c r="I956" s="18" t="n">
        <x:v>26.38</x:v>
      </x:c>
      <x:c r="J956" t="n">
        <x:f>IF(A956=A955,IFERROR(IF(B956=EDATE(B955,1),C955,0),0),0)</x:f>
        <x:v>0</x:v>
      </x:c>
      <x:c r="K956" t="n">
        <x:f>IF(AND(J956=1,C956=0),1,0)</x:f>
        <x:v>0</x:v>
      </x:c>
      <x:c r="L956" t="str">
        <x:f>IFERROR(INDEX(Customers!$C$2:$C$451,MATCH(A956,Customers!$A$2:$A$451,0)),"Unknown")</x:f>
        <x:v>Standard</x:v>
      </x:c>
    </x:row>
    <x:row r="957">
      <x:c r="A957" t="n">
        <x:v>174</x:v>
      </x:c>
      <x:c r="B957" s="16" t="n">
        <x:v>46143</x:v>
      </x:c>
      <x:c r="C957" t="n">
        <x:v>1</x:v>
      </x:c>
      <x:c r="D957" t="n">
        <x:v>26</x:v>
      </x:c>
      <x:c r="E957" s="18" t="n">
        <x:v>3567.02</x:v>
      </x:c>
      <x:c r="F957" s="18" t="n">
        <x:v>0</x:v>
      </x:c>
      <x:c r="G957" s="18" t="n">
        <x:v>16.05</x:v>
      </x:c>
      <x:c r="H957" s="18" t="n">
        <x:v>11.73</x:v>
      </x:c>
      <x:c r="I957" s="18" t="n">
        <x:v>27.78</x:v>
      </x:c>
      <x:c r="J957" t="n">
        <x:f>IF(A957=A956,IFERROR(IF(B957=EDATE(B956,1),C956,0),0),0)</x:f>
        <x:v>1</x:v>
      </x:c>
      <x:c r="K957" t="n">
        <x:f>IF(AND(J957=1,C957=0),1,0)</x:f>
        <x:v>0</x:v>
      </x:c>
      <x:c r="L957" t="str">
        <x:f>IFERROR(INDEX(Customers!$C$2:$C$451,MATCH(A957,Customers!$A$2:$A$451,0)),"Unknown")</x:f>
        <x:v>Standard</x:v>
      </x:c>
    </x:row>
    <x:row r="958">
      <x:c r="A958" t="n">
        <x:v>174</x:v>
      </x:c>
      <x:c r="B958" s="16" t="n">
        <x:v>46174</x:v>
      </x:c>
      <x:c r="C958" t="n">
        <x:v>0</x:v>
      </x:c>
      <x:c r="D958" t="n">
        <x:v>0</x:v>
      </x:c>
      <x:c r="E958" s="18" t="n">
        <x:v>0</x:v>
      </x:c>
      <x:c r="F958" s="18" t="n">
        <x:v>0</x:v>
      </x:c>
      <x:c r="G958" s="18" t="n">
        <x:v>0</x:v>
      </x:c>
      <x:c r="H958" s="18" t="n">
        <x:v>0</x:v>
      </x:c>
      <x:c r="I958" s="18" t="n">
        <x:v>0</x:v>
      </x:c>
      <x:c r="J958" t="n">
        <x:f>IF(A958=A957,IFERROR(IF(B958=EDATE(B957,1),C957,0),0),0)</x:f>
        <x:v>1</x:v>
      </x:c>
      <x:c r="K958" t="n">
        <x:f>IF(AND(J958=1,C958=0),1,0)</x:f>
        <x:v>1</x:v>
      </x:c>
      <x:c r="L958" t="str">
        <x:f>IFERROR(INDEX(Customers!$C$2:$C$451,MATCH(A958,Customers!$A$2:$A$451,0)),"Unknown")</x:f>
        <x:v>Standard</x:v>
      </x:c>
    </x:row>
    <x:row r="959">
      <x:c r="A959" t="n">
        <x:v>174</x:v>
      </x:c>
      <x:c r="B959" s="16" t="n">
        <x:v>46204</x:v>
      </x:c>
      <x:c r="C959" t="n">
        <x:v>0</x:v>
      </x:c>
      <x:c r="D959" t="n">
        <x:v>0</x:v>
      </x:c>
      <x:c r="E959" s="18" t="n">
        <x:v>0</x:v>
      </x:c>
      <x:c r="F959" s="18" t="n">
        <x:v>0</x:v>
      </x:c>
      <x:c r="G959" s="18" t="n">
        <x:v>0</x:v>
      </x:c>
      <x:c r="H959" s="18" t="n">
        <x:v>0</x:v>
      </x:c>
      <x:c r="I959" s="18" t="n">
        <x:v>0</x:v>
      </x:c>
      <x:c r="J959" t="n">
        <x:f>IF(A959=A958,IFERROR(IF(B959=EDATE(B958,1),C958,0),0),0)</x:f>
        <x:v>0</x:v>
      </x:c>
      <x:c r="K959" t="n">
        <x:f>IF(AND(J959=1,C959=0),1,0)</x:f>
        <x:v>0</x:v>
      </x:c>
      <x:c r="L959" t="str">
        <x:f>IFERROR(INDEX(Customers!$C$2:$C$451,MATCH(A959,Customers!$A$2:$A$451,0)),"Unknown")</x:f>
        <x:v>Standard</x:v>
      </x:c>
    </x:row>
    <x:row r="960">
      <x:c r="A960" t="n">
        <x:v>174</x:v>
      </x:c>
      <x:c r="B960" s="16" t="n">
        <x:v>46235</x:v>
      </x:c>
      <x:c r="C960" t="n">
        <x:v>0</x:v>
      </x:c>
      <x:c r="D960" t="n">
        <x:v>0</x:v>
      </x:c>
      <x:c r="E960" s="18" t="n">
        <x:v>0</x:v>
      </x:c>
      <x:c r="F960" s="18" t="n">
        <x:v>0</x:v>
      </x:c>
      <x:c r="G960" s="18" t="n">
        <x:v>0</x:v>
      </x:c>
      <x:c r="H960" s="18" t="n">
        <x:v>0</x:v>
      </x:c>
      <x:c r="I960" s="18" t="n">
        <x:v>0</x:v>
      </x:c>
      <x:c r="J960" t="n">
        <x:f>IF(A960=A959,IFERROR(IF(B960=EDATE(B959,1),C959,0),0),0)</x:f>
        <x:v>0</x:v>
      </x:c>
      <x:c r="K960" t="n">
        <x:f>IF(AND(J960=1,C960=0),1,0)</x:f>
        <x:v>0</x:v>
      </x:c>
      <x:c r="L960" t="str">
        <x:f>IFERROR(INDEX(Customers!$C$2:$C$451,MATCH(A960,Customers!$A$2:$A$451,0)),"Unknown")</x:f>
        <x:v>Standard</x:v>
      </x:c>
    </x:row>
    <x:row r="961">
      <x:c r="A961" t="n">
        <x:v>174</x:v>
      </x:c>
      <x:c r="B961" s="16" t="n">
        <x:v>46266</x:v>
      </x:c>
      <x:c r="C961" t="n">
        <x:v>0</x:v>
      </x:c>
      <x:c r="D961" t="n">
        <x:v>0</x:v>
      </x:c>
      <x:c r="E961" s="18" t="n">
        <x:v>0</x:v>
      </x:c>
      <x:c r="F961" s="18" t="n">
        <x:v>0</x:v>
      </x:c>
      <x:c r="G961" s="18" t="n">
        <x:v>0</x:v>
      </x:c>
      <x:c r="H961" s="18" t="n">
        <x:v>0</x:v>
      </x:c>
      <x:c r="I961" s="18" t="n">
        <x:v>0</x:v>
      </x:c>
      <x:c r="J961" t="n">
        <x:f>IF(A961=A960,IFERROR(IF(B961=EDATE(B960,1),C960,0),0),0)</x:f>
        <x:v>0</x:v>
      </x:c>
      <x:c r="K961" t="n">
        <x:f>IF(AND(J961=1,C961=0),1,0)</x:f>
        <x:v>0</x:v>
      </x:c>
      <x:c r="L961" t="str">
        <x:f>IFERROR(INDEX(Customers!$C$2:$C$451,MATCH(A961,Customers!$A$2:$A$451,0)),"Unknown")</x:f>
        <x:v>Standard</x:v>
      </x:c>
    </x:row>
    <x:row r="962">
      <x:c r="A962" t="n">
        <x:v>175</x:v>
      </x:c>
      <x:c r="B962" s="16" t="n">
        <x:v>46113</x:v>
      </x:c>
      <x:c r="C962" t="n">
        <x:v>1</x:v>
      </x:c>
      <x:c r="D962" t="n">
        <x:v>22</x:v>
      </x:c>
      <x:c r="E962" s="18" t="n">
        <x:v>1935.6</x:v>
      </x:c>
      <x:c r="F962" s="18" t="n">
        <x:v>8</x:v>
      </x:c>
      <x:c r="G962" s="18" t="n">
        <x:v>8.71</x:v>
      </x:c>
      <x:c r="H962" s="18" t="n">
        <x:v>7.2</x:v>
      </x:c>
      <x:c r="I962" s="18" t="n">
        <x:v>23.91</x:v>
      </x:c>
      <x:c r="J962" t="n">
        <x:f>IF(A962=A961,IFERROR(IF(B962=EDATE(B961,1),C961,0),0),0)</x:f>
        <x:v>0</x:v>
      </x:c>
      <x:c r="K962" t="n">
        <x:f>IF(AND(J962=1,C962=0),1,0)</x:f>
        <x:v>0</x:v>
      </x:c>
      <x:c r="L962" t="str">
        <x:f>IFERROR(INDEX(Customers!$C$2:$C$451,MATCH(A962,Customers!$A$2:$A$451,0)),"Unknown")</x:f>
        <x:v>Plus</x:v>
      </x:c>
    </x:row>
    <x:row r="963">
      <x:c r="A963" t="n">
        <x:v>175</x:v>
      </x:c>
      <x:c r="B963" s="16" t="n">
        <x:v>46143</x:v>
      </x:c>
      <x:c r="C963" t="n">
        <x:v>1</x:v>
      </x:c>
      <x:c r="D963" t="n">
        <x:v>20</x:v>
      </x:c>
      <x:c r="E963" s="18" t="n">
        <x:v>1896.44</x:v>
      </x:c>
      <x:c r="F963" s="18" t="n">
        <x:v>8</x:v>
      </x:c>
      <x:c r="G963" s="18" t="n">
        <x:v>8.53</x:v>
      </x:c>
      <x:c r="H963" s="18" t="n">
        <x:v>5.41</x:v>
      </x:c>
      <x:c r="I963" s="18" t="n">
        <x:v>21.94</x:v>
      </x:c>
      <x:c r="J963" t="n">
        <x:f>IF(A963=A962,IFERROR(IF(B963=EDATE(B962,1),C962,0),0),0)</x:f>
        <x:v>1</x:v>
      </x:c>
      <x:c r="K963" t="n">
        <x:f>IF(AND(J963=1,C963=0),1,0)</x:f>
        <x:v>0</x:v>
      </x:c>
      <x:c r="L963" t="str">
        <x:f>IFERROR(INDEX(Customers!$C$2:$C$451,MATCH(A963,Customers!$A$2:$A$451,0)),"Unknown")</x:f>
        <x:v>Plus</x:v>
      </x:c>
    </x:row>
    <x:row r="964">
      <x:c r="A964" t="n">
        <x:v>175</x:v>
      </x:c>
      <x:c r="B964" s="16" t="n">
        <x:v>46174</x:v>
      </x:c>
      <x:c r="C964" t="n">
        <x:v>1</x:v>
      </x:c>
      <x:c r="D964" t="n">
        <x:v>10</x:v>
      </x:c>
      <x:c r="E964" s="18" t="n">
        <x:v>975.06</x:v>
      </x:c>
      <x:c r="F964" s="18" t="n">
        <x:v>8</x:v>
      </x:c>
      <x:c r="G964" s="18" t="n">
        <x:v>4.39</x:v>
      </x:c>
      <x:c r="H964" s="18" t="n">
        <x:v>3.53</x:v>
      </x:c>
      <x:c r="I964" s="18" t="n">
        <x:v>15.92</x:v>
      </x:c>
      <x:c r="J964" t="n">
        <x:f>IF(A964=A963,IFERROR(IF(B964=EDATE(B963,1),C963,0),0),0)</x:f>
        <x:v>1</x:v>
      </x:c>
      <x:c r="K964" t="n">
        <x:f>IF(AND(J964=1,C964=0),1,0)</x:f>
        <x:v>0</x:v>
      </x:c>
      <x:c r="L964" t="str">
        <x:f>IFERROR(INDEX(Customers!$C$2:$C$451,MATCH(A964,Customers!$A$2:$A$451,0)),"Unknown")</x:f>
        <x:v>Plus</x:v>
      </x:c>
    </x:row>
    <x:row r="965">
      <x:c r="A965" t="n">
        <x:v>175</x:v>
      </x:c>
      <x:c r="B965" s="16" t="n">
        <x:v>46204</x:v>
      </x:c>
      <x:c r="C965" t="n">
        <x:v>1</x:v>
      </x:c>
      <x:c r="D965" t="n">
        <x:v>28</x:v>
      </x:c>
      <x:c r="E965" s="18" t="n">
        <x:v>3601.49</x:v>
      </x:c>
      <x:c r="F965" s="18" t="n">
        <x:v>8</x:v>
      </x:c>
      <x:c r="G965" s="18" t="n">
        <x:v>16.21</x:v>
      </x:c>
      <x:c r="H965" s="18" t="n">
        <x:v>12.04</x:v>
      </x:c>
      <x:c r="I965" s="18" t="n">
        <x:v>36.25</x:v>
      </x:c>
      <x:c r="J965" t="n">
        <x:f>IF(A965=A964,IFERROR(IF(B965=EDATE(B964,1),C964,0),0),0)</x:f>
        <x:v>1</x:v>
      </x:c>
      <x:c r="K965" t="n">
        <x:f>IF(AND(J965=1,C965=0),1,0)</x:f>
        <x:v>0</x:v>
      </x:c>
      <x:c r="L965" t="str">
        <x:f>IFERROR(INDEX(Customers!$C$2:$C$451,MATCH(A965,Customers!$A$2:$A$451,0)),"Unknown")</x:f>
        <x:v>Plus</x:v>
      </x:c>
    </x:row>
    <x:row r="966">
      <x:c r="A966" t="n">
        <x:v>175</x:v>
      </x:c>
      <x:c r="B966" s="16" t="n">
        <x:v>46235</x:v>
      </x:c>
      <x:c r="C966" t="n">
        <x:v>1</x:v>
      </x:c>
      <x:c r="D966" t="n">
        <x:v>6</x:v>
      </x:c>
      <x:c r="E966" s="18" t="n">
        <x:v>350.02</x:v>
      </x:c>
      <x:c r="F966" s="18" t="n">
        <x:v>8</x:v>
      </x:c>
      <x:c r="G966" s="18" t="n">
        <x:v>1.58</x:v>
      </x:c>
      <x:c r="H966" s="18" t="n">
        <x:v>0.64</x:v>
      </x:c>
      <x:c r="I966" s="18" t="n">
        <x:v>10.22</x:v>
      </x:c>
      <x:c r="J966" t="n">
        <x:f>IF(A966=A965,IFERROR(IF(B966=EDATE(B965,1),C965,0),0),0)</x:f>
        <x:v>1</x:v>
      </x:c>
      <x:c r="K966" t="n">
        <x:f>IF(AND(J966=1,C966=0),1,0)</x:f>
        <x:v>0</x:v>
      </x:c>
      <x:c r="L966" t="str">
        <x:f>IFERROR(INDEX(Customers!$C$2:$C$451,MATCH(A966,Customers!$A$2:$A$451,0)),"Unknown")</x:f>
        <x:v>Plus</x:v>
      </x:c>
    </x:row>
    <x:row r="967">
      <x:c r="A967" t="n">
        <x:v>175</x:v>
      </x:c>
      <x:c r="B967" s="16" t="n">
        <x:v>46266</x:v>
      </x:c>
      <x:c r="C967" t="n">
        <x:v>1</x:v>
      </x:c>
      <x:c r="D967" t="n">
        <x:v>18</x:v>
      </x:c>
      <x:c r="E967" s="18" t="n">
        <x:v>1023.29</x:v>
      </x:c>
      <x:c r="F967" s="18" t="n">
        <x:v>8</x:v>
      </x:c>
      <x:c r="G967" s="18" t="n">
        <x:v>4.6</x:v>
      </x:c>
      <x:c r="H967" s="18" t="n">
        <x:v>2.45</x:v>
      </x:c>
      <x:c r="I967" s="18" t="n">
        <x:v>15.05</x:v>
      </x:c>
      <x:c r="J967" t="n">
        <x:f>IF(A967=A966,IFERROR(IF(B967=EDATE(B966,1),C966,0),0),0)</x:f>
        <x:v>1</x:v>
      </x:c>
      <x:c r="K967" t="n">
        <x:f>IF(AND(J967=1,C967=0),1,0)</x:f>
        <x:v>0</x:v>
      </x:c>
      <x:c r="L967" t="str">
        <x:f>IFERROR(INDEX(Customers!$C$2:$C$451,MATCH(A967,Customers!$A$2:$A$451,0)),"Unknown")</x:f>
        <x:v>Plus</x:v>
      </x:c>
    </x:row>
    <x:row r="968">
      <x:c r="A968" t="n">
        <x:v>176</x:v>
      </x:c>
      <x:c r="B968" s="16" t="n">
        <x:v>46143</x:v>
      </x:c>
      <x:c r="C968" t="n">
        <x:v>1</x:v>
      </x:c>
      <x:c r="D968" t="n">
        <x:v>34</x:v>
      </x:c>
      <x:c r="E968" s="18" t="n">
        <x:v>2317.65</x:v>
      </x:c>
      <x:c r="F968" s="18" t="n">
        <x:v>17</x:v>
      </x:c>
      <x:c r="G968" s="18" t="n">
        <x:v>10.43</x:v>
      </x:c>
      <x:c r="H968" s="18" t="n">
        <x:v>3.86</x:v>
      </x:c>
      <x:c r="I968" s="18" t="n">
        <x:v>31.29</x:v>
      </x:c>
      <x:c r="J968" t="n">
        <x:f>IF(A968=A967,IFERROR(IF(B968=EDATE(B967,1),C967,0),0),0)</x:f>
        <x:v>0</x:v>
      </x:c>
      <x:c r="K968" t="n">
        <x:f>IF(AND(J968=1,C968=0),1,0)</x:f>
        <x:v>0</x:v>
      </x:c>
      <x:c r="L968" t="str">
        <x:f>IFERROR(INDEX(Customers!$C$2:$C$451,MATCH(A968,Customers!$A$2:$A$451,0)),"Unknown")</x:f>
        <x:v>Premium</x:v>
      </x:c>
    </x:row>
    <x:row r="969">
      <x:c r="A969" t="n">
        <x:v>176</x:v>
      </x:c>
      <x:c r="B969" s="16" t="n">
        <x:v>46174</x:v>
      </x:c>
      <x:c r="C969" t="n">
        <x:v>1</x:v>
      </x:c>
      <x:c r="D969" t="n">
        <x:v>19</x:v>
      </x:c>
      <x:c r="E969" s="18" t="n">
        <x:v>1104.27</x:v>
      </x:c>
      <x:c r="F969" s="18" t="n">
        <x:v>17</x:v>
      </x:c>
      <x:c r="G969" s="18" t="n">
        <x:v>4.97</x:v>
      </x:c>
      <x:c r="H969" s="18" t="n">
        <x:v>1.09</x:v>
      </x:c>
      <x:c r="I969" s="18" t="n">
        <x:v>23.06</x:v>
      </x:c>
      <x:c r="J969" t="n">
        <x:f>IF(A969=A968,IFERROR(IF(B969=EDATE(B968,1),C968,0),0),0)</x:f>
        <x:v>1</x:v>
      </x:c>
      <x:c r="K969" t="n">
        <x:f>IF(AND(J969=1,C969=0),1,0)</x:f>
        <x:v>0</x:v>
      </x:c>
      <x:c r="L969" t="str">
        <x:f>IFERROR(INDEX(Customers!$C$2:$C$451,MATCH(A969,Customers!$A$2:$A$451,0)),"Unknown")</x:f>
        <x:v>Premium</x:v>
      </x:c>
    </x:row>
    <x:row r="970">
      <x:c r="A970" t="n">
        <x:v>176</x:v>
      </x:c>
      <x:c r="B970" s="16" t="n">
        <x:v>46204</x:v>
      </x:c>
      <x:c r="C970" t="n">
        <x:v>1</x:v>
      </x:c>
      <x:c r="D970" t="n">
        <x:v>12</x:v>
      </x:c>
      <x:c r="E970" s="18" t="n">
        <x:v>867.52</x:v>
      </x:c>
      <x:c r="F970" s="18" t="n">
        <x:v>17</x:v>
      </x:c>
      <x:c r="G970" s="18" t="n">
        <x:v>3.9</x:v>
      </x:c>
      <x:c r="H970" s="18" t="n">
        <x:v>0.99</x:v>
      </x:c>
      <x:c r="I970" s="18" t="n">
        <x:v>21.89</x:v>
      </x:c>
      <x:c r="J970" t="n">
        <x:f>IF(A970=A969,IFERROR(IF(B970=EDATE(B969,1),C969,0),0),0)</x:f>
        <x:v>1</x:v>
      </x:c>
      <x:c r="K970" t="n">
        <x:f>IF(AND(J970=1,C970=0),1,0)</x:f>
        <x:v>0</x:v>
      </x:c>
      <x:c r="L970" t="str">
        <x:f>IFERROR(INDEX(Customers!$C$2:$C$451,MATCH(A970,Customers!$A$2:$A$451,0)),"Unknown")</x:f>
        <x:v>Premium</x:v>
      </x:c>
    </x:row>
    <x:row r="971">
      <x:c r="A971" t="n">
        <x:v>176</x:v>
      </x:c>
      <x:c r="B971" s="16" t="n">
        <x:v>46235</x:v>
      </x:c>
      <x:c r="C971" t="n">
        <x:v>1</x:v>
      </x:c>
      <x:c r="D971" t="n">
        <x:v>10</x:v>
      </x:c>
      <x:c r="E971" s="18" t="n">
        <x:v>490.76</x:v>
      </x:c>
      <x:c r="F971" s="18" t="n">
        <x:v>17</x:v>
      </x:c>
      <x:c r="G971" s="18" t="n">
        <x:v>2.21</x:v>
      </x:c>
      <x:c r="H971" s="18" t="n">
        <x:v>1.29</x:v>
      </x:c>
      <x:c r="I971" s="18" t="n">
        <x:v>20.5</x:v>
      </x:c>
      <x:c r="J971" t="n">
        <x:f>IF(A971=A970,IFERROR(IF(B971=EDATE(B970,1),C970,0),0),0)</x:f>
        <x:v>1</x:v>
      </x:c>
      <x:c r="K971" t="n">
        <x:f>IF(AND(J971=1,C971=0),1,0)</x:f>
        <x:v>0</x:v>
      </x:c>
      <x:c r="L971" t="str">
        <x:f>IFERROR(INDEX(Customers!$C$2:$C$451,MATCH(A971,Customers!$A$2:$A$451,0)),"Unknown")</x:f>
        <x:v>Premium</x:v>
      </x:c>
    </x:row>
    <x:row r="972">
      <x:c r="A972" t="n">
        <x:v>176</x:v>
      </x:c>
      <x:c r="B972" s="16" t="n">
        <x:v>46266</x:v>
      </x:c>
      <x:c r="C972" t="n">
        <x:v>1</x:v>
      </x:c>
      <x:c r="D972" t="n">
        <x:v>31</x:v>
      </x:c>
      <x:c r="E972" s="18" t="n">
        <x:v>2616.62</x:v>
      </x:c>
      <x:c r="F972" s="18" t="n">
        <x:v>17</x:v>
      </x:c>
      <x:c r="G972" s="18" t="n">
        <x:v>11.77</x:v>
      </x:c>
      <x:c r="H972" s="18" t="n">
        <x:v>3.11</x:v>
      </x:c>
      <x:c r="I972" s="18" t="n">
        <x:v>31.88</x:v>
      </x:c>
      <x:c r="J972" t="n">
        <x:f>IF(A972=A971,IFERROR(IF(B972=EDATE(B971,1),C971,0),0),0)</x:f>
        <x:v>1</x:v>
      </x:c>
      <x:c r="K972" t="n">
        <x:f>IF(AND(J972=1,C972=0),1,0)</x:f>
        <x:v>0</x:v>
      </x:c>
      <x:c r="L972" t="str">
        <x:f>IFERROR(INDEX(Customers!$C$2:$C$451,MATCH(A972,Customers!$A$2:$A$451,0)),"Unknown")</x:f>
        <x:v>Premium</x:v>
      </x:c>
    </x:row>
    <x:row r="973">
      <x:c r="A973" t="n">
        <x:v>177</x:v>
      </x:c>
      <x:c r="B973" s="16" t="n">
        <x:v>46113</x:v>
      </x:c>
      <x:c r="C973" t="n">
        <x:v>1</x:v>
      </x:c>
      <x:c r="D973" t="n">
        <x:v>10</x:v>
      </x:c>
      <x:c r="E973" s="18" t="n">
        <x:v>751.27</x:v>
      </x:c>
      <x:c r="F973" s="18" t="n">
        <x:v>0</x:v>
      </x:c>
      <x:c r="G973" s="18" t="n">
        <x:v>3.38</x:v>
      </x:c>
      <x:c r="H973" s="18" t="n">
        <x:v>0.98</x:v>
      </x:c>
      <x:c r="I973" s="18" t="n">
        <x:v>4.36</x:v>
      </x:c>
      <x:c r="J973" t="n">
        <x:f>IF(A973=A972,IFERROR(IF(B973=EDATE(B972,1),C972,0),0),0)</x:f>
        <x:v>0</x:v>
      </x:c>
      <x:c r="K973" t="n">
        <x:f>IF(AND(J973=1,C973=0),1,0)</x:f>
        <x:v>0</x:v>
      </x:c>
      <x:c r="L973" t="str">
        <x:f>IFERROR(INDEX(Customers!$C$2:$C$451,MATCH(A973,Customers!$A$2:$A$451,0)),"Unknown")</x:f>
        <x:v>Standard</x:v>
      </x:c>
    </x:row>
    <x:row r="974">
      <x:c r="A974" t="n">
        <x:v>177</x:v>
      </x:c>
      <x:c r="B974" s="16" t="n">
        <x:v>46143</x:v>
      </x:c>
      <x:c r="C974" t="n">
        <x:v>1</x:v>
      </x:c>
      <x:c r="D974" t="n">
        <x:v>23</x:v>
      </x:c>
      <x:c r="E974" s="18" t="n">
        <x:v>1105.24</x:v>
      </x:c>
      <x:c r="F974" s="18" t="n">
        <x:v>0</x:v>
      </x:c>
      <x:c r="G974" s="18" t="n">
        <x:v>4.97</x:v>
      </x:c>
      <x:c r="H974" s="18" t="n">
        <x:v>1.43</x:v>
      </x:c>
      <x:c r="I974" s="18" t="n">
        <x:v>6.4</x:v>
      </x:c>
      <x:c r="J974" t="n">
        <x:f>IF(A974=A973,IFERROR(IF(B974=EDATE(B973,1),C973,0),0),0)</x:f>
        <x:v>1</x:v>
      </x:c>
      <x:c r="K974" t="n">
        <x:f>IF(AND(J974=1,C974=0),1,0)</x:f>
        <x:v>0</x:v>
      </x:c>
      <x:c r="L974" t="str">
        <x:f>IFERROR(INDEX(Customers!$C$2:$C$451,MATCH(A974,Customers!$A$2:$A$451,0)),"Unknown")</x:f>
        <x:v>Standard</x:v>
      </x:c>
    </x:row>
    <x:row r="975">
      <x:c r="A975" t="n">
        <x:v>177</x:v>
      </x:c>
      <x:c r="B975" s="16" t="n">
        <x:v>46174</x:v>
      </x:c>
      <x:c r="C975" t="n">
        <x:v>0</x:v>
      </x:c>
      <x:c r="D975" t="n">
        <x:v>0</x:v>
      </x:c>
      <x:c r="E975" s="18" t="n">
        <x:v>0</x:v>
      </x:c>
      <x:c r="F975" s="18" t="n">
        <x:v>0</x:v>
      </x:c>
      <x:c r="G975" s="18" t="n">
        <x:v>0</x:v>
      </x:c>
      <x:c r="H975" s="18" t="n">
        <x:v>0</x:v>
      </x:c>
      <x:c r="I975" s="18" t="n">
        <x:v>0</x:v>
      </x:c>
      <x:c r="J975" t="n">
        <x:f>IF(A975=A974,IFERROR(IF(B975=EDATE(B974,1),C974,0),0),0)</x:f>
        <x:v>1</x:v>
      </x:c>
      <x:c r="K975" t="n">
        <x:f>IF(AND(J975=1,C975=0),1,0)</x:f>
        <x:v>1</x:v>
      </x:c>
      <x:c r="L975" t="str">
        <x:f>IFERROR(INDEX(Customers!$C$2:$C$451,MATCH(A975,Customers!$A$2:$A$451,0)),"Unknown")</x:f>
        <x:v>Standard</x:v>
      </x:c>
    </x:row>
    <x:row r="976">
      <x:c r="A976" t="n">
        <x:v>177</x:v>
      </x:c>
      <x:c r="B976" s="16" t="n">
        <x:v>46204</x:v>
      </x:c>
      <x:c r="C976" t="n">
        <x:v>1</x:v>
      </x:c>
      <x:c r="D976" t="n">
        <x:v>4</x:v>
      </x:c>
      <x:c r="E976" s="18" t="n">
        <x:v>428.97</x:v>
      </x:c>
      <x:c r="F976" s="18" t="n">
        <x:v>0</x:v>
      </x:c>
      <x:c r="G976" s="18" t="n">
        <x:v>1.93</x:v>
      </x:c>
      <x:c r="H976" s="18" t="n">
        <x:v>0.46</x:v>
      </x:c>
      <x:c r="I976" s="18" t="n">
        <x:v>2.39</x:v>
      </x:c>
      <x:c r="J976" t="n">
        <x:f>IF(A976=A975,IFERROR(IF(B976=EDATE(B975,1),C975,0),0),0)</x:f>
        <x:v>0</x:v>
      </x:c>
      <x:c r="K976" t="n">
        <x:f>IF(AND(J976=1,C976=0),1,0)</x:f>
        <x:v>0</x:v>
      </x:c>
      <x:c r="L976" t="str">
        <x:f>IFERROR(INDEX(Customers!$C$2:$C$451,MATCH(A976,Customers!$A$2:$A$451,0)),"Unknown")</x:f>
        <x:v>Standard</x:v>
      </x:c>
    </x:row>
    <x:row r="977">
      <x:c r="A977" t="n">
        <x:v>177</x:v>
      </x:c>
      <x:c r="B977" s="16" t="n">
        <x:v>46235</x:v>
      </x:c>
      <x:c r="C977" t="n">
        <x:v>1</x:v>
      </x:c>
      <x:c r="D977" t="n">
        <x:v>36</x:v>
      </x:c>
      <x:c r="E977" s="18" t="n">
        <x:v>3221.04</x:v>
      </x:c>
      <x:c r="F977" s="18" t="n">
        <x:v>0</x:v>
      </x:c>
      <x:c r="G977" s="18" t="n">
        <x:v>14.49</x:v>
      </x:c>
      <x:c r="H977" s="18" t="n">
        <x:v>3.07</x:v>
      </x:c>
      <x:c r="I977" s="18" t="n">
        <x:v>17.56</x:v>
      </x:c>
      <x:c r="J977" t="n">
        <x:f>IF(A977=A976,IFERROR(IF(B977=EDATE(B976,1),C976,0),0),0)</x:f>
        <x:v>1</x:v>
      </x:c>
      <x:c r="K977" t="n">
        <x:f>IF(AND(J977=1,C977=0),1,0)</x:f>
        <x:v>0</x:v>
      </x:c>
      <x:c r="L977" t="str">
        <x:f>IFERROR(INDEX(Customers!$C$2:$C$451,MATCH(A977,Customers!$A$2:$A$451,0)),"Unknown")</x:f>
        <x:v>Standard</x:v>
      </x:c>
    </x:row>
    <x:row r="978">
      <x:c r="A978" t="n">
        <x:v>177</x:v>
      </x:c>
      <x:c r="B978" s="16" t="n">
        <x:v>46266</x:v>
      </x:c>
      <x:c r="C978" t="n">
        <x:v>0</x:v>
      </x:c>
      <x:c r="D978" t="n">
        <x:v>0</x:v>
      </x:c>
      <x:c r="E978" s="18" t="n">
        <x:v>0</x:v>
      </x:c>
      <x:c r="F978" s="18" t="n">
        <x:v>0</x:v>
      </x:c>
      <x:c r="G978" s="18" t="n">
        <x:v>0</x:v>
      </x:c>
      <x:c r="H978" s="18" t="n">
        <x:v>0</x:v>
      </x:c>
      <x:c r="I978" s="18" t="n">
        <x:v>0</x:v>
      </x:c>
      <x:c r="J978" t="n">
        <x:f>IF(A978=A977,IFERROR(IF(B978=EDATE(B977,1),C977,0),0),0)</x:f>
        <x:v>1</x:v>
      </x:c>
      <x:c r="K978" t="n">
        <x:f>IF(AND(J978=1,C978=0),1,0)</x:f>
        <x:v>1</x:v>
      </x:c>
      <x:c r="L978" t="str">
        <x:f>IFERROR(INDEX(Customers!$C$2:$C$451,MATCH(A978,Customers!$A$2:$A$451,0)),"Unknown")</x:f>
        <x:v>Standard</x:v>
      </x:c>
    </x:row>
    <x:row r="979">
      <x:c r="A979" t="n">
        <x:v>178</x:v>
      </x:c>
      <x:c r="B979" s="16" t="n">
        <x:v>46143</x:v>
      </x:c>
      <x:c r="C979" t="n">
        <x:v>1</x:v>
      </x:c>
      <x:c r="D979" t="n">
        <x:v>9</x:v>
      </x:c>
      <x:c r="E979" s="18" t="n">
        <x:v>837.8</x:v>
      </x:c>
      <x:c r="F979" s="18" t="n">
        <x:v>17</x:v>
      </x:c>
      <x:c r="G979" s="18" t="n">
        <x:v>3.77</x:v>
      </x:c>
      <x:c r="H979" s="18" t="n">
        <x:v>1.41</x:v>
      </x:c>
      <x:c r="I979" s="18" t="n">
        <x:v>22.18</x:v>
      </x:c>
      <x:c r="J979" t="n">
        <x:f>IF(A979=A978,IFERROR(IF(B979=EDATE(B978,1),C978,0),0),0)</x:f>
        <x:v>0</x:v>
      </x:c>
      <x:c r="K979" t="n">
        <x:f>IF(AND(J979=1,C979=0),1,0)</x:f>
        <x:v>0</x:v>
      </x:c>
      <x:c r="L979" t="str">
        <x:f>IFERROR(INDEX(Customers!$C$2:$C$451,MATCH(A979,Customers!$A$2:$A$451,0)),"Unknown")</x:f>
        <x:v>Premium</x:v>
      </x:c>
    </x:row>
    <x:row r="980">
      <x:c r="A980" t="n">
        <x:v>178</x:v>
      </x:c>
      <x:c r="B980" s="16" t="n">
        <x:v>46174</x:v>
      </x:c>
      <x:c r="C980" t="n">
        <x:v>1</x:v>
      </x:c>
      <x:c r="D980" t="n">
        <x:v>28</x:v>
      </x:c>
      <x:c r="E980" s="18" t="n">
        <x:v>2823.17</x:v>
      </x:c>
      <x:c r="F980" s="18" t="n">
        <x:v>17</x:v>
      </x:c>
      <x:c r="G980" s="18" t="n">
        <x:v>12.7</x:v>
      </x:c>
      <x:c r="H980" s="18" t="n">
        <x:v>8.89</x:v>
      </x:c>
      <x:c r="I980" s="18" t="n">
        <x:v>38.59</x:v>
      </x:c>
      <x:c r="J980" t="n">
        <x:f>IF(A980=A979,IFERROR(IF(B980=EDATE(B979,1),C979,0),0),0)</x:f>
        <x:v>1</x:v>
      </x:c>
      <x:c r="K980" t="n">
        <x:f>IF(AND(J980=1,C980=0),1,0)</x:f>
        <x:v>0</x:v>
      </x:c>
      <x:c r="L980" t="str">
        <x:f>IFERROR(INDEX(Customers!$C$2:$C$451,MATCH(A980,Customers!$A$2:$A$451,0)),"Unknown")</x:f>
        <x:v>Premium</x:v>
      </x:c>
    </x:row>
    <x:row r="981">
      <x:c r="A981" t="n">
        <x:v>178</x:v>
      </x:c>
      <x:c r="B981" s="16" t="n">
        <x:v>46204</x:v>
      </x:c>
      <x:c r="C981" t="n">
        <x:v>1</x:v>
      </x:c>
      <x:c r="D981" t="n">
        <x:v>11</x:v>
      </x:c>
      <x:c r="E981" s="18" t="n">
        <x:v>462.45</x:v>
      </x:c>
      <x:c r="F981" s="18" t="n">
        <x:v>17</x:v>
      </x:c>
      <x:c r="G981" s="18" t="n">
        <x:v>2.08</x:v>
      </x:c>
      <x:c r="H981" s="18" t="n">
        <x:v>1.2</x:v>
      </x:c>
      <x:c r="I981" s="18" t="n">
        <x:v>20.28</x:v>
      </x:c>
      <x:c r="J981" t="n">
        <x:f>IF(A981=A980,IFERROR(IF(B981=EDATE(B980,1),C980,0),0),0)</x:f>
        <x:v>1</x:v>
      </x:c>
      <x:c r="K981" t="n">
        <x:f>IF(AND(J981=1,C981=0),1,0)</x:f>
        <x:v>0</x:v>
      </x:c>
      <x:c r="L981" t="str">
        <x:f>IFERROR(INDEX(Customers!$C$2:$C$451,MATCH(A981,Customers!$A$2:$A$451,0)),"Unknown")</x:f>
        <x:v>Premium</x:v>
      </x:c>
    </x:row>
    <x:row r="982">
      <x:c r="A982" t="n">
        <x:v>178</x:v>
      </x:c>
      <x:c r="B982" s="16" t="n">
        <x:v>46235</x:v>
      </x:c>
      <x:c r="C982" t="n">
        <x:v>1</x:v>
      </x:c>
      <x:c r="D982" t="n">
        <x:v>12</x:v>
      </x:c>
      <x:c r="E982" s="18" t="n">
        <x:v>899.5</x:v>
      </x:c>
      <x:c r="F982" s="18" t="n">
        <x:v>17</x:v>
      </x:c>
      <x:c r="G982" s="18" t="n">
        <x:v>4.05</x:v>
      </x:c>
      <x:c r="H982" s="18" t="n">
        <x:v>0.99</x:v>
      </x:c>
      <x:c r="I982" s="18" t="n">
        <x:v>22.04</x:v>
      </x:c>
      <x:c r="J982" t="n">
        <x:f>IF(A982=A981,IFERROR(IF(B982=EDATE(B981,1),C981,0),0),0)</x:f>
        <x:v>1</x:v>
      </x:c>
      <x:c r="K982" t="n">
        <x:f>IF(AND(J982=1,C982=0),1,0)</x:f>
        <x:v>0</x:v>
      </x:c>
      <x:c r="L982" t="str">
        <x:f>IFERROR(INDEX(Customers!$C$2:$C$451,MATCH(A982,Customers!$A$2:$A$451,0)),"Unknown")</x:f>
        <x:v>Premium</x:v>
      </x:c>
    </x:row>
    <x:row r="983">
      <x:c r="A983" t="n">
        <x:v>178</x:v>
      </x:c>
      <x:c r="B983" s="16" t="n">
        <x:v>46266</x:v>
      </x:c>
      <x:c r="C983" t="n">
        <x:v>1</x:v>
      </x:c>
      <x:c r="D983" t="n">
        <x:v>33</x:v>
      </x:c>
      <x:c r="E983" s="18" t="n">
        <x:v>1780.92</x:v>
      </x:c>
      <x:c r="F983" s="18" t="n">
        <x:v>17</x:v>
      </x:c>
      <x:c r="G983" s="18" t="n">
        <x:v>8.01</x:v>
      </x:c>
      <x:c r="H983" s="18" t="n">
        <x:v>2.37</x:v>
      </x:c>
      <x:c r="I983" s="18" t="n">
        <x:v>27.38</x:v>
      </x:c>
      <x:c r="J983" t="n">
        <x:f>IF(A983=A982,IFERROR(IF(B983=EDATE(B982,1),C982,0),0),0)</x:f>
        <x:v>1</x:v>
      </x:c>
      <x:c r="K983" t="n">
        <x:f>IF(AND(J983=1,C983=0),1,0)</x:f>
        <x:v>0</x:v>
      </x:c>
      <x:c r="L983" t="str">
        <x:f>IFERROR(INDEX(Customers!$C$2:$C$451,MATCH(A983,Customers!$A$2:$A$451,0)),"Unknown")</x:f>
        <x:v>Premium</x:v>
      </x:c>
    </x:row>
    <x:row r="984">
      <x:c r="A984" t="n">
        <x:v>179</x:v>
      </x:c>
      <x:c r="B984" s="16" t="n">
        <x:v>46113</x:v>
      </x:c>
      <x:c r="C984" t="n">
        <x:v>1</x:v>
      </x:c>
      <x:c r="D984" t="n">
        <x:v>14</x:v>
      </x:c>
      <x:c r="E984" s="18" t="n">
        <x:v>668.06</x:v>
      </x:c>
      <x:c r="F984" s="18" t="n">
        <x:v>8</x:v>
      </x:c>
      <x:c r="G984" s="18" t="n">
        <x:v>3.01</x:v>
      </x:c>
      <x:c r="H984" s="18" t="n">
        <x:v>2.08</x:v>
      </x:c>
      <x:c r="I984" s="18" t="n">
        <x:v>13.09</x:v>
      </x:c>
      <x:c r="J984" t="n">
        <x:f>IF(A984=A983,IFERROR(IF(B984=EDATE(B983,1),C983,0),0),0)</x:f>
        <x:v>0</x:v>
      </x:c>
      <x:c r="K984" t="n">
        <x:f>IF(AND(J984=1,C984=0),1,0)</x:f>
        <x:v>0</x:v>
      </x:c>
      <x:c r="L984" t="str">
        <x:f>IFERROR(INDEX(Customers!$C$2:$C$451,MATCH(A984,Customers!$A$2:$A$451,0)),"Unknown")</x:f>
        <x:v>Plus</x:v>
      </x:c>
    </x:row>
    <x:row r="985">
      <x:c r="A985" t="n">
        <x:v>179</x:v>
      </x:c>
      <x:c r="B985" s="16" t="n">
        <x:v>46143</x:v>
      </x:c>
      <x:c r="C985" t="n">
        <x:v>1</x:v>
      </x:c>
      <x:c r="D985" t="n">
        <x:v>14</x:v>
      </x:c>
      <x:c r="E985" s="18" t="n">
        <x:v>1571.74</x:v>
      </x:c>
      <x:c r="F985" s="18" t="n">
        <x:v>8</x:v>
      </x:c>
      <x:c r="G985" s="18" t="n">
        <x:v>7.07</x:v>
      </x:c>
      <x:c r="H985" s="18" t="n">
        <x:v>1.42</x:v>
      </x:c>
      <x:c r="I985" s="18" t="n">
        <x:v>16.49</x:v>
      </x:c>
      <x:c r="J985" t="n">
        <x:f>IF(A985=A984,IFERROR(IF(B985=EDATE(B984,1),C984,0),0),0)</x:f>
        <x:v>1</x:v>
      </x:c>
      <x:c r="K985" t="n">
        <x:f>IF(AND(J985=1,C985=0),1,0)</x:f>
        <x:v>0</x:v>
      </x:c>
      <x:c r="L985" t="str">
        <x:f>IFERROR(INDEX(Customers!$C$2:$C$451,MATCH(A985,Customers!$A$2:$A$451,0)),"Unknown")</x:f>
        <x:v>Plus</x:v>
      </x:c>
    </x:row>
    <x:row r="986">
      <x:c r="A986" t="n">
        <x:v>179</x:v>
      </x:c>
      <x:c r="B986" s="16" t="n">
        <x:v>46174</x:v>
      </x:c>
      <x:c r="C986" t="n">
        <x:v>1</x:v>
      </x:c>
      <x:c r="D986" t="n">
        <x:v>28</x:v>
      </x:c>
      <x:c r="E986" s="18" t="n">
        <x:v>2482.33</x:v>
      </x:c>
      <x:c r="F986" s="18" t="n">
        <x:v>8</x:v>
      </x:c>
      <x:c r="G986" s="18" t="n">
        <x:v>11.17</x:v>
      </x:c>
      <x:c r="H986" s="18" t="n">
        <x:v>6.97</x:v>
      </x:c>
      <x:c r="I986" s="18" t="n">
        <x:v>26.14</x:v>
      </x:c>
      <x:c r="J986" t="n">
        <x:f>IF(A986=A985,IFERROR(IF(B986=EDATE(B985,1),C985,0),0),0)</x:f>
        <x:v>1</x:v>
      </x:c>
      <x:c r="K986" t="n">
        <x:f>IF(AND(J986=1,C986=0),1,0)</x:f>
        <x:v>0</x:v>
      </x:c>
      <x:c r="L986" t="str">
        <x:f>IFERROR(INDEX(Customers!$C$2:$C$451,MATCH(A986,Customers!$A$2:$A$451,0)),"Unknown")</x:f>
        <x:v>Plus</x:v>
      </x:c>
    </x:row>
    <x:row r="987">
      <x:c r="A987" t="n">
        <x:v>179</x:v>
      </x:c>
      <x:c r="B987" s="16" t="n">
        <x:v>46204</x:v>
      </x:c>
      <x:c r="C987" t="n">
        <x:v>0</x:v>
      </x:c>
      <x:c r="D987" t="n">
        <x:v>0</x:v>
      </x:c>
      <x:c r="E987" s="18" t="n">
        <x:v>0</x:v>
      </x:c>
      <x:c r="F987" s="18" t="n">
        <x:v>0</x:v>
      </x:c>
      <x:c r="G987" s="18" t="n">
        <x:v>0</x:v>
      </x:c>
      <x:c r="H987" s="18" t="n">
        <x:v>0</x:v>
      </x:c>
      <x:c r="I987" s="18" t="n">
        <x:v>0</x:v>
      </x:c>
      <x:c r="J987" t="n">
        <x:f>IF(A987=A986,IFERROR(IF(B987=EDATE(B986,1),C986,0),0),0)</x:f>
        <x:v>1</x:v>
      </x:c>
      <x:c r="K987" t="n">
        <x:f>IF(AND(J987=1,C987=0),1,0)</x:f>
        <x:v>1</x:v>
      </x:c>
      <x:c r="L987" t="str">
        <x:f>IFERROR(INDEX(Customers!$C$2:$C$451,MATCH(A987,Customers!$A$2:$A$451,0)),"Unknown")</x:f>
        <x:v>Plus</x:v>
      </x:c>
    </x:row>
    <x:row r="988">
      <x:c r="A988" t="n">
        <x:v>179</x:v>
      </x:c>
      <x:c r="B988" s="16" t="n">
        <x:v>46235</x:v>
      </x:c>
      <x:c r="C988" t="n">
        <x:v>1</x:v>
      </x:c>
      <x:c r="D988" t="n">
        <x:v>17</x:v>
      </x:c>
      <x:c r="E988" s="18" t="n">
        <x:v>933.89</x:v>
      </x:c>
      <x:c r="F988" s="18" t="n">
        <x:v>8</x:v>
      </x:c>
      <x:c r="G988" s="18" t="n">
        <x:v>4.2</x:v>
      </x:c>
      <x:c r="H988" s="18" t="n">
        <x:v>2.7</x:v>
      </x:c>
      <x:c r="I988" s="18" t="n">
        <x:v>14.9</x:v>
      </x:c>
      <x:c r="J988" t="n">
        <x:f>IF(A988=A987,IFERROR(IF(B988=EDATE(B987,1),C987,0),0),0)</x:f>
        <x:v>0</x:v>
      </x:c>
      <x:c r="K988" t="n">
        <x:f>IF(AND(J988=1,C988=0),1,0)</x:f>
        <x:v>0</x:v>
      </x:c>
      <x:c r="L988" t="str">
        <x:f>IFERROR(INDEX(Customers!$C$2:$C$451,MATCH(A988,Customers!$A$2:$A$451,0)),"Unknown")</x:f>
        <x:v>Plus</x:v>
      </x:c>
    </x:row>
    <x:row r="989">
      <x:c r="A989" t="n">
        <x:v>179</x:v>
      </x:c>
      <x:c r="B989" s="16" t="n">
        <x:v>46266</x:v>
      </x:c>
      <x:c r="C989" t="n">
        <x:v>0</x:v>
      </x:c>
      <x:c r="D989" t="n">
        <x:v>0</x:v>
      </x:c>
      <x:c r="E989" s="18" t="n">
        <x:v>0</x:v>
      </x:c>
      <x:c r="F989" s="18" t="n">
        <x:v>0</x:v>
      </x:c>
      <x:c r="G989" s="18" t="n">
        <x:v>0</x:v>
      </x:c>
      <x:c r="H989" s="18" t="n">
        <x:v>0</x:v>
      </x:c>
      <x:c r="I989" s="18" t="n">
        <x:v>0</x:v>
      </x:c>
      <x:c r="J989" t="n">
        <x:f>IF(A989=A988,IFERROR(IF(B989=EDATE(B988,1),C988,0),0),0)</x:f>
        <x:v>1</x:v>
      </x:c>
      <x:c r="K989" t="n">
        <x:f>IF(AND(J989=1,C989=0),1,0)</x:f>
        <x:v>1</x:v>
      </x:c>
      <x:c r="L989" t="str">
        <x:f>IFERROR(INDEX(Customers!$C$2:$C$451,MATCH(A989,Customers!$A$2:$A$451,0)),"Unknown")</x:f>
        <x:v>Plus</x:v>
      </x:c>
    </x:row>
    <x:row r="990">
      <x:c r="A990" t="n">
        <x:v>180</x:v>
      </x:c>
      <x:c r="B990" s="16" t="n">
        <x:v>46143</x:v>
      </x:c>
      <x:c r="C990" t="n">
        <x:v>1</x:v>
      </x:c>
      <x:c r="D990" t="n">
        <x:v>5</x:v>
      </x:c>
      <x:c r="E990" s="18" t="n">
        <x:v>316.98</x:v>
      </x:c>
      <x:c r="F990" s="18" t="n">
        <x:v>0</x:v>
      </x:c>
      <x:c r="G990" s="18" t="n">
        <x:v>1.43</x:v>
      </x:c>
      <x:c r="H990" s="18" t="n">
        <x:v>0.63</x:v>
      </x:c>
      <x:c r="I990" s="18" t="n">
        <x:v>2.06</x:v>
      </x:c>
      <x:c r="J990" t="n">
        <x:f>IF(A990=A989,IFERROR(IF(B990=EDATE(B989,1),C989,0),0),0)</x:f>
        <x:v>0</x:v>
      </x:c>
      <x:c r="K990" t="n">
        <x:f>IF(AND(J990=1,C990=0),1,0)</x:f>
        <x:v>0</x:v>
      </x:c>
      <x:c r="L990" t="str">
        <x:f>IFERROR(INDEX(Customers!$C$2:$C$451,MATCH(A990,Customers!$A$2:$A$451,0)),"Unknown")</x:f>
        <x:v>Standard</x:v>
      </x:c>
    </x:row>
    <x:row r="991">
      <x:c r="A991" t="n">
        <x:v>180</x:v>
      </x:c>
      <x:c r="B991" s="16" t="n">
        <x:v>46174</x:v>
      </x:c>
      <x:c r="C991" t="n">
        <x:v>1</x:v>
      </x:c>
      <x:c r="D991" t="n">
        <x:v>8</x:v>
      </x:c>
      <x:c r="E991" s="18" t="n">
        <x:v>377.7</x:v>
      </x:c>
      <x:c r="F991" s="18" t="n">
        <x:v>0</x:v>
      </x:c>
      <x:c r="G991" s="18" t="n">
        <x:v>1.7</x:v>
      </x:c>
      <x:c r="H991" s="18" t="n">
        <x:v>1.29</x:v>
      </x:c>
      <x:c r="I991" s="18" t="n">
        <x:v>2.99</x:v>
      </x:c>
      <x:c r="J991" t="n">
        <x:f>IF(A991=A990,IFERROR(IF(B991=EDATE(B990,1),C990,0),0),0)</x:f>
        <x:v>1</x:v>
      </x:c>
      <x:c r="K991" t="n">
        <x:f>IF(AND(J991=1,C991=0),1,0)</x:f>
        <x:v>0</x:v>
      </x:c>
      <x:c r="L991" t="str">
        <x:f>IFERROR(INDEX(Customers!$C$2:$C$451,MATCH(A991,Customers!$A$2:$A$451,0)),"Unknown")</x:f>
        <x:v>Standard</x:v>
      </x:c>
    </x:row>
    <x:row r="992">
      <x:c r="A992" t="n">
        <x:v>180</x:v>
      </x:c>
      <x:c r="B992" s="16" t="n">
        <x:v>46204</x:v>
      </x:c>
      <x:c r="C992" t="n">
        <x:v>1</x:v>
      </x:c>
      <x:c r="D992" t="n">
        <x:v>6</x:v>
      </x:c>
      <x:c r="E992" s="18" t="n">
        <x:v>513.99</x:v>
      </x:c>
      <x:c r="F992" s="18" t="n">
        <x:v>0</x:v>
      </x:c>
      <x:c r="G992" s="18" t="n">
        <x:v>2.31</x:v>
      </x:c>
      <x:c r="H992" s="18" t="n">
        <x:v>1.6</x:v>
      </x:c>
      <x:c r="I992" s="18" t="n">
        <x:v>3.91</x:v>
      </x:c>
      <x:c r="J992" t="n">
        <x:f>IF(A992=A991,IFERROR(IF(B992=EDATE(B991,1),C991,0),0),0)</x:f>
        <x:v>1</x:v>
      </x:c>
      <x:c r="K992" t="n">
        <x:f>IF(AND(J992=1,C992=0),1,0)</x:f>
        <x:v>0</x:v>
      </x:c>
      <x:c r="L992" t="str">
        <x:f>IFERROR(INDEX(Customers!$C$2:$C$451,MATCH(A992,Customers!$A$2:$A$451,0)),"Unknown")</x:f>
        <x:v>Standard</x:v>
      </x:c>
    </x:row>
    <x:row r="993">
      <x:c r="A993" t="n">
        <x:v>180</x:v>
      </x:c>
      <x:c r="B993" s="16" t="n">
        <x:v>46235</x:v>
      </x:c>
      <x:c r="C993" t="n">
        <x:v>1</x:v>
      </x:c>
      <x:c r="D993" t="n">
        <x:v>15</x:v>
      </x:c>
      <x:c r="E993" s="18" t="n">
        <x:v>1872.62</x:v>
      </x:c>
      <x:c r="F993" s="18" t="n">
        <x:v>0</x:v>
      </x:c>
      <x:c r="G993" s="18" t="n">
        <x:v>8.43</x:v>
      </x:c>
      <x:c r="H993" s="18" t="n">
        <x:v>3.22</x:v>
      </x:c>
      <x:c r="I993" s="18" t="n">
        <x:v>11.65</x:v>
      </x:c>
      <x:c r="J993" t="n">
        <x:f>IF(A993=A992,IFERROR(IF(B993=EDATE(B992,1),C992,0),0),0)</x:f>
        <x:v>1</x:v>
      </x:c>
      <x:c r="K993" t="n">
        <x:f>IF(AND(J993=1,C993=0),1,0)</x:f>
        <x:v>0</x:v>
      </x:c>
      <x:c r="L993" t="str">
        <x:f>IFERROR(INDEX(Customers!$C$2:$C$451,MATCH(A993,Customers!$A$2:$A$451,0)),"Unknown")</x:f>
        <x:v>Standard</x:v>
      </x:c>
    </x:row>
    <x:row r="994">
      <x:c r="A994" t="n">
        <x:v>180</x:v>
      </x:c>
      <x:c r="B994" s="16" t="n">
        <x:v>46266</x:v>
      </x:c>
      <x:c r="C994" t="n">
        <x:v>0</x:v>
      </x:c>
      <x:c r="D994" t="n">
        <x:v>0</x:v>
      </x:c>
      <x:c r="E994" s="18" t="n">
        <x:v>0</x:v>
      </x:c>
      <x:c r="F994" s="18" t="n">
        <x:v>0</x:v>
      </x:c>
      <x:c r="G994" s="18" t="n">
        <x:v>0</x:v>
      </x:c>
      <x:c r="H994" s="18" t="n">
        <x:v>0</x:v>
      </x:c>
      <x:c r="I994" s="18" t="n">
        <x:v>0</x:v>
      </x:c>
      <x:c r="J994" t="n">
        <x:f>IF(A994=A993,IFERROR(IF(B994=EDATE(B993,1),C993,0),0),0)</x:f>
        <x:v>1</x:v>
      </x:c>
      <x:c r="K994" t="n">
        <x:f>IF(AND(J994=1,C994=0),1,0)</x:f>
        <x:v>1</x:v>
      </x:c>
      <x:c r="L994" t="str">
        <x:f>IFERROR(INDEX(Customers!$C$2:$C$451,MATCH(A994,Customers!$A$2:$A$451,0)),"Unknown")</x:f>
        <x:v>Standard</x:v>
      </x:c>
    </x:row>
    <x:row r="995">
      <x:c r="A995" t="n">
        <x:v>181</x:v>
      </x:c>
      <x:c r="B995" s="16" t="n">
        <x:v>46143</x:v>
      </x:c>
      <x:c r="C995" t="n">
        <x:v>0</x:v>
      </x:c>
      <x:c r="D995" t="n">
        <x:v>0</x:v>
      </x:c>
      <x:c r="E995" s="18" t="n">
        <x:v>0</x:v>
      </x:c>
      <x:c r="F995" s="18" t="n">
        <x:v>0</x:v>
      </x:c>
      <x:c r="G995" s="18" t="n">
        <x:v>0</x:v>
      </x:c>
      <x:c r="H995" s="18" t="n">
        <x:v>0</x:v>
      </x:c>
      <x:c r="I995" s="18" t="n">
        <x:v>0</x:v>
      </x:c>
      <x:c r="J995" t="n">
        <x:f>IF(A995=A994,IFERROR(IF(B995=EDATE(B994,1),C994,0),0),0)</x:f>
        <x:v>0</x:v>
      </x:c>
      <x:c r="K995" t="n">
        <x:f>IF(AND(J995=1,C995=0),1,0)</x:f>
        <x:v>0</x:v>
      </x:c>
      <x:c r="L995" t="str">
        <x:f>IFERROR(INDEX(Customers!$C$2:$C$451,MATCH(A995,Customers!$A$2:$A$451,0)),"Unknown")</x:f>
        <x:v>Standard</x:v>
      </x:c>
    </x:row>
    <x:row r="996">
      <x:c r="A996" t="n">
        <x:v>181</x:v>
      </x:c>
      <x:c r="B996" s="16" t="n">
        <x:v>46174</x:v>
      </x:c>
      <x:c r="C996" t="n">
        <x:v>1</x:v>
      </x:c>
      <x:c r="D996" t="n">
        <x:v>20</x:v>
      </x:c>
      <x:c r="E996" s="18" t="n">
        <x:v>1399.67</x:v>
      </x:c>
      <x:c r="F996" s="18" t="n">
        <x:v>0</x:v>
      </x:c>
      <x:c r="G996" s="18" t="n">
        <x:v>6.3</x:v>
      </x:c>
      <x:c r="H996" s="18" t="n">
        <x:v>1.32</x:v>
      </x:c>
      <x:c r="I996" s="18" t="n">
        <x:v>7.62</x:v>
      </x:c>
      <x:c r="J996" t="n">
        <x:f>IF(A996=A995,IFERROR(IF(B996=EDATE(B995,1),C995,0),0),0)</x:f>
        <x:v>0</x:v>
      </x:c>
      <x:c r="K996" t="n">
        <x:f>IF(AND(J996=1,C996=0),1,0)</x:f>
        <x:v>0</x:v>
      </x:c>
      <x:c r="L996" t="str">
        <x:f>IFERROR(INDEX(Customers!$C$2:$C$451,MATCH(A996,Customers!$A$2:$A$451,0)),"Unknown")</x:f>
        <x:v>Standard</x:v>
      </x:c>
    </x:row>
    <x:row r="997">
      <x:c r="A997" t="n">
        <x:v>181</x:v>
      </x:c>
      <x:c r="B997" s="16" t="n">
        <x:v>46204</x:v>
      </x:c>
      <x:c r="C997" t="n">
        <x:v>1</x:v>
      </x:c>
      <x:c r="D997" t="n">
        <x:v>6</x:v>
      </x:c>
      <x:c r="E997" s="18" t="n">
        <x:v>445.58</x:v>
      </x:c>
      <x:c r="F997" s="18" t="n">
        <x:v>0</x:v>
      </x:c>
      <x:c r="G997" s="18" t="n">
        <x:v>2.01</x:v>
      </x:c>
      <x:c r="H997" s="18" t="n">
        <x:v>0.69</x:v>
      </x:c>
      <x:c r="I997" s="18" t="n">
        <x:v>2.7</x:v>
      </x:c>
      <x:c r="J997" t="n">
        <x:f>IF(A997=A996,IFERROR(IF(B997=EDATE(B996,1),C996,0),0),0)</x:f>
        <x:v>1</x:v>
      </x:c>
      <x:c r="K997" t="n">
        <x:f>IF(AND(J997=1,C997=0),1,0)</x:f>
        <x:v>0</x:v>
      </x:c>
      <x:c r="L997" t="str">
        <x:f>IFERROR(INDEX(Customers!$C$2:$C$451,MATCH(A997,Customers!$A$2:$A$451,0)),"Unknown")</x:f>
        <x:v>Standard</x:v>
      </x:c>
    </x:row>
    <x:row r="998">
      <x:c r="A998" t="n">
        <x:v>181</x:v>
      </x:c>
      <x:c r="B998" s="16" t="n">
        <x:v>46235</x:v>
      </x:c>
      <x:c r="C998" t="n">
        <x:v>1</x:v>
      </x:c>
      <x:c r="D998" t="n">
        <x:v>4</x:v>
      </x:c>
      <x:c r="E998" s="18" t="n">
        <x:v>416.18</x:v>
      </x:c>
      <x:c r="F998" s="18" t="n">
        <x:v>0</x:v>
      </x:c>
      <x:c r="G998" s="18" t="n">
        <x:v>1.87</x:v>
      </x:c>
      <x:c r="H998" s="18" t="n">
        <x:v>1.06</x:v>
      </x:c>
      <x:c r="I998" s="18" t="n">
        <x:v>2.93</x:v>
      </x:c>
      <x:c r="J998" t="n">
        <x:f>IF(A998=A997,IFERROR(IF(B998=EDATE(B997,1),C997,0),0),0)</x:f>
        <x:v>1</x:v>
      </x:c>
      <x:c r="K998" t="n">
        <x:f>IF(AND(J998=1,C998=0),1,0)</x:f>
        <x:v>0</x:v>
      </x:c>
      <x:c r="L998" t="str">
        <x:f>IFERROR(INDEX(Customers!$C$2:$C$451,MATCH(A998,Customers!$A$2:$A$451,0)),"Unknown")</x:f>
        <x:v>Standard</x:v>
      </x:c>
    </x:row>
    <x:row r="999">
      <x:c r="A999" t="n">
        <x:v>181</x:v>
      </x:c>
      <x:c r="B999" s="16" t="n">
        <x:v>46266</x:v>
      </x:c>
      <x:c r="C999" t="n">
        <x:v>1</x:v>
      </x:c>
      <x:c r="D999" t="n">
        <x:v>30</x:v>
      </x:c>
      <x:c r="E999" s="18" t="n">
        <x:v>2831.19</x:v>
      </x:c>
      <x:c r="F999" s="18" t="n">
        <x:v>0</x:v>
      </x:c>
      <x:c r="G999" s="18" t="n">
        <x:v>12.74</x:v>
      </x:c>
      <x:c r="H999" s="18" t="n">
        <x:v>2.35</x:v>
      </x:c>
      <x:c r="I999" s="18" t="n">
        <x:v>15.09</x:v>
      </x:c>
      <x:c r="J999" t="n">
        <x:f>IF(A999=A998,IFERROR(IF(B999=EDATE(B998,1),C998,0),0),0)</x:f>
        <x:v>1</x:v>
      </x:c>
      <x:c r="K999" t="n">
        <x:f>IF(AND(J999=1,C999=0),1,0)</x:f>
        <x:v>0</x:v>
      </x:c>
      <x:c r="L999" t="str">
        <x:f>IFERROR(INDEX(Customers!$C$2:$C$451,MATCH(A999,Customers!$A$2:$A$451,0)),"Unknown")</x:f>
        <x:v>Standard</x:v>
      </x:c>
    </x:row>
    <x:row r="1000">
      <x:c r="A1000" t="n">
        <x:v>182</x:v>
      </x:c>
      <x:c r="B1000" s="16" t="n">
        <x:v>46113</x:v>
      </x:c>
      <x:c r="C1000" t="n">
        <x:v>1</x:v>
      </x:c>
      <x:c r="D1000" t="n">
        <x:v>15</x:v>
      </x:c>
      <x:c r="E1000" s="18" t="n">
        <x:v>625.88</x:v>
      </x:c>
      <x:c r="F1000" s="18" t="n">
        <x:v>8</x:v>
      </x:c>
      <x:c r="G1000" s="18" t="n">
        <x:v>2.82</x:v>
      </x:c>
      <x:c r="H1000" s="18" t="n">
        <x:v>1.83</x:v>
      </x:c>
      <x:c r="I1000" s="18" t="n">
        <x:v>12.65</x:v>
      </x:c>
      <x:c r="J1000" t="n">
        <x:f>IF(A1000=A999,IFERROR(IF(B1000=EDATE(B999,1),C999,0),0),0)</x:f>
        <x:v>0</x:v>
      </x:c>
      <x:c r="K1000" t="n">
        <x:f>IF(AND(J1000=1,C1000=0),1,0)</x:f>
        <x:v>0</x:v>
      </x:c>
      <x:c r="L1000" t="str">
        <x:f>IFERROR(INDEX(Customers!$C$2:$C$451,MATCH(A1000,Customers!$A$2:$A$451,0)),"Unknown")</x:f>
        <x:v>Plus</x:v>
      </x:c>
    </x:row>
    <x:row r="1001">
      <x:c r="A1001" t="n">
        <x:v>182</x:v>
      </x:c>
      <x:c r="B1001" s="16" t="n">
        <x:v>46143</x:v>
      </x:c>
      <x:c r="C1001" t="n">
        <x:v>1</x:v>
      </x:c>
      <x:c r="D1001" t="n">
        <x:v>26</x:v>
      </x:c>
      <x:c r="E1001" s="18" t="n">
        <x:v>3582.19</x:v>
      </x:c>
      <x:c r="F1001" s="18" t="n">
        <x:v>8</x:v>
      </x:c>
      <x:c r="G1001" s="18" t="n">
        <x:v>16.12</x:v>
      </x:c>
      <x:c r="H1001" s="18" t="n">
        <x:v>9.65</x:v>
      </x:c>
      <x:c r="I1001" s="18" t="n">
        <x:v>33.77</x:v>
      </x:c>
      <x:c r="J1001" t="n">
        <x:f>IF(A1001=A1000,IFERROR(IF(B1001=EDATE(B1000,1),C1000,0),0),0)</x:f>
        <x:v>1</x:v>
      </x:c>
      <x:c r="K1001" t="n">
        <x:f>IF(AND(J1001=1,C1001=0),1,0)</x:f>
        <x:v>0</x:v>
      </x:c>
      <x:c r="L1001" t="str">
        <x:f>IFERROR(INDEX(Customers!$C$2:$C$451,MATCH(A1001,Customers!$A$2:$A$451,0)),"Unknown")</x:f>
        <x:v>Plus</x:v>
      </x:c>
    </x:row>
    <x:row r="1002">
      <x:c r="A1002" t="n">
        <x:v>182</x:v>
      </x:c>
      <x:c r="B1002" s="16" t="n">
        <x:v>46174</x:v>
      </x:c>
      <x:c r="C1002" t="n">
        <x:v>1</x:v>
      </x:c>
      <x:c r="D1002" t="n">
        <x:v>9</x:v>
      </x:c>
      <x:c r="E1002" s="18" t="n">
        <x:v>466.06</x:v>
      </x:c>
      <x:c r="F1002" s="18" t="n">
        <x:v>8</x:v>
      </x:c>
      <x:c r="G1002" s="18" t="n">
        <x:v>2.1</x:v>
      </x:c>
      <x:c r="H1002" s="18" t="n">
        <x:v>1.53</x:v>
      </x:c>
      <x:c r="I1002" s="18" t="n">
        <x:v>11.63</x:v>
      </x:c>
      <x:c r="J1002" t="n">
        <x:f>IF(A1002=A1001,IFERROR(IF(B1002=EDATE(B1001,1),C1001,0),0),0)</x:f>
        <x:v>1</x:v>
      </x:c>
      <x:c r="K1002" t="n">
        <x:f>IF(AND(J1002=1,C1002=0),1,0)</x:f>
        <x:v>0</x:v>
      </x:c>
      <x:c r="L1002" t="str">
        <x:f>IFERROR(INDEX(Customers!$C$2:$C$451,MATCH(A1002,Customers!$A$2:$A$451,0)),"Unknown")</x:f>
        <x:v>Plus</x:v>
      </x:c>
    </x:row>
    <x:row r="1003">
      <x:c r="A1003" t="n">
        <x:v>182</x:v>
      </x:c>
      <x:c r="B1003" s="16" t="n">
        <x:v>46204</x:v>
      </x:c>
      <x:c r="C1003" t="n">
        <x:v>0</x:v>
      </x:c>
      <x:c r="D1003" t="n">
        <x:v>0</x:v>
      </x:c>
      <x:c r="E1003" s="18" t="n">
        <x:v>0</x:v>
      </x:c>
      <x:c r="F1003" s="18" t="n">
        <x:v>0</x:v>
      </x:c>
      <x:c r="G1003" s="18" t="n">
        <x:v>0</x:v>
      </x:c>
      <x:c r="H1003" s="18" t="n">
        <x:v>0</x:v>
      </x:c>
      <x:c r="I1003" s="18" t="n">
        <x:v>0</x:v>
      </x:c>
      <x:c r="J1003" t="n">
        <x:f>IF(A1003=A1002,IFERROR(IF(B1003=EDATE(B1002,1),C1002,0),0),0)</x:f>
        <x:v>1</x:v>
      </x:c>
      <x:c r="K1003" t="n">
        <x:f>IF(AND(J1003=1,C1003=0),1,0)</x:f>
        <x:v>1</x:v>
      </x:c>
      <x:c r="L1003" t="str">
        <x:f>IFERROR(INDEX(Customers!$C$2:$C$451,MATCH(A1003,Customers!$A$2:$A$451,0)),"Unknown")</x:f>
        <x:v>Plus</x:v>
      </x:c>
    </x:row>
    <x:row r="1004">
      <x:c r="A1004" t="n">
        <x:v>182</x:v>
      </x:c>
      <x:c r="B1004" s="16" t="n">
        <x:v>46235</x:v>
      </x:c>
      <x:c r="C1004" t="n">
        <x:v>1</x:v>
      </x:c>
      <x:c r="D1004" t="n">
        <x:v>33</x:v>
      </x:c>
      <x:c r="E1004" s="18" t="n">
        <x:v>3907.05</x:v>
      </x:c>
      <x:c r="F1004" s="18" t="n">
        <x:v>8</x:v>
      </x:c>
      <x:c r="G1004" s="18" t="n">
        <x:v>17.58</x:v>
      </x:c>
      <x:c r="H1004" s="18" t="n">
        <x:v>6.03</x:v>
      </x:c>
      <x:c r="I1004" s="18" t="n">
        <x:v>31.61</x:v>
      </x:c>
      <x:c r="J1004" t="n">
        <x:f>IF(A1004=A1003,IFERROR(IF(B1004=EDATE(B1003,1),C1003,0),0),0)</x:f>
        <x:v>0</x:v>
      </x:c>
      <x:c r="K1004" t="n">
        <x:f>IF(AND(J1004=1,C1004=0),1,0)</x:f>
        <x:v>0</x:v>
      </x:c>
      <x:c r="L1004" t="str">
        <x:f>IFERROR(INDEX(Customers!$C$2:$C$451,MATCH(A1004,Customers!$A$2:$A$451,0)),"Unknown")</x:f>
        <x:v>Plus</x:v>
      </x:c>
    </x:row>
    <x:row r="1005">
      <x:c r="A1005" t="n">
        <x:v>182</x:v>
      </x:c>
      <x:c r="B1005" s="16" t="n">
        <x:v>46266</x:v>
      </x:c>
      <x:c r="C1005" t="n">
        <x:v>1</x:v>
      </x:c>
      <x:c r="D1005" t="n">
        <x:v>10</x:v>
      </x:c>
      <x:c r="E1005" s="18" t="n">
        <x:v>722.88</x:v>
      </x:c>
      <x:c r="F1005" s="18" t="n">
        <x:v>8</x:v>
      </x:c>
      <x:c r="G1005" s="18" t="n">
        <x:v>3.25</x:v>
      </x:c>
      <x:c r="H1005" s="18" t="n">
        <x:v>1.27</x:v>
      </x:c>
      <x:c r="I1005" s="18" t="n">
        <x:v>12.52</x:v>
      </x:c>
      <x:c r="J1005" t="n">
        <x:f>IF(A1005=A1004,IFERROR(IF(B1005=EDATE(B1004,1),C1004,0),0),0)</x:f>
        <x:v>1</x:v>
      </x:c>
      <x:c r="K1005" t="n">
        <x:f>IF(AND(J1005=1,C1005=0),1,0)</x:f>
        <x:v>0</x:v>
      </x:c>
      <x:c r="L1005" t="str">
        <x:f>IFERROR(INDEX(Customers!$C$2:$C$451,MATCH(A1005,Customers!$A$2:$A$451,0)),"Unknown")</x:f>
        <x:v>Plus</x:v>
      </x:c>
    </x:row>
    <x:row r="1006">
      <x:c r="A1006" t="n">
        <x:v>183</x:v>
      </x:c>
      <x:c r="B1006" s="16" t="n">
        <x:v>46174</x:v>
      </x:c>
      <x:c r="C1006" t="n">
        <x:v>1</x:v>
      </x:c>
      <x:c r="D1006" t="n">
        <x:v>22</x:v>
      </x:c>
      <x:c r="E1006" s="18" t="n">
        <x:v>1866.38</x:v>
      </x:c>
      <x:c r="F1006" s="18" t="n">
        <x:v>0</x:v>
      </x:c>
      <x:c r="G1006" s="18" t="n">
        <x:v>8.4</x:v>
      </x:c>
      <x:c r="H1006" s="18" t="n">
        <x:v>4.22</x:v>
      </x:c>
      <x:c r="I1006" s="18" t="n">
        <x:v>12.62</x:v>
      </x:c>
      <x:c r="J1006" t="n">
        <x:f>IF(A1006=A1005,IFERROR(IF(B1006=EDATE(B1005,1),C1005,0),0),0)</x:f>
        <x:v>0</x:v>
      </x:c>
      <x:c r="K1006" t="n">
        <x:f>IF(AND(J1006=1,C1006=0),1,0)</x:f>
        <x:v>0</x:v>
      </x:c>
      <x:c r="L1006" t="str">
        <x:f>IFERROR(INDEX(Customers!$C$2:$C$451,MATCH(A1006,Customers!$A$2:$A$451,0)),"Unknown")</x:f>
        <x:v>Standard</x:v>
      </x:c>
    </x:row>
    <x:row r="1007">
      <x:c r="A1007" t="n">
        <x:v>183</x:v>
      </x:c>
      <x:c r="B1007" s="16" t="n">
        <x:v>46204</x:v>
      </x:c>
      <x:c r="C1007" t="n">
        <x:v>1</x:v>
      </x:c>
      <x:c r="D1007" t="n">
        <x:v>14</x:v>
      </x:c>
      <x:c r="E1007" s="18" t="n">
        <x:v>1822.53</x:v>
      </x:c>
      <x:c r="F1007" s="18" t="n">
        <x:v>0</x:v>
      </x:c>
      <x:c r="G1007" s="18" t="n">
        <x:v>8.2</x:v>
      </x:c>
      <x:c r="H1007" s="18" t="n">
        <x:v>5.14</x:v>
      </x:c>
      <x:c r="I1007" s="18" t="n">
        <x:v>13.34</x:v>
      </x:c>
      <x:c r="J1007" t="n">
        <x:f>IF(A1007=A1006,IFERROR(IF(B1007=EDATE(B1006,1),C1006,0),0),0)</x:f>
        <x:v>1</x:v>
      </x:c>
      <x:c r="K1007" t="n">
        <x:f>IF(AND(J1007=1,C1007=0),1,0)</x:f>
        <x:v>0</x:v>
      </x:c>
      <x:c r="L1007" t="str">
        <x:f>IFERROR(INDEX(Customers!$C$2:$C$451,MATCH(A1007,Customers!$A$2:$A$451,0)),"Unknown")</x:f>
        <x:v>Standard</x:v>
      </x:c>
    </x:row>
    <x:row r="1008">
      <x:c r="A1008" t="n">
        <x:v>183</x:v>
      </x:c>
      <x:c r="B1008" s="16" t="n">
        <x:v>46235</x:v>
      </x:c>
      <x:c r="C1008" t="n">
        <x:v>1</x:v>
      </x:c>
      <x:c r="D1008" t="n">
        <x:v>14</x:v>
      </x:c>
      <x:c r="E1008" s="18" t="n">
        <x:v>717.55</x:v>
      </x:c>
      <x:c r="F1008" s="18" t="n">
        <x:v>0</x:v>
      </x:c>
      <x:c r="G1008" s="18" t="n">
        <x:v>3.23</x:v>
      </x:c>
      <x:c r="H1008" s="18" t="n">
        <x:v>2.38</x:v>
      </x:c>
      <x:c r="I1008" s="18" t="n">
        <x:v>5.61</x:v>
      </x:c>
      <x:c r="J1008" t="n">
        <x:f>IF(A1008=A1007,IFERROR(IF(B1008=EDATE(B1007,1),C1007,0),0),0)</x:f>
        <x:v>1</x:v>
      </x:c>
      <x:c r="K1008" t="n">
        <x:f>IF(AND(J1008=1,C1008=0),1,0)</x:f>
        <x:v>0</x:v>
      </x:c>
      <x:c r="L1008" t="str">
        <x:f>IFERROR(INDEX(Customers!$C$2:$C$451,MATCH(A1008,Customers!$A$2:$A$451,0)),"Unknown")</x:f>
        <x:v>Standard</x:v>
      </x:c>
    </x:row>
    <x:row r="1009">
      <x:c r="A1009" t="n">
        <x:v>183</x:v>
      </x:c>
      <x:c r="B1009" s="16" t="n">
        <x:v>46266</x:v>
      </x:c>
      <x:c r="C1009" t="n">
        <x:v>1</x:v>
      </x:c>
      <x:c r="D1009" t="n">
        <x:v>26</x:v>
      </x:c>
      <x:c r="E1009" s="18" t="n">
        <x:v>1713.22</x:v>
      </x:c>
      <x:c r="F1009" s="18" t="n">
        <x:v>0</x:v>
      </x:c>
      <x:c r="G1009" s="18" t="n">
        <x:v>7.71</x:v>
      </x:c>
      <x:c r="H1009" s="18" t="n">
        <x:v>3.7</x:v>
      </x:c>
      <x:c r="I1009" s="18" t="n">
        <x:v>11.41</x:v>
      </x:c>
      <x:c r="J1009" t="n">
        <x:f>IF(A1009=A1008,IFERROR(IF(B1009=EDATE(B1008,1),C1008,0),0),0)</x:f>
        <x:v>1</x:v>
      </x:c>
      <x:c r="K1009" t="n">
        <x:f>IF(AND(J1009=1,C1009=0),1,0)</x:f>
        <x:v>0</x:v>
      </x:c>
      <x:c r="L1009" t="str">
        <x:f>IFERROR(INDEX(Customers!$C$2:$C$451,MATCH(A1009,Customers!$A$2:$A$451,0)),"Unknown")</x:f>
        <x:v>Standard</x:v>
      </x:c>
    </x:row>
    <x:row r="1010">
      <x:c r="A1010" t="n">
        <x:v>184</x:v>
      </x:c>
      <x:c r="B1010" s="16" t="n">
        <x:v>46143</x:v>
      </x:c>
      <x:c r="C1010" t="n">
        <x:v>1</x:v>
      </x:c>
      <x:c r="D1010" t="n">
        <x:v>18</x:v>
      </x:c>
      <x:c r="E1010" s="18" t="n">
        <x:v>2154.42</x:v>
      </x:c>
      <x:c r="F1010" s="18" t="n">
        <x:v>0</x:v>
      </x:c>
      <x:c r="G1010" s="18" t="n">
        <x:v>9.69</x:v>
      </x:c>
      <x:c r="H1010" s="18" t="n">
        <x:v>2.63</x:v>
      </x:c>
      <x:c r="I1010" s="18" t="n">
        <x:v>12.32</x:v>
      </x:c>
      <x:c r="J1010" t="n">
        <x:f>IF(A1010=A1009,IFERROR(IF(B1010=EDATE(B1009,1),C1009,0),0),0)</x:f>
        <x:v>0</x:v>
      </x:c>
      <x:c r="K1010" t="n">
        <x:f>IF(AND(J1010=1,C1010=0),1,0)</x:f>
        <x:v>0</x:v>
      </x:c>
      <x:c r="L1010" t="str">
        <x:f>IFERROR(INDEX(Customers!$C$2:$C$451,MATCH(A1010,Customers!$A$2:$A$451,0)),"Unknown")</x:f>
        <x:v>Standard</x:v>
      </x:c>
    </x:row>
    <x:row r="1011">
      <x:c r="A1011" t="n">
        <x:v>184</x:v>
      </x:c>
      <x:c r="B1011" s="16" t="n">
        <x:v>46174</x:v>
      </x:c>
      <x:c r="C1011" t="n">
        <x:v>0</x:v>
      </x:c>
      <x:c r="D1011" t="n">
        <x:v>0</x:v>
      </x:c>
      <x:c r="E1011" s="18" t="n">
        <x:v>0</x:v>
      </x:c>
      <x:c r="F1011" s="18" t="n">
        <x:v>0</x:v>
      </x:c>
      <x:c r="G1011" s="18" t="n">
        <x:v>0</x:v>
      </x:c>
      <x:c r="H1011" s="18" t="n">
        <x:v>0</x:v>
      </x:c>
      <x:c r="I1011" s="18" t="n">
        <x:v>0</x:v>
      </x:c>
      <x:c r="J1011" t="n">
        <x:f>IF(A1011=A1010,IFERROR(IF(B1011=EDATE(B1010,1),C1010,0),0),0)</x:f>
        <x:v>1</x:v>
      </x:c>
      <x:c r="K1011" t="n">
        <x:f>IF(AND(J1011=1,C1011=0),1,0)</x:f>
        <x:v>1</x:v>
      </x:c>
      <x:c r="L1011" t="str">
        <x:f>IFERROR(INDEX(Customers!$C$2:$C$451,MATCH(A1011,Customers!$A$2:$A$451,0)),"Unknown")</x:f>
        <x:v>Standard</x:v>
      </x:c>
    </x:row>
    <x:row r="1012">
      <x:c r="A1012" t="n">
        <x:v>184</x:v>
      </x:c>
      <x:c r="B1012" s="16" t="n">
        <x:v>46204</x:v>
      </x:c>
      <x:c r="C1012" t="n">
        <x:v>1</x:v>
      </x:c>
      <x:c r="D1012" t="n">
        <x:v>21</x:v>
      </x:c>
      <x:c r="E1012" s="18" t="n">
        <x:v>1936.32</x:v>
      </x:c>
      <x:c r="F1012" s="18" t="n">
        <x:v>0</x:v>
      </x:c>
      <x:c r="G1012" s="18" t="n">
        <x:v>8.71</x:v>
      </x:c>
      <x:c r="H1012" s="18" t="n">
        <x:v>2.6</x:v>
      </x:c>
      <x:c r="I1012" s="18" t="n">
        <x:v>11.31</x:v>
      </x:c>
      <x:c r="J1012" t="n">
        <x:f>IF(A1012=A1011,IFERROR(IF(B1012=EDATE(B1011,1),C1011,0),0),0)</x:f>
        <x:v>0</x:v>
      </x:c>
      <x:c r="K1012" t="n">
        <x:f>IF(AND(J1012=1,C1012=0),1,0)</x:f>
        <x:v>0</x:v>
      </x:c>
      <x:c r="L1012" t="str">
        <x:f>IFERROR(INDEX(Customers!$C$2:$C$451,MATCH(A1012,Customers!$A$2:$A$451,0)),"Unknown")</x:f>
        <x:v>Standard</x:v>
      </x:c>
    </x:row>
    <x:row r="1013">
      <x:c r="A1013" t="n">
        <x:v>184</x:v>
      </x:c>
      <x:c r="B1013" s="16" t="n">
        <x:v>46235</x:v>
      </x:c>
      <x:c r="C1013" t="n">
        <x:v>1</x:v>
      </x:c>
      <x:c r="D1013" t="n">
        <x:v>15</x:v>
      </x:c>
      <x:c r="E1013" s="18" t="n">
        <x:v>1341.7</x:v>
      </x:c>
      <x:c r="F1013" s="18" t="n">
        <x:v>0</x:v>
      </x:c>
      <x:c r="G1013" s="18" t="n">
        <x:v>6.04</x:v>
      </x:c>
      <x:c r="H1013" s="18" t="n">
        <x:v>4.42</x:v>
      </x:c>
      <x:c r="I1013" s="18" t="n">
        <x:v>10.46</x:v>
      </x:c>
      <x:c r="J1013" t="n">
        <x:f>IF(A1013=A1012,IFERROR(IF(B1013=EDATE(B1012,1),C1012,0),0),0)</x:f>
        <x:v>1</x:v>
      </x:c>
      <x:c r="K1013" t="n">
        <x:f>IF(AND(J1013=1,C1013=0),1,0)</x:f>
        <x:v>0</x:v>
      </x:c>
      <x:c r="L1013" t="str">
        <x:f>IFERROR(INDEX(Customers!$C$2:$C$451,MATCH(A1013,Customers!$A$2:$A$451,0)),"Unknown")</x:f>
        <x:v>Standard</x:v>
      </x:c>
    </x:row>
    <x:row r="1014">
      <x:c r="A1014" t="n">
        <x:v>184</x:v>
      </x:c>
      <x:c r="B1014" s="16" t="n">
        <x:v>46266</x:v>
      </x:c>
      <x:c r="C1014" t="n">
        <x:v>0</x:v>
      </x:c>
      <x:c r="D1014" t="n">
        <x:v>0</x:v>
      </x:c>
      <x:c r="E1014" s="18" t="n">
        <x:v>0</x:v>
      </x:c>
      <x:c r="F1014" s="18" t="n">
        <x:v>0</x:v>
      </x:c>
      <x:c r="G1014" s="18" t="n">
        <x:v>0</x:v>
      </x:c>
      <x:c r="H1014" s="18" t="n">
        <x:v>0</x:v>
      </x:c>
      <x:c r="I1014" s="18" t="n">
        <x:v>0</x:v>
      </x:c>
      <x:c r="J1014" t="n">
        <x:f>IF(A1014=A1013,IFERROR(IF(B1014=EDATE(B1013,1),C1013,0),0),0)</x:f>
        <x:v>1</x:v>
      </x:c>
      <x:c r="K1014" t="n">
        <x:f>IF(AND(J1014=1,C1014=0),1,0)</x:f>
        <x:v>1</x:v>
      </x:c>
      <x:c r="L1014" t="str">
        <x:f>IFERROR(INDEX(Customers!$C$2:$C$451,MATCH(A1014,Customers!$A$2:$A$451,0)),"Unknown")</x:f>
        <x:v>Standard</x:v>
      </x:c>
    </x:row>
    <x:row r="1015">
      <x:c r="A1015" t="n">
        <x:v>185</x:v>
      </x:c>
      <x:c r="B1015" s="16" t="n">
        <x:v>46113</x:v>
      </x:c>
      <x:c r="C1015" t="n">
        <x:v>1</x:v>
      </x:c>
      <x:c r="D1015" t="n">
        <x:v>33</x:v>
      </x:c>
      <x:c r="E1015" s="18" t="n">
        <x:v>1648.96</x:v>
      </x:c>
      <x:c r="F1015" s="18" t="n">
        <x:v>0</x:v>
      </x:c>
      <x:c r="G1015" s="18" t="n">
        <x:v>7.42</x:v>
      </x:c>
      <x:c r="H1015" s="18" t="n">
        <x:v>1.89</x:v>
      </x:c>
      <x:c r="I1015" s="18" t="n">
        <x:v>9.31</x:v>
      </x:c>
      <x:c r="J1015" t="n">
        <x:f>IF(A1015=A1014,IFERROR(IF(B1015=EDATE(B1014,1),C1014,0),0),0)</x:f>
        <x:v>0</x:v>
      </x:c>
      <x:c r="K1015" t="n">
        <x:f>IF(AND(J1015=1,C1015=0),1,0)</x:f>
        <x:v>0</x:v>
      </x:c>
      <x:c r="L1015" t="str">
        <x:f>IFERROR(INDEX(Customers!$C$2:$C$451,MATCH(A1015,Customers!$A$2:$A$451,0)),"Unknown")</x:f>
        <x:v>Standard</x:v>
      </x:c>
    </x:row>
    <x:row r="1016">
      <x:c r="A1016" t="n">
        <x:v>185</x:v>
      </x:c>
      <x:c r="B1016" s="16" t="n">
        <x:v>46143</x:v>
      </x:c>
      <x:c r="C1016" t="n">
        <x:v>1</x:v>
      </x:c>
      <x:c r="D1016" t="n">
        <x:v>4</x:v>
      </x:c>
      <x:c r="E1016" s="18" t="n">
        <x:v>442.81</x:v>
      </x:c>
      <x:c r="F1016" s="18" t="n">
        <x:v>0</x:v>
      </x:c>
      <x:c r="G1016" s="18" t="n">
        <x:v>1.99</x:v>
      </x:c>
      <x:c r="H1016" s="18" t="n">
        <x:v>1.46</x:v>
      </x:c>
      <x:c r="I1016" s="18" t="n">
        <x:v>3.45</x:v>
      </x:c>
      <x:c r="J1016" t="n">
        <x:f>IF(A1016=A1015,IFERROR(IF(B1016=EDATE(B1015,1),C1015,0),0),0)</x:f>
        <x:v>1</x:v>
      </x:c>
      <x:c r="K1016" t="n">
        <x:f>IF(AND(J1016=1,C1016=0),1,0)</x:f>
        <x:v>0</x:v>
      </x:c>
      <x:c r="L1016" t="str">
        <x:f>IFERROR(INDEX(Customers!$C$2:$C$451,MATCH(A1016,Customers!$A$2:$A$451,0)),"Unknown")</x:f>
        <x:v>Standard</x:v>
      </x:c>
    </x:row>
    <x:row r="1017">
      <x:c r="A1017" t="n">
        <x:v>185</x:v>
      </x:c>
      <x:c r="B1017" s="16" t="n">
        <x:v>46174</x:v>
      </x:c>
      <x:c r="C1017" t="n">
        <x:v>0</x:v>
      </x:c>
      <x:c r="D1017" t="n">
        <x:v>0</x:v>
      </x:c>
      <x:c r="E1017" s="18" t="n">
        <x:v>0</x:v>
      </x:c>
      <x:c r="F1017" s="18" t="n">
        <x:v>0</x:v>
      </x:c>
      <x:c r="G1017" s="18" t="n">
        <x:v>0</x:v>
      </x:c>
      <x:c r="H1017" s="18" t="n">
        <x:v>0</x:v>
      </x:c>
      <x:c r="I1017" s="18" t="n">
        <x:v>0</x:v>
      </x:c>
      <x:c r="J1017" t="n">
        <x:f>IF(A1017=A1016,IFERROR(IF(B1017=EDATE(B1016,1),C1016,0),0),0)</x:f>
        <x:v>1</x:v>
      </x:c>
      <x:c r="K1017" t="n">
        <x:f>IF(AND(J1017=1,C1017=0),1,0)</x:f>
        <x:v>1</x:v>
      </x:c>
      <x:c r="L1017" t="str">
        <x:f>IFERROR(INDEX(Customers!$C$2:$C$451,MATCH(A1017,Customers!$A$2:$A$451,0)),"Unknown")</x:f>
        <x:v>Standard</x:v>
      </x:c>
    </x:row>
    <x:row r="1018">
      <x:c r="A1018" t="n">
        <x:v>185</x:v>
      </x:c>
      <x:c r="B1018" s="16" t="n">
        <x:v>46204</x:v>
      </x:c>
      <x:c r="C1018" t="n">
        <x:v>1</x:v>
      </x:c>
      <x:c r="D1018" t="n">
        <x:v>16</x:v>
      </x:c>
      <x:c r="E1018" s="18" t="n">
        <x:v>1217.27</x:v>
      </x:c>
      <x:c r="F1018" s="18" t="n">
        <x:v>0</x:v>
      </x:c>
      <x:c r="G1018" s="18" t="n">
        <x:v>5.48</x:v>
      </x:c>
      <x:c r="H1018" s="18" t="n">
        <x:v>2.96</x:v>
      </x:c>
      <x:c r="I1018" s="18" t="n">
        <x:v>8.44</x:v>
      </x:c>
      <x:c r="J1018" t="n">
        <x:f>IF(A1018=A1017,IFERROR(IF(B1018=EDATE(B1017,1),C1017,0),0),0)</x:f>
        <x:v>0</x:v>
      </x:c>
      <x:c r="K1018" t="n">
        <x:f>IF(AND(J1018=1,C1018=0),1,0)</x:f>
        <x:v>0</x:v>
      </x:c>
      <x:c r="L1018" t="str">
        <x:f>IFERROR(INDEX(Customers!$C$2:$C$451,MATCH(A1018,Customers!$A$2:$A$451,0)),"Unknown")</x:f>
        <x:v>Standard</x:v>
      </x:c>
    </x:row>
    <x:row r="1019">
      <x:c r="A1019" t="n">
        <x:v>185</x:v>
      </x:c>
      <x:c r="B1019" s="16" t="n">
        <x:v>46235</x:v>
      </x:c>
      <x:c r="C1019" t="n">
        <x:v>0</x:v>
      </x:c>
      <x:c r="D1019" t="n">
        <x:v>0</x:v>
      </x:c>
      <x:c r="E1019" s="18" t="n">
        <x:v>0</x:v>
      </x:c>
      <x:c r="F1019" s="18" t="n">
        <x:v>0</x:v>
      </x:c>
      <x:c r="G1019" s="18" t="n">
        <x:v>0</x:v>
      </x:c>
      <x:c r="H1019" s="18" t="n">
        <x:v>0</x:v>
      </x:c>
      <x:c r="I1019" s="18" t="n">
        <x:v>0</x:v>
      </x:c>
      <x:c r="J1019" t="n">
        <x:f>IF(A1019=A1018,IFERROR(IF(B1019=EDATE(B1018,1),C1018,0),0),0)</x:f>
        <x:v>1</x:v>
      </x:c>
      <x:c r="K1019" t="n">
        <x:f>IF(AND(J1019=1,C1019=0),1,0)</x:f>
        <x:v>1</x:v>
      </x:c>
      <x:c r="L1019" t="str">
        <x:f>IFERROR(INDEX(Customers!$C$2:$C$451,MATCH(A1019,Customers!$A$2:$A$451,0)),"Unknown")</x:f>
        <x:v>Standard</x:v>
      </x:c>
    </x:row>
    <x:row r="1020">
      <x:c r="A1020" t="n">
        <x:v>185</x:v>
      </x:c>
      <x:c r="B1020" s="16" t="n">
        <x:v>46266</x:v>
      </x:c>
      <x:c r="C1020" t="n">
        <x:v>0</x:v>
      </x:c>
      <x:c r="D1020" t="n">
        <x:v>0</x:v>
      </x:c>
      <x:c r="E1020" s="18" t="n">
        <x:v>0</x:v>
      </x:c>
      <x:c r="F1020" s="18" t="n">
        <x:v>0</x:v>
      </x:c>
      <x:c r="G1020" s="18" t="n">
        <x:v>0</x:v>
      </x:c>
      <x:c r="H1020" s="18" t="n">
        <x:v>0</x:v>
      </x:c>
      <x:c r="I1020" s="18" t="n">
        <x:v>0</x:v>
      </x:c>
      <x:c r="J1020" t="n">
        <x:f>IF(A1020=A1019,IFERROR(IF(B1020=EDATE(B1019,1),C1019,0),0),0)</x:f>
        <x:v>0</x:v>
      </x:c>
      <x:c r="K1020" t="n">
        <x:f>IF(AND(J1020=1,C1020=0),1,0)</x:f>
        <x:v>0</x:v>
      </x:c>
      <x:c r="L1020" t="str">
        <x:f>IFERROR(INDEX(Customers!$C$2:$C$451,MATCH(A1020,Customers!$A$2:$A$451,0)),"Unknown")</x:f>
        <x:v>Standard</x:v>
      </x:c>
    </x:row>
    <x:row r="1021">
      <x:c r="A1021" t="n">
        <x:v>186</x:v>
      </x:c>
      <x:c r="B1021" s="16" t="n">
        <x:v>46113</x:v>
      </x:c>
      <x:c r="C1021" t="n">
        <x:v>1</x:v>
      </x:c>
      <x:c r="D1021" t="n">
        <x:v>5</x:v>
      </x:c>
      <x:c r="E1021" s="18" t="n">
        <x:v>671.07</x:v>
      </x:c>
      <x:c r="F1021" s="18" t="n">
        <x:v>0</x:v>
      </x:c>
      <x:c r="G1021" s="18" t="n">
        <x:v>3.02</x:v>
      </x:c>
      <x:c r="H1021" s="18" t="n">
        <x:v>2.12</x:v>
      </x:c>
      <x:c r="I1021" s="18" t="n">
        <x:v>5.14</x:v>
      </x:c>
      <x:c r="J1021" t="n">
        <x:f>IF(A1021=A1020,IFERROR(IF(B1021=EDATE(B1020,1),C1020,0),0),0)</x:f>
        <x:v>0</x:v>
      </x:c>
      <x:c r="K1021" t="n">
        <x:f>IF(AND(J1021=1,C1021=0),1,0)</x:f>
        <x:v>0</x:v>
      </x:c>
      <x:c r="L1021" t="str">
        <x:f>IFERROR(INDEX(Customers!$C$2:$C$451,MATCH(A1021,Customers!$A$2:$A$451,0)),"Unknown")</x:f>
        <x:v>Standard</x:v>
      </x:c>
    </x:row>
    <x:row r="1022">
      <x:c r="A1022" t="n">
        <x:v>186</x:v>
      </x:c>
      <x:c r="B1022" s="16" t="n">
        <x:v>46143</x:v>
      </x:c>
      <x:c r="C1022" t="n">
        <x:v>1</x:v>
      </x:c>
      <x:c r="D1022" t="n">
        <x:v>26</x:v>
      </x:c>
      <x:c r="E1022" s="18" t="n">
        <x:v>2271.96</x:v>
      </x:c>
      <x:c r="F1022" s="18" t="n">
        <x:v>0</x:v>
      </x:c>
      <x:c r="G1022" s="18" t="n">
        <x:v>10.22</x:v>
      </x:c>
      <x:c r="H1022" s="18" t="n">
        <x:v>5.19</x:v>
      </x:c>
      <x:c r="I1022" s="18" t="n">
        <x:v>15.41</x:v>
      </x:c>
      <x:c r="J1022" t="n">
        <x:f>IF(A1022=A1021,IFERROR(IF(B1022=EDATE(B1021,1),C1021,0),0),0)</x:f>
        <x:v>1</x:v>
      </x:c>
      <x:c r="K1022" t="n">
        <x:f>IF(AND(J1022=1,C1022=0),1,0)</x:f>
        <x:v>0</x:v>
      </x:c>
      <x:c r="L1022" t="str">
        <x:f>IFERROR(INDEX(Customers!$C$2:$C$451,MATCH(A1022,Customers!$A$2:$A$451,0)),"Unknown")</x:f>
        <x:v>Standard</x:v>
      </x:c>
    </x:row>
    <x:row r="1023">
      <x:c r="A1023" t="n">
        <x:v>186</x:v>
      </x:c>
      <x:c r="B1023" s="16" t="n">
        <x:v>46174</x:v>
      </x:c>
      <x:c r="C1023" t="n">
        <x:v>1</x:v>
      </x:c>
      <x:c r="D1023" t="n">
        <x:v>33</x:v>
      </x:c>
      <x:c r="E1023" s="18" t="n">
        <x:v>3991.37</x:v>
      </x:c>
      <x:c r="F1023" s="18" t="n">
        <x:v>0</x:v>
      </x:c>
      <x:c r="G1023" s="18" t="n">
        <x:v>17.96</x:v>
      </x:c>
      <x:c r="H1023" s="18" t="n">
        <x:v>5.57</x:v>
      </x:c>
      <x:c r="I1023" s="18" t="n">
        <x:v>23.53</x:v>
      </x:c>
      <x:c r="J1023" t="n">
        <x:f>IF(A1023=A1022,IFERROR(IF(B1023=EDATE(B1022,1),C1022,0),0),0)</x:f>
        <x:v>1</x:v>
      </x:c>
      <x:c r="K1023" t="n">
        <x:f>IF(AND(J1023=1,C1023=0),1,0)</x:f>
        <x:v>0</x:v>
      </x:c>
      <x:c r="L1023" t="str">
        <x:f>IFERROR(INDEX(Customers!$C$2:$C$451,MATCH(A1023,Customers!$A$2:$A$451,0)),"Unknown")</x:f>
        <x:v>Standard</x:v>
      </x:c>
    </x:row>
    <x:row r="1024">
      <x:c r="A1024" t="n">
        <x:v>186</x:v>
      </x:c>
      <x:c r="B1024" s="16" t="n">
        <x:v>46204</x:v>
      </x:c>
      <x:c r="C1024" t="n">
        <x:v>1</x:v>
      </x:c>
      <x:c r="D1024" t="n">
        <x:v>6</x:v>
      </x:c>
      <x:c r="E1024" s="18" t="n">
        <x:v>224.89</x:v>
      </x:c>
      <x:c r="F1024" s="18" t="n">
        <x:v>0</x:v>
      </x:c>
      <x:c r="G1024" s="18" t="n">
        <x:v>1.01</x:v>
      </x:c>
      <x:c r="H1024" s="18" t="n">
        <x:v>0.44</x:v>
      </x:c>
      <x:c r="I1024" s="18" t="n">
        <x:v>1.45</x:v>
      </x:c>
      <x:c r="J1024" t="n">
        <x:f>IF(A1024=A1023,IFERROR(IF(B1024=EDATE(B1023,1),C1023,0),0),0)</x:f>
        <x:v>1</x:v>
      </x:c>
      <x:c r="K1024" t="n">
        <x:f>IF(AND(J1024=1,C1024=0),1,0)</x:f>
        <x:v>0</x:v>
      </x:c>
      <x:c r="L1024" t="str">
        <x:f>IFERROR(INDEX(Customers!$C$2:$C$451,MATCH(A1024,Customers!$A$2:$A$451,0)),"Unknown")</x:f>
        <x:v>Standard</x:v>
      </x:c>
    </x:row>
    <x:row r="1025">
      <x:c r="A1025" t="n">
        <x:v>186</x:v>
      </x:c>
      <x:c r="B1025" s="16" t="n">
        <x:v>46235</x:v>
      </x:c>
      <x:c r="C1025" t="n">
        <x:v>1</x:v>
      </x:c>
      <x:c r="D1025" t="n">
        <x:v>36</x:v>
      </x:c>
      <x:c r="E1025" s="18" t="n">
        <x:v>2508.76</x:v>
      </x:c>
      <x:c r="F1025" s="18" t="n">
        <x:v>0</x:v>
      </x:c>
      <x:c r="G1025" s="18" t="n">
        <x:v>11.29</x:v>
      </x:c>
      <x:c r="H1025" s="18" t="n">
        <x:v>3.42</x:v>
      </x:c>
      <x:c r="I1025" s="18" t="n">
        <x:v>14.71</x:v>
      </x:c>
      <x:c r="J1025" t="n">
        <x:f>IF(A1025=A1024,IFERROR(IF(B1025=EDATE(B1024,1),C1024,0),0),0)</x:f>
        <x:v>1</x:v>
      </x:c>
      <x:c r="K1025" t="n">
        <x:f>IF(AND(J1025=1,C1025=0),1,0)</x:f>
        <x:v>0</x:v>
      </x:c>
      <x:c r="L1025" t="str">
        <x:f>IFERROR(INDEX(Customers!$C$2:$C$451,MATCH(A1025,Customers!$A$2:$A$451,0)),"Unknown")</x:f>
        <x:v>Standard</x:v>
      </x:c>
    </x:row>
    <x:row r="1026">
      <x:c r="A1026" t="n">
        <x:v>186</x:v>
      </x:c>
      <x:c r="B1026" s="16" t="n">
        <x:v>46266</x:v>
      </x:c>
      <x:c r="C1026" t="n">
        <x:v>0</x:v>
      </x:c>
      <x:c r="D1026" t="n">
        <x:v>0</x:v>
      </x:c>
      <x:c r="E1026" s="18" t="n">
        <x:v>0</x:v>
      </x:c>
      <x:c r="F1026" s="18" t="n">
        <x:v>0</x:v>
      </x:c>
      <x:c r="G1026" s="18" t="n">
        <x:v>0</x:v>
      </x:c>
      <x:c r="H1026" s="18" t="n">
        <x:v>0</x:v>
      </x:c>
      <x:c r="I1026" s="18" t="n">
        <x:v>0</x:v>
      </x:c>
      <x:c r="J1026" t="n">
        <x:f>IF(A1026=A1025,IFERROR(IF(B1026=EDATE(B1025,1),C1025,0),0),0)</x:f>
        <x:v>1</x:v>
      </x:c>
      <x:c r="K1026" t="n">
        <x:f>IF(AND(J1026=1,C1026=0),1,0)</x:f>
        <x:v>1</x:v>
      </x:c>
      <x:c r="L1026" t="str">
        <x:f>IFERROR(INDEX(Customers!$C$2:$C$451,MATCH(A1026,Customers!$A$2:$A$451,0)),"Unknown")</x:f>
        <x:v>Standard</x:v>
      </x:c>
    </x:row>
    <x:row r="1027">
      <x:c r="A1027" t="n">
        <x:v>187</x:v>
      </x:c>
      <x:c r="B1027" s="16" t="n">
        <x:v>46143</x:v>
      </x:c>
      <x:c r="C1027" t="n">
        <x:v>1</x:v>
      </x:c>
      <x:c r="D1027" t="n">
        <x:v>33</x:v>
      </x:c>
      <x:c r="E1027" s="18" t="n">
        <x:v>1355.35</x:v>
      </x:c>
      <x:c r="F1027" s="18" t="n">
        <x:v>0</x:v>
      </x:c>
      <x:c r="G1027" s="18" t="n">
        <x:v>6.1</x:v>
      </x:c>
      <x:c r="H1027" s="18" t="n">
        <x:v>3.01</x:v>
      </x:c>
      <x:c r="I1027" s="18" t="n">
        <x:v>9.11</x:v>
      </x:c>
      <x:c r="J1027" t="n">
        <x:f>IF(A1027=A1026,IFERROR(IF(B1027=EDATE(B1026,1),C1026,0),0),0)</x:f>
        <x:v>0</x:v>
      </x:c>
      <x:c r="K1027" t="n">
        <x:f>IF(AND(J1027=1,C1027=0),1,0)</x:f>
        <x:v>0</x:v>
      </x:c>
      <x:c r="L1027" t="str">
        <x:f>IFERROR(INDEX(Customers!$C$2:$C$451,MATCH(A1027,Customers!$A$2:$A$451,0)),"Unknown")</x:f>
        <x:v>Standard</x:v>
      </x:c>
    </x:row>
    <x:row r="1028">
      <x:c r="A1028" t="n">
        <x:v>187</x:v>
      </x:c>
      <x:c r="B1028" s="16" t="n">
        <x:v>46174</x:v>
      </x:c>
      <x:c r="C1028" t="n">
        <x:v>1</x:v>
      </x:c>
      <x:c r="D1028" t="n">
        <x:v>30</x:v>
      </x:c>
      <x:c r="E1028" s="18" t="n">
        <x:v>2502.12</x:v>
      </x:c>
      <x:c r="F1028" s="18" t="n">
        <x:v>0</x:v>
      </x:c>
      <x:c r="G1028" s="18" t="n">
        <x:v>11.26</x:v>
      </x:c>
      <x:c r="H1028" s="18" t="n">
        <x:v>5.95</x:v>
      </x:c>
      <x:c r="I1028" s="18" t="n">
        <x:v>17.21</x:v>
      </x:c>
      <x:c r="J1028" t="n">
        <x:f>IF(A1028=A1027,IFERROR(IF(B1028=EDATE(B1027,1),C1027,0),0),0)</x:f>
        <x:v>1</x:v>
      </x:c>
      <x:c r="K1028" t="n">
        <x:f>IF(AND(J1028=1,C1028=0),1,0)</x:f>
        <x:v>0</x:v>
      </x:c>
      <x:c r="L1028" t="str">
        <x:f>IFERROR(INDEX(Customers!$C$2:$C$451,MATCH(A1028,Customers!$A$2:$A$451,0)),"Unknown")</x:f>
        <x:v>Standard</x:v>
      </x:c>
    </x:row>
    <x:row r="1029">
      <x:c r="A1029" t="n">
        <x:v>187</x:v>
      </x:c>
      <x:c r="B1029" s="16" t="n">
        <x:v>46204</x:v>
      </x:c>
      <x:c r="C1029" t="n">
        <x:v>1</x:v>
      </x:c>
      <x:c r="D1029" t="n">
        <x:v>35</x:v>
      </x:c>
      <x:c r="E1029" s="18" t="n">
        <x:v>2432.41</x:v>
      </x:c>
      <x:c r="F1029" s="18" t="n">
        <x:v>0</x:v>
      </x:c>
      <x:c r="G1029" s="18" t="n">
        <x:v>10.95</x:v>
      </x:c>
      <x:c r="H1029" s="18" t="n">
        <x:v>3.79</x:v>
      </x:c>
      <x:c r="I1029" s="18" t="n">
        <x:v>14.74</x:v>
      </x:c>
      <x:c r="J1029" t="n">
        <x:f>IF(A1029=A1028,IFERROR(IF(B1029=EDATE(B1028,1),C1028,0),0),0)</x:f>
        <x:v>1</x:v>
      </x:c>
      <x:c r="K1029" t="n">
        <x:f>IF(AND(J1029=1,C1029=0),1,0)</x:f>
        <x:v>0</x:v>
      </x:c>
      <x:c r="L1029" t="str">
        <x:f>IFERROR(INDEX(Customers!$C$2:$C$451,MATCH(A1029,Customers!$A$2:$A$451,0)),"Unknown")</x:f>
        <x:v>Standard</x:v>
      </x:c>
    </x:row>
    <x:row r="1030">
      <x:c r="A1030" t="n">
        <x:v>187</x:v>
      </x:c>
      <x:c r="B1030" s="16" t="n">
        <x:v>46235</x:v>
      </x:c>
      <x:c r="C1030" t="n">
        <x:v>1</x:v>
      </x:c>
      <x:c r="D1030" t="n">
        <x:v>26</x:v>
      </x:c>
      <x:c r="E1030" s="18" t="n">
        <x:v>2247.28</x:v>
      </x:c>
      <x:c r="F1030" s="18" t="n">
        <x:v>0</x:v>
      </x:c>
      <x:c r="G1030" s="18" t="n">
        <x:v>10.11</x:v>
      </x:c>
      <x:c r="H1030" s="18" t="n">
        <x:v>7.94</x:v>
      </x:c>
      <x:c r="I1030" s="18" t="n">
        <x:v>18.05</x:v>
      </x:c>
      <x:c r="J1030" t="n">
        <x:f>IF(A1030=A1029,IFERROR(IF(B1030=EDATE(B1029,1),C1029,0),0),0)</x:f>
        <x:v>1</x:v>
      </x:c>
      <x:c r="K1030" t="n">
        <x:f>IF(AND(J1030=1,C1030=0),1,0)</x:f>
        <x:v>0</x:v>
      </x:c>
      <x:c r="L1030" t="str">
        <x:f>IFERROR(INDEX(Customers!$C$2:$C$451,MATCH(A1030,Customers!$A$2:$A$451,0)),"Unknown")</x:f>
        <x:v>Standard</x:v>
      </x:c>
    </x:row>
    <x:row r="1031">
      <x:c r="A1031" t="n">
        <x:v>187</x:v>
      </x:c>
      <x:c r="B1031" s="16" t="n">
        <x:v>46266</x:v>
      </x:c>
      <x:c r="C1031" t="n">
        <x:v>1</x:v>
      </x:c>
      <x:c r="D1031" t="n">
        <x:v>25</x:v>
      </x:c>
      <x:c r="E1031" s="18" t="n">
        <x:v>2494.05</x:v>
      </x:c>
      <x:c r="F1031" s="18" t="n">
        <x:v>0</x:v>
      </x:c>
      <x:c r="G1031" s="18" t="n">
        <x:v>11.22</x:v>
      </x:c>
      <x:c r="H1031" s="18" t="n">
        <x:v>8.85</x:v>
      </x:c>
      <x:c r="I1031" s="18" t="n">
        <x:v>20.07</x:v>
      </x:c>
      <x:c r="J1031" t="n">
        <x:f>IF(A1031=A1030,IFERROR(IF(B1031=EDATE(B1030,1),C1030,0),0),0)</x:f>
        <x:v>1</x:v>
      </x:c>
      <x:c r="K1031" t="n">
        <x:f>IF(AND(J1031=1,C1031=0),1,0)</x:f>
        <x:v>0</x:v>
      </x:c>
      <x:c r="L1031" t="str">
        <x:f>IFERROR(INDEX(Customers!$C$2:$C$451,MATCH(A1031,Customers!$A$2:$A$451,0)),"Unknown")</x:f>
        <x:v>Standard</x:v>
      </x:c>
    </x:row>
    <x:row r="1032">
      <x:c r="A1032" t="n">
        <x:v>188</x:v>
      </x:c>
      <x:c r="B1032" s="16" t="n">
        <x:v>46113</x:v>
      </x:c>
      <x:c r="C1032" t="n">
        <x:v>0</x:v>
      </x:c>
      <x:c r="D1032" t="n">
        <x:v>0</x:v>
      </x:c>
      <x:c r="E1032" s="18" t="n">
        <x:v>0</x:v>
      </x:c>
      <x:c r="F1032" s="18" t="n">
        <x:v>0</x:v>
      </x:c>
      <x:c r="G1032" s="18" t="n">
        <x:v>0</x:v>
      </x:c>
      <x:c r="H1032" s="18" t="n">
        <x:v>0</x:v>
      </x:c>
      <x:c r="I1032" s="18" t="n">
        <x:v>0</x:v>
      </x:c>
      <x:c r="J1032" t="n">
        <x:f>IF(A1032=A1031,IFERROR(IF(B1032=EDATE(B1031,1),C1031,0),0),0)</x:f>
        <x:v>0</x:v>
      </x:c>
      <x:c r="K1032" t="n">
        <x:f>IF(AND(J1032=1,C1032=0),1,0)</x:f>
        <x:v>0</x:v>
      </x:c>
      <x:c r="L1032" t="str">
        <x:f>IFERROR(INDEX(Customers!$C$2:$C$451,MATCH(A1032,Customers!$A$2:$A$451,0)),"Unknown")</x:f>
        <x:v>Standard</x:v>
      </x:c>
    </x:row>
    <x:row r="1033">
      <x:c r="A1033" t="n">
        <x:v>188</x:v>
      </x:c>
      <x:c r="B1033" s="16" t="n">
        <x:v>46143</x:v>
      </x:c>
      <x:c r="C1033" t="n">
        <x:v>1</x:v>
      </x:c>
      <x:c r="D1033" t="n">
        <x:v>16</x:v>
      </x:c>
      <x:c r="E1033" s="18" t="n">
        <x:v>1535.26</x:v>
      </x:c>
      <x:c r="F1033" s="18" t="n">
        <x:v>0</x:v>
      </x:c>
      <x:c r="G1033" s="18" t="n">
        <x:v>6.91</x:v>
      </x:c>
      <x:c r="H1033" s="18" t="n">
        <x:v>5.26</x:v>
      </x:c>
      <x:c r="I1033" s="18" t="n">
        <x:v>12.17</x:v>
      </x:c>
      <x:c r="J1033" t="n">
        <x:f>IF(A1033=A1032,IFERROR(IF(B1033=EDATE(B1032,1),C1032,0),0),0)</x:f>
        <x:v>0</x:v>
      </x:c>
      <x:c r="K1033" t="n">
        <x:f>IF(AND(J1033=1,C1033=0),1,0)</x:f>
        <x:v>0</x:v>
      </x:c>
      <x:c r="L1033" t="str">
        <x:f>IFERROR(INDEX(Customers!$C$2:$C$451,MATCH(A1033,Customers!$A$2:$A$451,0)),"Unknown")</x:f>
        <x:v>Standard</x:v>
      </x:c>
    </x:row>
    <x:row r="1034">
      <x:c r="A1034" t="n">
        <x:v>188</x:v>
      </x:c>
      <x:c r="B1034" s="16" t="n">
        <x:v>46174</x:v>
      </x:c>
      <x:c r="C1034" t="n">
        <x:v>1</x:v>
      </x:c>
      <x:c r="D1034" t="n">
        <x:v>16</x:v>
      </x:c>
      <x:c r="E1034" s="18" t="n">
        <x:v>1867.2</x:v>
      </x:c>
      <x:c r="F1034" s="18" t="n">
        <x:v>0</x:v>
      </x:c>
      <x:c r="G1034" s="18" t="n">
        <x:v>8.4</x:v>
      </x:c>
      <x:c r="H1034" s="18" t="n">
        <x:v>6.99</x:v>
      </x:c>
      <x:c r="I1034" s="18" t="n">
        <x:v>15.39</x:v>
      </x:c>
      <x:c r="J1034" t="n">
        <x:f>IF(A1034=A1033,IFERROR(IF(B1034=EDATE(B1033,1),C1033,0),0),0)</x:f>
        <x:v>1</x:v>
      </x:c>
      <x:c r="K1034" t="n">
        <x:f>IF(AND(J1034=1,C1034=0),1,0)</x:f>
        <x:v>0</x:v>
      </x:c>
      <x:c r="L1034" t="str">
        <x:f>IFERROR(INDEX(Customers!$C$2:$C$451,MATCH(A1034,Customers!$A$2:$A$451,0)),"Unknown")</x:f>
        <x:v>Standard</x:v>
      </x:c>
    </x:row>
    <x:row r="1035">
      <x:c r="A1035" t="n">
        <x:v>188</x:v>
      </x:c>
      <x:c r="B1035" s="16" t="n">
        <x:v>46204</x:v>
      </x:c>
      <x:c r="C1035" t="n">
        <x:v>1</x:v>
      </x:c>
      <x:c r="D1035" t="n">
        <x:v>23</x:v>
      </x:c>
      <x:c r="E1035" s="18" t="n">
        <x:v>1746.67</x:v>
      </x:c>
      <x:c r="F1035" s="18" t="n">
        <x:v>0</x:v>
      </x:c>
      <x:c r="G1035" s="18" t="n">
        <x:v>7.86</x:v>
      </x:c>
      <x:c r="H1035" s="18" t="n">
        <x:v>3.09</x:v>
      </x:c>
      <x:c r="I1035" s="18" t="n">
        <x:v>10.95</x:v>
      </x:c>
      <x:c r="J1035" t="n">
        <x:f>IF(A1035=A1034,IFERROR(IF(B1035=EDATE(B1034,1),C1034,0),0),0)</x:f>
        <x:v>1</x:v>
      </x:c>
      <x:c r="K1035" t="n">
        <x:f>IF(AND(J1035=1,C1035=0),1,0)</x:f>
        <x:v>0</x:v>
      </x:c>
      <x:c r="L1035" t="str">
        <x:f>IFERROR(INDEX(Customers!$C$2:$C$451,MATCH(A1035,Customers!$A$2:$A$451,0)),"Unknown")</x:f>
        <x:v>Standard</x:v>
      </x:c>
    </x:row>
    <x:row r="1036">
      <x:c r="A1036" t="n">
        <x:v>188</x:v>
      </x:c>
      <x:c r="B1036" s="16" t="n">
        <x:v>46235</x:v>
      </x:c>
      <x:c r="C1036" t="n">
        <x:v>1</x:v>
      </x:c>
      <x:c r="D1036" t="n">
        <x:v>8</x:v>
      </x:c>
      <x:c r="E1036" s="18" t="n">
        <x:v>740.77</x:v>
      </x:c>
      <x:c r="F1036" s="18" t="n">
        <x:v>0</x:v>
      </x:c>
      <x:c r="G1036" s="18" t="n">
        <x:v>3.33</x:v>
      </x:c>
      <x:c r="H1036" s="18" t="n">
        <x:v>2.54</x:v>
      </x:c>
      <x:c r="I1036" s="18" t="n">
        <x:v>5.87</x:v>
      </x:c>
      <x:c r="J1036" t="n">
        <x:f>IF(A1036=A1035,IFERROR(IF(B1036=EDATE(B1035,1),C1035,0),0),0)</x:f>
        <x:v>1</x:v>
      </x:c>
      <x:c r="K1036" t="n">
        <x:f>IF(AND(J1036=1,C1036=0),1,0)</x:f>
        <x:v>0</x:v>
      </x:c>
      <x:c r="L1036" t="str">
        <x:f>IFERROR(INDEX(Customers!$C$2:$C$451,MATCH(A1036,Customers!$A$2:$A$451,0)),"Unknown")</x:f>
        <x:v>Standard</x:v>
      </x:c>
    </x:row>
    <x:row r="1037">
      <x:c r="A1037" t="n">
        <x:v>188</x:v>
      </x:c>
      <x:c r="B1037" s="16" t="n">
        <x:v>46266</x:v>
      </x:c>
      <x:c r="C1037" t="n">
        <x:v>1</x:v>
      </x:c>
      <x:c r="D1037" t="n">
        <x:v>15</x:v>
      </x:c>
      <x:c r="E1037" s="18" t="n">
        <x:v>1591.24</x:v>
      </x:c>
      <x:c r="F1037" s="18" t="n">
        <x:v>0</x:v>
      </x:c>
      <x:c r="G1037" s="18" t="n">
        <x:v>7.16</x:v>
      </x:c>
      <x:c r="H1037" s="18" t="n">
        <x:v>3.4</x:v>
      </x:c>
      <x:c r="I1037" s="18" t="n">
        <x:v>10.56</x:v>
      </x:c>
      <x:c r="J1037" t="n">
        <x:f>IF(A1037=A1036,IFERROR(IF(B1037=EDATE(B1036,1),C1036,0),0),0)</x:f>
        <x:v>1</x:v>
      </x:c>
      <x:c r="K1037" t="n">
        <x:f>IF(AND(J1037=1,C1037=0),1,0)</x:f>
        <x:v>0</x:v>
      </x:c>
      <x:c r="L1037" t="str">
        <x:f>IFERROR(INDEX(Customers!$C$2:$C$451,MATCH(A1037,Customers!$A$2:$A$451,0)),"Unknown")</x:f>
        <x:v>Standard</x:v>
      </x:c>
    </x:row>
    <x:row r="1038">
      <x:c r="A1038" t="n">
        <x:v>189</x:v>
      </x:c>
      <x:c r="B1038" s="16" t="n">
        <x:v>46174</x:v>
      </x:c>
      <x:c r="C1038" t="n">
        <x:v>1</x:v>
      </x:c>
      <x:c r="D1038" t="n">
        <x:v>21</x:v>
      </x:c>
      <x:c r="E1038" s="18" t="n">
        <x:v>953.04</x:v>
      </x:c>
      <x:c r="F1038" s="18" t="n">
        <x:v>0</x:v>
      </x:c>
      <x:c r="G1038" s="18" t="n">
        <x:v>4.29</x:v>
      </x:c>
      <x:c r="H1038" s="18" t="n">
        <x:v>1.41</x:v>
      </x:c>
      <x:c r="I1038" s="18" t="n">
        <x:v>5.7</x:v>
      </x:c>
      <x:c r="J1038" t="n">
        <x:f>IF(A1038=A1037,IFERROR(IF(B1038=EDATE(B1037,1),C1037,0),0),0)</x:f>
        <x:v>0</x:v>
      </x:c>
      <x:c r="K1038" t="n">
        <x:f>IF(AND(J1038=1,C1038=0),1,0)</x:f>
        <x:v>0</x:v>
      </x:c>
      <x:c r="L1038" t="str">
        <x:f>IFERROR(INDEX(Customers!$C$2:$C$451,MATCH(A1038,Customers!$A$2:$A$451,0)),"Unknown")</x:f>
        <x:v>Standard</x:v>
      </x:c>
    </x:row>
    <x:row r="1039">
      <x:c r="A1039" t="n">
        <x:v>189</x:v>
      </x:c>
      <x:c r="B1039" s="16" t="n">
        <x:v>46204</x:v>
      </x:c>
      <x:c r="C1039" t="n">
        <x:v>1</x:v>
      </x:c>
      <x:c r="D1039" t="n">
        <x:v>32</x:v>
      </x:c>
      <x:c r="E1039" s="18" t="n">
        <x:v>1318.59</x:v>
      </x:c>
      <x:c r="F1039" s="18" t="n">
        <x:v>0</x:v>
      </x:c>
      <x:c r="G1039" s="18" t="n">
        <x:v>5.93</x:v>
      </x:c>
      <x:c r="H1039" s="18" t="n">
        <x:v>2.79</x:v>
      </x:c>
      <x:c r="I1039" s="18" t="n">
        <x:v>8.72</x:v>
      </x:c>
      <x:c r="J1039" t="n">
        <x:f>IF(A1039=A1038,IFERROR(IF(B1039=EDATE(B1038,1),C1038,0),0),0)</x:f>
        <x:v>1</x:v>
      </x:c>
      <x:c r="K1039" t="n">
        <x:f>IF(AND(J1039=1,C1039=0),1,0)</x:f>
        <x:v>0</x:v>
      </x:c>
      <x:c r="L1039" t="str">
        <x:f>IFERROR(INDEX(Customers!$C$2:$C$451,MATCH(A1039,Customers!$A$2:$A$451,0)),"Unknown")</x:f>
        <x:v>Standard</x:v>
      </x:c>
    </x:row>
    <x:row r="1040">
      <x:c r="A1040" t="n">
        <x:v>189</x:v>
      </x:c>
      <x:c r="B1040" s="16" t="n">
        <x:v>46235</x:v>
      </x:c>
      <x:c r="C1040" t="n">
        <x:v>1</x:v>
      </x:c>
      <x:c r="D1040" t="n">
        <x:v>24</x:v>
      </x:c>
      <x:c r="E1040" s="18" t="n">
        <x:v>2967.28</x:v>
      </x:c>
      <x:c r="F1040" s="18" t="n">
        <x:v>0</x:v>
      </x:c>
      <x:c r="G1040" s="18" t="n">
        <x:v>13.35</x:v>
      </x:c>
      <x:c r="H1040" s="18" t="n">
        <x:v>6.9</x:v>
      </x:c>
      <x:c r="I1040" s="18" t="n">
        <x:v>20.25</x:v>
      </x:c>
      <x:c r="J1040" t="n">
        <x:f>IF(A1040=A1039,IFERROR(IF(B1040=EDATE(B1039,1),C1039,0),0),0)</x:f>
        <x:v>1</x:v>
      </x:c>
      <x:c r="K1040" t="n">
        <x:f>IF(AND(J1040=1,C1040=0),1,0)</x:f>
        <x:v>0</x:v>
      </x:c>
      <x:c r="L1040" t="str">
        <x:f>IFERROR(INDEX(Customers!$C$2:$C$451,MATCH(A1040,Customers!$A$2:$A$451,0)),"Unknown")</x:f>
        <x:v>Standard</x:v>
      </x:c>
    </x:row>
    <x:row r="1041">
      <x:c r="A1041" t="n">
        <x:v>189</x:v>
      </x:c>
      <x:c r="B1041" s="16" t="n">
        <x:v>46266</x:v>
      </x:c>
      <x:c r="C1041" t="n">
        <x:v>1</x:v>
      </x:c>
      <x:c r="D1041" t="n">
        <x:v>29</x:v>
      </x:c>
      <x:c r="E1041" s="18" t="n">
        <x:v>1621.73</x:v>
      </x:c>
      <x:c r="F1041" s="18" t="n">
        <x:v>0</x:v>
      </x:c>
      <x:c r="G1041" s="18" t="n">
        <x:v>7.3</x:v>
      </x:c>
      <x:c r="H1041" s="18" t="n">
        <x:v>2.89</x:v>
      </x:c>
      <x:c r="I1041" s="18" t="n">
        <x:v>10.19</x:v>
      </x:c>
      <x:c r="J1041" t="n">
        <x:f>IF(A1041=A1040,IFERROR(IF(B1041=EDATE(B1040,1),C1040,0),0),0)</x:f>
        <x:v>1</x:v>
      </x:c>
      <x:c r="K1041" t="n">
        <x:f>IF(AND(J1041=1,C1041=0),1,0)</x:f>
        <x:v>0</x:v>
      </x:c>
      <x:c r="L1041" t="str">
        <x:f>IFERROR(INDEX(Customers!$C$2:$C$451,MATCH(A1041,Customers!$A$2:$A$451,0)),"Unknown")</x:f>
        <x:v>Standard</x:v>
      </x:c>
    </x:row>
    <x:row r="1042">
      <x:c r="A1042" t="n">
        <x:v>190</x:v>
      </x:c>
      <x:c r="B1042" s="16" t="n">
        <x:v>46143</x:v>
      </x:c>
      <x:c r="C1042" t="n">
        <x:v>0</x:v>
      </x:c>
      <x:c r="D1042" t="n">
        <x:v>0</x:v>
      </x:c>
      <x:c r="E1042" s="18" t="n">
        <x:v>0</x:v>
      </x:c>
      <x:c r="F1042" s="18" t="n">
        <x:v>0</x:v>
      </x:c>
      <x:c r="G1042" s="18" t="n">
        <x:v>0</x:v>
      </x:c>
      <x:c r="H1042" s="18" t="n">
        <x:v>0</x:v>
      </x:c>
      <x:c r="I1042" s="18" t="n">
        <x:v>0</x:v>
      </x:c>
      <x:c r="J1042" t="n">
        <x:f>IF(A1042=A1041,IFERROR(IF(B1042=EDATE(B1041,1),C1041,0),0),0)</x:f>
        <x:v>0</x:v>
      </x:c>
      <x:c r="K1042" t="n">
        <x:f>IF(AND(J1042=1,C1042=0),1,0)</x:f>
        <x:v>0</x:v>
      </x:c>
      <x:c r="L1042" t="str">
        <x:f>IFERROR(INDEX(Customers!$C$2:$C$451,MATCH(A1042,Customers!$A$2:$A$451,0)),"Unknown")</x:f>
        <x:v>Standard</x:v>
      </x:c>
    </x:row>
    <x:row r="1043">
      <x:c r="A1043" t="n">
        <x:v>190</x:v>
      </x:c>
      <x:c r="B1043" s="16" t="n">
        <x:v>46174</x:v>
      </x:c>
      <x:c r="C1043" t="n">
        <x:v>1</x:v>
      </x:c>
      <x:c r="D1043" t="n">
        <x:v>11</x:v>
      </x:c>
      <x:c r="E1043" s="18" t="n">
        <x:v>427.37</x:v>
      </x:c>
      <x:c r="F1043" s="18" t="n">
        <x:v>0</x:v>
      </x:c>
      <x:c r="G1043" s="18" t="n">
        <x:v>1.92</x:v>
      </x:c>
      <x:c r="H1043" s="18" t="n">
        <x:v>0.38</x:v>
      </x:c>
      <x:c r="I1043" s="18" t="n">
        <x:v>2.3</x:v>
      </x:c>
      <x:c r="J1043" t="n">
        <x:f>IF(A1043=A1042,IFERROR(IF(B1043=EDATE(B1042,1),C1042,0),0),0)</x:f>
        <x:v>0</x:v>
      </x:c>
      <x:c r="K1043" t="n">
        <x:f>IF(AND(J1043=1,C1043=0),1,0)</x:f>
        <x:v>0</x:v>
      </x:c>
      <x:c r="L1043" t="str">
        <x:f>IFERROR(INDEX(Customers!$C$2:$C$451,MATCH(A1043,Customers!$A$2:$A$451,0)),"Unknown")</x:f>
        <x:v>Standard</x:v>
      </x:c>
    </x:row>
    <x:row r="1044">
      <x:c r="A1044" t="n">
        <x:v>190</x:v>
      </x:c>
      <x:c r="B1044" s="16" t="n">
        <x:v>46204</x:v>
      </x:c>
      <x:c r="C1044" t="n">
        <x:v>1</x:v>
      </x:c>
      <x:c r="D1044" t="n">
        <x:v>34</x:v>
      </x:c>
      <x:c r="E1044" s="18" t="n">
        <x:v>2173.9</x:v>
      </x:c>
      <x:c r="F1044" s="18" t="n">
        <x:v>0</x:v>
      </x:c>
      <x:c r="G1044" s="18" t="n">
        <x:v>9.78</x:v>
      </x:c>
      <x:c r="H1044" s="18" t="n">
        <x:v>2.72</x:v>
      </x:c>
      <x:c r="I1044" s="18" t="n">
        <x:v>12.5</x:v>
      </x:c>
      <x:c r="J1044" t="n">
        <x:f>IF(A1044=A1043,IFERROR(IF(B1044=EDATE(B1043,1),C1043,0),0),0)</x:f>
        <x:v>1</x:v>
      </x:c>
      <x:c r="K1044" t="n">
        <x:f>IF(AND(J1044=1,C1044=0),1,0)</x:f>
        <x:v>0</x:v>
      </x:c>
      <x:c r="L1044" t="str">
        <x:f>IFERROR(INDEX(Customers!$C$2:$C$451,MATCH(A1044,Customers!$A$2:$A$451,0)),"Unknown")</x:f>
        <x:v>Standard</x:v>
      </x:c>
    </x:row>
    <x:row r="1045">
      <x:c r="A1045" t="n">
        <x:v>190</x:v>
      </x:c>
      <x:c r="B1045" s="16" t="n">
        <x:v>46235</x:v>
      </x:c>
      <x:c r="C1045" t="n">
        <x:v>1</x:v>
      </x:c>
      <x:c r="D1045" t="n">
        <x:v>33</x:v>
      </x:c>
      <x:c r="E1045" s="18" t="n">
        <x:v>3260.44</x:v>
      </x:c>
      <x:c r="F1045" s="18" t="n">
        <x:v>0</x:v>
      </x:c>
      <x:c r="G1045" s="18" t="n">
        <x:v>14.67</x:v>
      </x:c>
      <x:c r="H1045" s="18" t="n">
        <x:v>6.53</x:v>
      </x:c>
      <x:c r="I1045" s="18" t="n">
        <x:v>21.2</x:v>
      </x:c>
      <x:c r="J1045" t="n">
        <x:f>IF(A1045=A1044,IFERROR(IF(B1045=EDATE(B1044,1),C1044,0),0),0)</x:f>
        <x:v>1</x:v>
      </x:c>
      <x:c r="K1045" t="n">
        <x:f>IF(AND(J1045=1,C1045=0),1,0)</x:f>
        <x:v>0</x:v>
      </x:c>
      <x:c r="L1045" t="str">
        <x:f>IFERROR(INDEX(Customers!$C$2:$C$451,MATCH(A1045,Customers!$A$2:$A$451,0)),"Unknown")</x:f>
        <x:v>Standard</x:v>
      </x:c>
    </x:row>
    <x:row r="1046">
      <x:c r="A1046" t="n">
        <x:v>190</x:v>
      </x:c>
      <x:c r="B1046" s="16" t="n">
        <x:v>46266</x:v>
      </x:c>
      <x:c r="C1046" t="n">
        <x:v>1</x:v>
      </x:c>
      <x:c r="D1046" t="n">
        <x:v>24</x:v>
      </x:c>
      <x:c r="E1046" s="18" t="n">
        <x:v>1997.24</x:v>
      </x:c>
      <x:c r="F1046" s="18" t="n">
        <x:v>0</x:v>
      </x:c>
      <x:c r="G1046" s="18" t="n">
        <x:v>8.99</x:v>
      </x:c>
      <x:c r="H1046" s="18" t="n">
        <x:v>5.93</x:v>
      </x:c>
      <x:c r="I1046" s="18" t="n">
        <x:v>14.92</x:v>
      </x:c>
      <x:c r="J1046" t="n">
        <x:f>IF(A1046=A1045,IFERROR(IF(B1046=EDATE(B1045,1),C1045,0),0),0)</x:f>
        <x:v>1</x:v>
      </x:c>
      <x:c r="K1046" t="n">
        <x:f>IF(AND(J1046=1,C1046=0),1,0)</x:f>
        <x:v>0</x:v>
      </x:c>
      <x:c r="L1046" t="str">
        <x:f>IFERROR(INDEX(Customers!$C$2:$C$451,MATCH(A1046,Customers!$A$2:$A$451,0)),"Unknown")</x:f>
        <x:v>Standard</x:v>
      </x:c>
    </x:row>
    <x:row r="1047">
      <x:c r="A1047" t="n">
        <x:v>191</x:v>
      </x:c>
      <x:c r="B1047" s="16" t="n">
        <x:v>46113</x:v>
      </x:c>
      <x:c r="C1047" t="n">
        <x:v>1</x:v>
      </x:c>
      <x:c r="D1047" t="n">
        <x:v>25</x:v>
      </x:c>
      <x:c r="E1047" s="18" t="n">
        <x:v>1586.69</x:v>
      </x:c>
      <x:c r="F1047" s="18" t="n">
        <x:v>0</x:v>
      </x:c>
      <x:c r="G1047" s="18" t="n">
        <x:v>7.14</x:v>
      </x:c>
      <x:c r="H1047" s="18" t="n">
        <x:v>1.29</x:v>
      </x:c>
      <x:c r="I1047" s="18" t="n">
        <x:v>8.43</x:v>
      </x:c>
      <x:c r="J1047" t="n">
        <x:f>IF(A1047=A1046,IFERROR(IF(B1047=EDATE(B1046,1),C1046,0),0),0)</x:f>
        <x:v>0</x:v>
      </x:c>
      <x:c r="K1047" t="n">
        <x:f>IF(AND(J1047=1,C1047=0),1,0)</x:f>
        <x:v>0</x:v>
      </x:c>
      <x:c r="L1047" t="str">
        <x:f>IFERROR(INDEX(Customers!$C$2:$C$451,MATCH(A1047,Customers!$A$2:$A$451,0)),"Unknown")</x:f>
        <x:v>Standard</x:v>
      </x:c>
    </x:row>
    <x:row r="1048">
      <x:c r="A1048" t="n">
        <x:v>191</x:v>
      </x:c>
      <x:c r="B1048" s="16" t="n">
        <x:v>46143</x:v>
      </x:c>
      <x:c r="C1048" t="n">
        <x:v>1</x:v>
      </x:c>
      <x:c r="D1048" t="n">
        <x:v>20</x:v>
      </x:c>
      <x:c r="E1048" s="18" t="n">
        <x:v>2091.36</x:v>
      </x:c>
      <x:c r="F1048" s="18" t="n">
        <x:v>0</x:v>
      </x:c>
      <x:c r="G1048" s="18" t="n">
        <x:v>9.41</x:v>
      </x:c>
      <x:c r="H1048" s="18" t="n">
        <x:v>2.34</x:v>
      </x:c>
      <x:c r="I1048" s="18" t="n">
        <x:v>11.75</x:v>
      </x:c>
      <x:c r="J1048" t="n">
        <x:f>IF(A1048=A1047,IFERROR(IF(B1048=EDATE(B1047,1),C1047,0),0),0)</x:f>
        <x:v>1</x:v>
      </x:c>
      <x:c r="K1048" t="n">
        <x:f>IF(AND(J1048=1,C1048=0),1,0)</x:f>
        <x:v>0</x:v>
      </x:c>
      <x:c r="L1048" t="str">
        <x:f>IFERROR(INDEX(Customers!$C$2:$C$451,MATCH(A1048,Customers!$A$2:$A$451,0)),"Unknown")</x:f>
        <x:v>Standard</x:v>
      </x:c>
    </x:row>
    <x:row r="1049">
      <x:c r="A1049" t="n">
        <x:v>191</x:v>
      </x:c>
      <x:c r="B1049" s="16" t="n">
        <x:v>46174</x:v>
      </x:c>
      <x:c r="C1049" t="n">
        <x:v>1</x:v>
      </x:c>
      <x:c r="D1049" t="n">
        <x:v>25</x:v>
      </x:c>
      <x:c r="E1049" s="18" t="n">
        <x:v>1218.88</x:v>
      </x:c>
      <x:c r="F1049" s="18" t="n">
        <x:v>0</x:v>
      </x:c>
      <x:c r="G1049" s="18" t="n">
        <x:v>5.48</x:v>
      </x:c>
      <x:c r="H1049" s="18" t="n">
        <x:v>2.5</x:v>
      </x:c>
      <x:c r="I1049" s="18" t="n">
        <x:v>7.98</x:v>
      </x:c>
      <x:c r="J1049" t="n">
        <x:f>IF(A1049=A1048,IFERROR(IF(B1049=EDATE(B1048,1),C1048,0),0),0)</x:f>
        <x:v>1</x:v>
      </x:c>
      <x:c r="K1049" t="n">
        <x:f>IF(AND(J1049=1,C1049=0),1,0)</x:f>
        <x:v>0</x:v>
      </x:c>
      <x:c r="L1049" t="str">
        <x:f>IFERROR(INDEX(Customers!$C$2:$C$451,MATCH(A1049,Customers!$A$2:$A$451,0)),"Unknown")</x:f>
        <x:v>Standard</x:v>
      </x:c>
    </x:row>
    <x:row r="1050">
      <x:c r="A1050" t="n">
        <x:v>191</x:v>
      </x:c>
      <x:c r="B1050" s="16" t="n">
        <x:v>46204</x:v>
      </x:c>
      <x:c r="C1050" t="n">
        <x:v>1</x:v>
      </x:c>
      <x:c r="D1050" t="n">
        <x:v>18</x:v>
      </x:c>
      <x:c r="E1050" s="18" t="n">
        <x:v>1457.59</x:v>
      </x:c>
      <x:c r="F1050" s="18" t="n">
        <x:v>0</x:v>
      </x:c>
      <x:c r="G1050" s="18" t="n">
        <x:v>6.56</x:v>
      </x:c>
      <x:c r="H1050" s="18" t="n">
        <x:v>2.02</x:v>
      </x:c>
      <x:c r="I1050" s="18" t="n">
        <x:v>8.58</x:v>
      </x:c>
      <x:c r="J1050" t="n">
        <x:f>IF(A1050=A1049,IFERROR(IF(B1050=EDATE(B1049,1),C1049,0),0),0)</x:f>
        <x:v>1</x:v>
      </x:c>
      <x:c r="K1050" t="n">
        <x:f>IF(AND(J1050=1,C1050=0),1,0)</x:f>
        <x:v>0</x:v>
      </x:c>
      <x:c r="L1050" t="str">
        <x:f>IFERROR(INDEX(Customers!$C$2:$C$451,MATCH(A1050,Customers!$A$2:$A$451,0)),"Unknown")</x:f>
        <x:v>Standard</x:v>
      </x:c>
    </x:row>
    <x:row r="1051">
      <x:c r="A1051" t="n">
        <x:v>191</x:v>
      </x:c>
      <x:c r="B1051" s="16" t="n">
        <x:v>46235</x:v>
      </x:c>
      <x:c r="C1051" t="n">
        <x:v>0</x:v>
      </x:c>
      <x:c r="D1051" t="n">
        <x:v>0</x:v>
      </x:c>
      <x:c r="E1051" s="18" t="n">
        <x:v>0</x:v>
      </x:c>
      <x:c r="F1051" s="18" t="n">
        <x:v>0</x:v>
      </x:c>
      <x:c r="G1051" s="18" t="n">
        <x:v>0</x:v>
      </x:c>
      <x:c r="H1051" s="18" t="n">
        <x:v>0</x:v>
      </x:c>
      <x:c r="I1051" s="18" t="n">
        <x:v>0</x:v>
      </x:c>
      <x:c r="J1051" t="n">
        <x:f>IF(A1051=A1050,IFERROR(IF(B1051=EDATE(B1050,1),C1050,0),0),0)</x:f>
        <x:v>1</x:v>
      </x:c>
      <x:c r="K1051" t="n">
        <x:f>IF(AND(J1051=1,C1051=0),1,0)</x:f>
        <x:v>1</x:v>
      </x:c>
      <x:c r="L1051" t="str">
        <x:f>IFERROR(INDEX(Customers!$C$2:$C$451,MATCH(A1051,Customers!$A$2:$A$451,0)),"Unknown")</x:f>
        <x:v>Standard</x:v>
      </x:c>
    </x:row>
    <x:row r="1052">
      <x:c r="A1052" t="n">
        <x:v>191</x:v>
      </x:c>
      <x:c r="B1052" s="16" t="n">
        <x:v>46266</x:v>
      </x:c>
      <x:c r="C1052" t="n">
        <x:v>1</x:v>
      </x:c>
      <x:c r="D1052" t="n">
        <x:v>31</x:v>
      </x:c>
      <x:c r="E1052" s="18" t="n">
        <x:v>1893.52</x:v>
      </x:c>
      <x:c r="F1052" s="18" t="n">
        <x:v>0</x:v>
      </x:c>
      <x:c r="G1052" s="18" t="n">
        <x:v>8.52</x:v>
      </x:c>
      <x:c r="H1052" s="18" t="n">
        <x:v>5.12</x:v>
      </x:c>
      <x:c r="I1052" s="18" t="n">
        <x:v>13.64</x:v>
      </x:c>
      <x:c r="J1052" t="n">
        <x:f>IF(A1052=A1051,IFERROR(IF(B1052=EDATE(B1051,1),C1051,0),0),0)</x:f>
        <x:v>0</x:v>
      </x:c>
      <x:c r="K1052" t="n">
        <x:f>IF(AND(J1052=1,C1052=0),1,0)</x:f>
        <x:v>0</x:v>
      </x:c>
      <x:c r="L1052" t="str">
        <x:f>IFERROR(INDEX(Customers!$C$2:$C$451,MATCH(A1052,Customers!$A$2:$A$451,0)),"Unknown")</x:f>
        <x:v>Standard</x:v>
      </x:c>
    </x:row>
    <x:row r="1053">
      <x:c r="A1053" t="n">
        <x:v>192</x:v>
      </x:c>
      <x:c r="B1053" s="16" t="n">
        <x:v>46143</x:v>
      </x:c>
      <x:c r="C1053" t="n">
        <x:v>1</x:v>
      </x:c>
      <x:c r="D1053" t="n">
        <x:v>8</x:v>
      </x:c>
      <x:c r="E1053" s="18" t="n">
        <x:v>339.2</x:v>
      </x:c>
      <x:c r="F1053" s="18" t="n">
        <x:v>0</x:v>
      </x:c>
      <x:c r="G1053" s="18" t="n">
        <x:v>1.53</x:v>
      </x:c>
      <x:c r="H1053" s="18" t="n">
        <x:v>0.72</x:v>
      </x:c>
      <x:c r="I1053" s="18" t="n">
        <x:v>2.25</x:v>
      </x:c>
      <x:c r="J1053" t="n">
        <x:f>IF(A1053=A1052,IFERROR(IF(B1053=EDATE(B1052,1),C1052,0),0),0)</x:f>
        <x:v>0</x:v>
      </x:c>
      <x:c r="K1053" t="n">
        <x:f>IF(AND(J1053=1,C1053=0),1,0)</x:f>
        <x:v>0</x:v>
      </x:c>
      <x:c r="L1053" t="str">
        <x:f>IFERROR(INDEX(Customers!$C$2:$C$451,MATCH(A1053,Customers!$A$2:$A$451,0)),"Unknown")</x:f>
        <x:v>Standard</x:v>
      </x:c>
    </x:row>
    <x:row r="1054">
      <x:c r="A1054" t="n">
        <x:v>192</x:v>
      </x:c>
      <x:c r="B1054" s="16" t="n">
        <x:v>46174</x:v>
      </x:c>
      <x:c r="C1054" t="n">
        <x:v>0</x:v>
      </x:c>
      <x:c r="D1054" t="n">
        <x:v>0</x:v>
      </x:c>
      <x:c r="E1054" s="18" t="n">
        <x:v>0</x:v>
      </x:c>
      <x:c r="F1054" s="18" t="n">
        <x:v>0</x:v>
      </x:c>
      <x:c r="G1054" s="18" t="n">
        <x:v>0</x:v>
      </x:c>
      <x:c r="H1054" s="18" t="n">
        <x:v>0</x:v>
      </x:c>
      <x:c r="I1054" s="18" t="n">
        <x:v>0</x:v>
      </x:c>
      <x:c r="J1054" t="n">
        <x:f>IF(A1054=A1053,IFERROR(IF(B1054=EDATE(B1053,1),C1053,0),0),0)</x:f>
        <x:v>1</x:v>
      </x:c>
      <x:c r="K1054" t="n">
        <x:f>IF(AND(J1054=1,C1054=0),1,0)</x:f>
        <x:v>1</x:v>
      </x:c>
      <x:c r="L1054" t="str">
        <x:f>IFERROR(INDEX(Customers!$C$2:$C$451,MATCH(A1054,Customers!$A$2:$A$451,0)),"Unknown")</x:f>
        <x:v>Standard</x:v>
      </x:c>
    </x:row>
    <x:row r="1055">
      <x:c r="A1055" t="n">
        <x:v>192</x:v>
      </x:c>
      <x:c r="B1055" s="16" t="n">
        <x:v>46204</x:v>
      </x:c>
      <x:c r="C1055" t="n">
        <x:v>1</x:v>
      </x:c>
      <x:c r="D1055" t="n">
        <x:v>26</x:v>
      </x:c>
      <x:c r="E1055" s="18" t="n">
        <x:v>3185.91</x:v>
      </x:c>
      <x:c r="F1055" s="18" t="n">
        <x:v>0</x:v>
      </x:c>
      <x:c r="G1055" s="18" t="n">
        <x:v>14.34</x:v>
      </x:c>
      <x:c r="H1055" s="18" t="n">
        <x:v>11.31</x:v>
      </x:c>
      <x:c r="I1055" s="18" t="n">
        <x:v>25.65</x:v>
      </x:c>
      <x:c r="J1055" t="n">
        <x:f>IF(A1055=A1054,IFERROR(IF(B1055=EDATE(B1054,1),C1054,0),0),0)</x:f>
        <x:v>0</x:v>
      </x:c>
      <x:c r="K1055" t="n">
        <x:f>IF(AND(J1055=1,C1055=0),1,0)</x:f>
        <x:v>0</x:v>
      </x:c>
      <x:c r="L1055" t="str">
        <x:f>IFERROR(INDEX(Customers!$C$2:$C$451,MATCH(A1055,Customers!$A$2:$A$451,0)),"Unknown")</x:f>
        <x:v>Standard</x:v>
      </x:c>
    </x:row>
    <x:row r="1056">
      <x:c r="A1056" t="n">
        <x:v>192</x:v>
      </x:c>
      <x:c r="B1056" s="16" t="n">
        <x:v>46235</x:v>
      </x:c>
      <x:c r="C1056" t="n">
        <x:v>1</x:v>
      </x:c>
      <x:c r="D1056" t="n">
        <x:v>19</x:v>
      </x:c>
      <x:c r="E1056" s="18" t="n">
        <x:v>2498.99</x:v>
      </x:c>
      <x:c r="F1056" s="18" t="n">
        <x:v>0</x:v>
      </x:c>
      <x:c r="G1056" s="18" t="n">
        <x:v>11.25</x:v>
      </x:c>
      <x:c r="H1056" s="18" t="n">
        <x:v>6.18</x:v>
      </x:c>
      <x:c r="I1056" s="18" t="n">
        <x:v>17.43</x:v>
      </x:c>
      <x:c r="J1056" t="n">
        <x:f>IF(A1056=A1055,IFERROR(IF(B1056=EDATE(B1055,1),C1055,0),0),0)</x:f>
        <x:v>1</x:v>
      </x:c>
      <x:c r="K1056" t="n">
        <x:f>IF(AND(J1056=1,C1056=0),1,0)</x:f>
        <x:v>0</x:v>
      </x:c>
      <x:c r="L1056" t="str">
        <x:f>IFERROR(INDEX(Customers!$C$2:$C$451,MATCH(A1056,Customers!$A$2:$A$451,0)),"Unknown")</x:f>
        <x:v>Standard</x:v>
      </x:c>
    </x:row>
    <x:row r="1057">
      <x:c r="A1057" t="n">
        <x:v>192</x:v>
      </x:c>
      <x:c r="B1057" s="16" t="n">
        <x:v>46266</x:v>
      </x:c>
      <x:c r="C1057" t="n">
        <x:v>0</x:v>
      </x:c>
      <x:c r="D1057" t="n">
        <x:v>0</x:v>
      </x:c>
      <x:c r="E1057" s="18" t="n">
        <x:v>0</x:v>
      </x:c>
      <x:c r="F1057" s="18" t="n">
        <x:v>0</x:v>
      </x:c>
      <x:c r="G1057" s="18" t="n">
        <x:v>0</x:v>
      </x:c>
      <x:c r="H1057" s="18" t="n">
        <x:v>0</x:v>
      </x:c>
      <x:c r="I1057" s="18" t="n">
        <x:v>0</x:v>
      </x:c>
      <x:c r="J1057" t="n">
        <x:f>IF(A1057=A1056,IFERROR(IF(B1057=EDATE(B1056,1),C1056,0),0),0)</x:f>
        <x:v>1</x:v>
      </x:c>
      <x:c r="K1057" t="n">
        <x:f>IF(AND(J1057=1,C1057=0),1,0)</x:f>
        <x:v>1</x:v>
      </x:c>
      <x:c r="L1057" t="str">
        <x:f>IFERROR(INDEX(Customers!$C$2:$C$451,MATCH(A1057,Customers!$A$2:$A$451,0)),"Unknown")</x:f>
        <x:v>Standard</x:v>
      </x:c>
    </x:row>
    <x:row r="1058">
      <x:c r="A1058" t="n">
        <x:v>193</x:v>
      </x:c>
      <x:c r="B1058" s="16" t="n">
        <x:v>46174</x:v>
      </x:c>
      <x:c r="C1058" t="n">
        <x:v>1</x:v>
      </x:c>
      <x:c r="D1058" t="n">
        <x:v>26</x:v>
      </x:c>
      <x:c r="E1058" s="18" t="n">
        <x:v>1598.41</x:v>
      </x:c>
      <x:c r="F1058" s="18" t="n">
        <x:v>17</x:v>
      </x:c>
      <x:c r="G1058" s="18" t="n">
        <x:v>7.19</x:v>
      </x:c>
      <x:c r="H1058" s="18" t="n">
        <x:v>5.62</x:v>
      </x:c>
      <x:c r="I1058" s="18" t="n">
        <x:v>29.81</x:v>
      </x:c>
      <x:c r="J1058" t="n">
        <x:f>IF(A1058=A1057,IFERROR(IF(B1058=EDATE(B1057,1),C1057,0),0),0)</x:f>
        <x:v>0</x:v>
      </x:c>
      <x:c r="K1058" t="n">
        <x:f>IF(AND(J1058=1,C1058=0),1,0)</x:f>
        <x:v>0</x:v>
      </x:c>
      <x:c r="L1058" t="str">
        <x:f>IFERROR(INDEX(Customers!$C$2:$C$451,MATCH(A1058,Customers!$A$2:$A$451,0)),"Unknown")</x:f>
        <x:v>Premium</x:v>
      </x:c>
    </x:row>
    <x:row r="1059">
      <x:c r="A1059" t="n">
        <x:v>193</x:v>
      </x:c>
      <x:c r="B1059" s="16" t="n">
        <x:v>46204</x:v>
      </x:c>
      <x:c r="C1059" t="n">
        <x:v>1</x:v>
      </x:c>
      <x:c r="D1059" t="n">
        <x:v>26</x:v>
      </x:c>
      <x:c r="E1059" s="18" t="n">
        <x:v>2454.16</x:v>
      </x:c>
      <x:c r="F1059" s="18" t="n">
        <x:v>17</x:v>
      </x:c>
      <x:c r="G1059" s="18" t="n">
        <x:v>11.04</x:v>
      </x:c>
      <x:c r="H1059" s="18" t="n">
        <x:v>6.94</x:v>
      </x:c>
      <x:c r="I1059" s="18" t="n">
        <x:v>34.98</x:v>
      </x:c>
      <x:c r="J1059" t="n">
        <x:f>IF(A1059=A1058,IFERROR(IF(B1059=EDATE(B1058,1),C1058,0),0),0)</x:f>
        <x:v>1</x:v>
      </x:c>
      <x:c r="K1059" t="n">
        <x:f>IF(AND(J1059=1,C1059=0),1,0)</x:f>
        <x:v>0</x:v>
      </x:c>
      <x:c r="L1059" t="str">
        <x:f>IFERROR(INDEX(Customers!$C$2:$C$451,MATCH(A1059,Customers!$A$2:$A$451,0)),"Unknown")</x:f>
        <x:v>Premium</x:v>
      </x:c>
    </x:row>
    <x:row r="1060">
      <x:c r="A1060" t="n">
        <x:v>193</x:v>
      </x:c>
      <x:c r="B1060" s="16" t="n">
        <x:v>46235</x:v>
      </x:c>
      <x:c r="C1060" t="n">
        <x:v>1</x:v>
      </x:c>
      <x:c r="D1060" t="n">
        <x:v>13</x:v>
      </x:c>
      <x:c r="E1060" s="18" t="n">
        <x:v>907.43</x:v>
      </x:c>
      <x:c r="F1060" s="18" t="n">
        <x:v>17</x:v>
      </x:c>
      <x:c r="G1060" s="18" t="n">
        <x:v>4.08</x:v>
      </x:c>
      <x:c r="H1060" s="18" t="n">
        <x:v>3.3</x:v>
      </x:c>
      <x:c r="I1060" s="18" t="n">
        <x:v>24.38</x:v>
      </x:c>
      <x:c r="J1060" t="n">
        <x:f>IF(A1060=A1059,IFERROR(IF(B1060=EDATE(B1059,1),C1059,0),0),0)</x:f>
        <x:v>1</x:v>
      </x:c>
      <x:c r="K1060" t="n">
        <x:f>IF(AND(J1060=1,C1060=0),1,0)</x:f>
        <x:v>0</x:v>
      </x:c>
      <x:c r="L1060" t="str">
        <x:f>IFERROR(INDEX(Customers!$C$2:$C$451,MATCH(A1060,Customers!$A$2:$A$451,0)),"Unknown")</x:f>
        <x:v>Premium</x:v>
      </x:c>
    </x:row>
    <x:row r="1061">
      <x:c r="A1061" t="n">
        <x:v>193</x:v>
      </x:c>
      <x:c r="B1061" s="16" t="n">
        <x:v>46266</x:v>
      </x:c>
      <x:c r="C1061" t="n">
        <x:v>1</x:v>
      </x:c>
      <x:c r="D1061" t="n">
        <x:v>27</x:v>
      </x:c>
      <x:c r="E1061" s="18" t="n">
        <x:v>3684.82</x:v>
      </x:c>
      <x:c r="F1061" s="18" t="n">
        <x:v>17</x:v>
      </x:c>
      <x:c r="G1061" s="18" t="n">
        <x:v>16.58</x:v>
      </x:c>
      <x:c r="H1061" s="18" t="n">
        <x:v>4.24</x:v>
      </x:c>
      <x:c r="I1061" s="18" t="n">
        <x:v>37.82</x:v>
      </x:c>
      <x:c r="J1061" t="n">
        <x:f>IF(A1061=A1060,IFERROR(IF(B1061=EDATE(B1060,1),C1060,0),0),0)</x:f>
        <x:v>1</x:v>
      </x:c>
      <x:c r="K1061" t="n">
        <x:f>IF(AND(J1061=1,C1061=0),1,0)</x:f>
        <x:v>0</x:v>
      </x:c>
      <x:c r="L1061" t="str">
        <x:f>IFERROR(INDEX(Customers!$C$2:$C$451,MATCH(A1061,Customers!$A$2:$A$451,0)),"Unknown")</x:f>
        <x:v>Premium</x:v>
      </x:c>
    </x:row>
    <x:row r="1062">
      <x:c r="A1062" t="n">
        <x:v>194</x:v>
      </x:c>
      <x:c r="B1062" s="16" t="n">
        <x:v>46113</x:v>
      </x:c>
      <x:c r="C1062" t="n">
        <x:v>0</x:v>
      </x:c>
      <x:c r="D1062" t="n">
        <x:v>0</x:v>
      </x:c>
      <x:c r="E1062" s="18" t="n">
        <x:v>0</x:v>
      </x:c>
      <x:c r="F1062" s="18" t="n">
        <x:v>0</x:v>
      </x:c>
      <x:c r="G1062" s="18" t="n">
        <x:v>0</x:v>
      </x:c>
      <x:c r="H1062" s="18" t="n">
        <x:v>0</x:v>
      </x:c>
      <x:c r="I1062" s="18" t="n">
        <x:v>0</x:v>
      </x:c>
      <x:c r="J1062" t="n">
        <x:f>IF(A1062=A1061,IFERROR(IF(B1062=EDATE(B1061,1),C1061,0),0),0)</x:f>
        <x:v>0</x:v>
      </x:c>
      <x:c r="K1062" t="n">
        <x:f>IF(AND(J1062=1,C1062=0),1,0)</x:f>
        <x:v>0</x:v>
      </x:c>
      <x:c r="L1062" t="str">
        <x:f>IFERROR(INDEX(Customers!$C$2:$C$451,MATCH(A1062,Customers!$A$2:$A$451,0)),"Unknown")</x:f>
        <x:v>Plus</x:v>
      </x:c>
    </x:row>
    <x:row r="1063">
      <x:c r="A1063" t="n">
        <x:v>194</x:v>
      </x:c>
      <x:c r="B1063" s="16" t="n">
        <x:v>46143</x:v>
      </x:c>
      <x:c r="C1063" t="n">
        <x:v>1</x:v>
      </x:c>
      <x:c r="D1063" t="n">
        <x:v>18</x:v>
      </x:c>
      <x:c r="E1063" s="18" t="n">
        <x:v>1364.83</x:v>
      </x:c>
      <x:c r="F1063" s="18" t="n">
        <x:v>8</x:v>
      </x:c>
      <x:c r="G1063" s="18" t="n">
        <x:v>6.14</x:v>
      </x:c>
      <x:c r="H1063" s="18" t="n">
        <x:v>4.7</x:v>
      </x:c>
      <x:c r="I1063" s="18" t="n">
        <x:v>18.84</x:v>
      </x:c>
      <x:c r="J1063" t="n">
        <x:f>IF(A1063=A1062,IFERROR(IF(B1063=EDATE(B1062,1),C1062,0),0),0)</x:f>
        <x:v>0</x:v>
      </x:c>
      <x:c r="K1063" t="n">
        <x:f>IF(AND(J1063=1,C1063=0),1,0)</x:f>
        <x:v>0</x:v>
      </x:c>
      <x:c r="L1063" t="str">
        <x:f>IFERROR(INDEX(Customers!$C$2:$C$451,MATCH(A1063,Customers!$A$2:$A$451,0)),"Unknown")</x:f>
        <x:v>Plus</x:v>
      </x:c>
    </x:row>
    <x:row r="1064">
      <x:c r="A1064" t="n">
        <x:v>194</x:v>
      </x:c>
      <x:c r="B1064" s="16" t="n">
        <x:v>46174</x:v>
      </x:c>
      <x:c r="C1064" t="n">
        <x:v>1</x:v>
      </x:c>
      <x:c r="D1064" t="n">
        <x:v>20</x:v>
      </x:c>
      <x:c r="E1064" s="18" t="n">
        <x:v>2743.34</x:v>
      </x:c>
      <x:c r="F1064" s="18" t="n">
        <x:v>8</x:v>
      </x:c>
      <x:c r="G1064" s="18" t="n">
        <x:v>12.35</x:v>
      </x:c>
      <x:c r="H1064" s="18" t="n">
        <x:v>3.06</x:v>
      </x:c>
      <x:c r="I1064" s="18" t="n">
        <x:v>23.41</x:v>
      </x:c>
      <x:c r="J1064" t="n">
        <x:f>IF(A1064=A1063,IFERROR(IF(B1064=EDATE(B1063,1),C1063,0),0),0)</x:f>
        <x:v>1</x:v>
      </x:c>
      <x:c r="K1064" t="n">
        <x:f>IF(AND(J1064=1,C1064=0),1,0)</x:f>
        <x:v>0</x:v>
      </x:c>
      <x:c r="L1064" t="str">
        <x:f>IFERROR(INDEX(Customers!$C$2:$C$451,MATCH(A1064,Customers!$A$2:$A$451,0)),"Unknown")</x:f>
        <x:v>Plus</x:v>
      </x:c>
    </x:row>
    <x:row r="1065">
      <x:c r="A1065" t="n">
        <x:v>194</x:v>
      </x:c>
      <x:c r="B1065" s="16" t="n">
        <x:v>46204</x:v>
      </x:c>
      <x:c r="C1065" t="n">
        <x:v>0</x:v>
      </x:c>
      <x:c r="D1065" t="n">
        <x:v>0</x:v>
      </x:c>
      <x:c r="E1065" s="18" t="n">
        <x:v>0</x:v>
      </x:c>
      <x:c r="F1065" s="18" t="n">
        <x:v>0</x:v>
      </x:c>
      <x:c r="G1065" s="18" t="n">
        <x:v>0</x:v>
      </x:c>
      <x:c r="H1065" s="18" t="n">
        <x:v>0</x:v>
      </x:c>
      <x:c r="I1065" s="18" t="n">
        <x:v>0</x:v>
      </x:c>
      <x:c r="J1065" t="n">
        <x:f>IF(A1065=A1064,IFERROR(IF(B1065=EDATE(B1064,1),C1064,0),0),0)</x:f>
        <x:v>1</x:v>
      </x:c>
      <x:c r="K1065" t="n">
        <x:f>IF(AND(J1065=1,C1065=0),1,0)</x:f>
        <x:v>1</x:v>
      </x:c>
      <x:c r="L1065" t="str">
        <x:f>IFERROR(INDEX(Customers!$C$2:$C$451,MATCH(A1065,Customers!$A$2:$A$451,0)),"Unknown")</x:f>
        <x:v>Plus</x:v>
      </x:c>
    </x:row>
    <x:row r="1066">
      <x:c r="A1066" t="n">
        <x:v>194</x:v>
      </x:c>
      <x:c r="B1066" s="16" t="n">
        <x:v>46235</x:v>
      </x:c>
      <x:c r="C1066" t="n">
        <x:v>1</x:v>
      </x:c>
      <x:c r="D1066" t="n">
        <x:v>17</x:v>
      </x:c>
      <x:c r="E1066" s="18" t="n">
        <x:v>1446.58</x:v>
      </x:c>
      <x:c r="F1066" s="18" t="n">
        <x:v>8</x:v>
      </x:c>
      <x:c r="G1066" s="18" t="n">
        <x:v>6.51</x:v>
      </x:c>
      <x:c r="H1066" s="18" t="n">
        <x:v>1.3</x:v>
      </x:c>
      <x:c r="I1066" s="18" t="n">
        <x:v>15.81</x:v>
      </x:c>
      <x:c r="J1066" t="n">
        <x:f>IF(A1066=A1065,IFERROR(IF(B1066=EDATE(B1065,1),C1065,0),0),0)</x:f>
        <x:v>0</x:v>
      </x:c>
      <x:c r="K1066" t="n">
        <x:f>IF(AND(J1066=1,C1066=0),1,0)</x:f>
        <x:v>0</x:v>
      </x:c>
      <x:c r="L1066" t="str">
        <x:f>IFERROR(INDEX(Customers!$C$2:$C$451,MATCH(A1066,Customers!$A$2:$A$451,0)),"Unknown")</x:f>
        <x:v>Plus</x:v>
      </x:c>
    </x:row>
    <x:row r="1067">
      <x:c r="A1067" t="n">
        <x:v>194</x:v>
      </x:c>
      <x:c r="B1067" s="16" t="n">
        <x:v>46266</x:v>
      </x:c>
      <x:c r="C1067" t="n">
        <x:v>0</x:v>
      </x:c>
      <x:c r="D1067" t="n">
        <x:v>0</x:v>
      </x:c>
      <x:c r="E1067" s="18" t="n">
        <x:v>0</x:v>
      </x:c>
      <x:c r="F1067" s="18" t="n">
        <x:v>0</x:v>
      </x:c>
      <x:c r="G1067" s="18" t="n">
        <x:v>0</x:v>
      </x:c>
      <x:c r="H1067" s="18" t="n">
        <x:v>0</x:v>
      </x:c>
      <x:c r="I1067" s="18" t="n">
        <x:v>0</x:v>
      </x:c>
      <x:c r="J1067" t="n">
        <x:f>IF(A1067=A1066,IFERROR(IF(B1067=EDATE(B1066,1),C1066,0),0),0)</x:f>
        <x:v>1</x:v>
      </x:c>
      <x:c r="K1067" t="n">
        <x:f>IF(AND(J1067=1,C1067=0),1,0)</x:f>
        <x:v>1</x:v>
      </x:c>
      <x:c r="L1067" t="str">
        <x:f>IFERROR(INDEX(Customers!$C$2:$C$451,MATCH(A1067,Customers!$A$2:$A$451,0)),"Unknown")</x:f>
        <x:v>Plus</x:v>
      </x:c>
    </x:row>
    <x:row r="1068">
      <x:c r="A1068" t="n">
        <x:v>195</x:v>
      </x:c>
      <x:c r="B1068" s="16" t="n">
        <x:v>46113</x:v>
      </x:c>
      <x:c r="C1068" t="n">
        <x:v>0</x:v>
      </x:c>
      <x:c r="D1068" t="n">
        <x:v>0</x:v>
      </x:c>
      <x:c r="E1068" s="18" t="n">
        <x:v>0</x:v>
      </x:c>
      <x:c r="F1068" s="18" t="n">
        <x:v>0</x:v>
      </x:c>
      <x:c r="G1068" s="18" t="n">
        <x:v>0</x:v>
      </x:c>
      <x:c r="H1068" s="18" t="n">
        <x:v>0</x:v>
      </x:c>
      <x:c r="I1068" s="18" t="n">
        <x:v>0</x:v>
      </x:c>
      <x:c r="J1068" t="n">
        <x:f>IF(A1068=A1067,IFERROR(IF(B1068=EDATE(B1067,1),C1067,0),0),0)</x:f>
        <x:v>0</x:v>
      </x:c>
      <x:c r="K1068" t="n">
        <x:f>IF(AND(J1068=1,C1068=0),1,0)</x:f>
        <x:v>0</x:v>
      </x:c>
      <x:c r="L1068" t="str">
        <x:f>IFERROR(INDEX(Customers!$C$2:$C$451,MATCH(A1068,Customers!$A$2:$A$451,0)),"Unknown")</x:f>
        <x:v>Standard</x:v>
      </x:c>
    </x:row>
    <x:row r="1069">
      <x:c r="A1069" t="n">
        <x:v>195</x:v>
      </x:c>
      <x:c r="B1069" s="16" t="n">
        <x:v>46143</x:v>
      </x:c>
      <x:c r="C1069" t="n">
        <x:v>1</x:v>
      </x:c>
      <x:c r="D1069" t="n">
        <x:v>26</x:v>
      </x:c>
      <x:c r="E1069" s="18" t="n">
        <x:v>2432.76</x:v>
      </x:c>
      <x:c r="F1069" s="18" t="n">
        <x:v>0</x:v>
      </x:c>
      <x:c r="G1069" s="18" t="n">
        <x:v>10.95</x:v>
      </x:c>
      <x:c r="H1069" s="18" t="n">
        <x:v>8.97</x:v>
      </x:c>
      <x:c r="I1069" s="18" t="n">
        <x:v>19.92</x:v>
      </x:c>
      <x:c r="J1069" t="n">
        <x:f>IF(A1069=A1068,IFERROR(IF(B1069=EDATE(B1068,1),C1068,0),0),0)</x:f>
        <x:v>0</x:v>
      </x:c>
      <x:c r="K1069" t="n">
        <x:f>IF(AND(J1069=1,C1069=0),1,0)</x:f>
        <x:v>0</x:v>
      </x:c>
      <x:c r="L1069" t="str">
        <x:f>IFERROR(INDEX(Customers!$C$2:$C$451,MATCH(A1069,Customers!$A$2:$A$451,0)),"Unknown")</x:f>
        <x:v>Standard</x:v>
      </x:c>
    </x:row>
    <x:row r="1070">
      <x:c r="A1070" t="n">
        <x:v>195</x:v>
      </x:c>
      <x:c r="B1070" s="16" t="n">
        <x:v>46174</x:v>
      </x:c>
      <x:c r="C1070" t="n">
        <x:v>1</x:v>
      </x:c>
      <x:c r="D1070" t="n">
        <x:v>24</x:v>
      </x:c>
      <x:c r="E1070" s="18" t="n">
        <x:v>1919.84</x:v>
      </x:c>
      <x:c r="F1070" s="18" t="n">
        <x:v>0</x:v>
      </x:c>
      <x:c r="G1070" s="18" t="n">
        <x:v>8.64</x:v>
      </x:c>
      <x:c r="H1070" s="18" t="n">
        <x:v>1.64</x:v>
      </x:c>
      <x:c r="I1070" s="18" t="n">
        <x:v>10.28</x:v>
      </x:c>
      <x:c r="J1070" t="n">
        <x:f>IF(A1070=A1069,IFERROR(IF(B1070=EDATE(B1069,1),C1069,0),0),0)</x:f>
        <x:v>1</x:v>
      </x:c>
      <x:c r="K1070" t="n">
        <x:f>IF(AND(J1070=1,C1070=0),1,0)</x:f>
        <x:v>0</x:v>
      </x:c>
      <x:c r="L1070" t="str">
        <x:f>IFERROR(INDEX(Customers!$C$2:$C$451,MATCH(A1070,Customers!$A$2:$A$451,0)),"Unknown")</x:f>
        <x:v>Standard</x:v>
      </x:c>
    </x:row>
    <x:row r="1071">
      <x:c r="A1071" t="n">
        <x:v>195</x:v>
      </x:c>
      <x:c r="B1071" s="16" t="n">
        <x:v>46204</x:v>
      </x:c>
      <x:c r="C1071" t="n">
        <x:v>1</x:v>
      </x:c>
      <x:c r="D1071" t="n">
        <x:v>14</x:v>
      </x:c>
      <x:c r="E1071" s="18" t="n">
        <x:v>548.48</x:v>
      </x:c>
      <x:c r="F1071" s="18" t="n">
        <x:v>0</x:v>
      </x:c>
      <x:c r="G1071" s="18" t="n">
        <x:v>2.47</x:v>
      </x:c>
      <x:c r="H1071" s="18" t="n">
        <x:v>1.29</x:v>
      </x:c>
      <x:c r="I1071" s="18" t="n">
        <x:v>3.76</x:v>
      </x:c>
      <x:c r="J1071" t="n">
        <x:f>IF(A1071=A1070,IFERROR(IF(B1071=EDATE(B1070,1),C1070,0),0),0)</x:f>
        <x:v>1</x:v>
      </x:c>
      <x:c r="K1071" t="n">
        <x:f>IF(AND(J1071=1,C1071=0),1,0)</x:f>
        <x:v>0</x:v>
      </x:c>
      <x:c r="L1071" t="str">
        <x:f>IFERROR(INDEX(Customers!$C$2:$C$451,MATCH(A1071,Customers!$A$2:$A$451,0)),"Unknown")</x:f>
        <x:v>Standard</x:v>
      </x:c>
    </x:row>
    <x:row r="1072">
      <x:c r="A1072" t="n">
        <x:v>195</x:v>
      </x:c>
      <x:c r="B1072" s="16" t="n">
        <x:v>46235</x:v>
      </x:c>
      <x:c r="C1072" t="n">
        <x:v>1</x:v>
      </x:c>
      <x:c r="D1072" t="n">
        <x:v>15</x:v>
      </x:c>
      <x:c r="E1072" s="18" t="n">
        <x:v>736.73</x:v>
      </x:c>
      <x:c r="F1072" s="18" t="n">
        <x:v>0</x:v>
      </x:c>
      <x:c r="G1072" s="18" t="n">
        <x:v>3.32</x:v>
      </x:c>
      <x:c r="H1072" s="18" t="n">
        <x:v>0.84</x:v>
      </x:c>
      <x:c r="I1072" s="18" t="n">
        <x:v>4.16</x:v>
      </x:c>
      <x:c r="J1072" t="n">
        <x:f>IF(A1072=A1071,IFERROR(IF(B1072=EDATE(B1071,1),C1071,0),0),0)</x:f>
        <x:v>1</x:v>
      </x:c>
      <x:c r="K1072" t="n">
        <x:f>IF(AND(J1072=1,C1072=0),1,0)</x:f>
        <x:v>0</x:v>
      </x:c>
      <x:c r="L1072" t="str">
        <x:f>IFERROR(INDEX(Customers!$C$2:$C$451,MATCH(A1072,Customers!$A$2:$A$451,0)),"Unknown")</x:f>
        <x:v>Standard</x:v>
      </x:c>
    </x:row>
    <x:row r="1073">
      <x:c r="A1073" t="n">
        <x:v>195</x:v>
      </x:c>
      <x:c r="B1073" s="16" t="n">
        <x:v>46266</x:v>
      </x:c>
      <x:c r="C1073" t="n">
        <x:v>0</x:v>
      </x:c>
      <x:c r="D1073" t="n">
        <x:v>0</x:v>
      </x:c>
      <x:c r="E1073" s="18" t="n">
        <x:v>0</x:v>
      </x:c>
      <x:c r="F1073" s="18" t="n">
        <x:v>0</x:v>
      </x:c>
      <x:c r="G1073" s="18" t="n">
        <x:v>0</x:v>
      </x:c>
      <x:c r="H1073" s="18" t="n">
        <x:v>0</x:v>
      </x:c>
      <x:c r="I1073" s="18" t="n">
        <x:v>0</x:v>
      </x:c>
      <x:c r="J1073" t="n">
        <x:f>IF(A1073=A1072,IFERROR(IF(B1073=EDATE(B1072,1),C1072,0),0),0)</x:f>
        <x:v>1</x:v>
      </x:c>
      <x:c r="K1073" t="n">
        <x:f>IF(AND(J1073=1,C1073=0),1,0)</x:f>
        <x:v>1</x:v>
      </x:c>
      <x:c r="L1073" t="str">
        <x:f>IFERROR(INDEX(Customers!$C$2:$C$451,MATCH(A1073,Customers!$A$2:$A$451,0)),"Unknown")</x:f>
        <x:v>Standard</x:v>
      </x:c>
    </x:row>
    <x:row r="1074">
      <x:c r="A1074" t="n">
        <x:v>196</x:v>
      </x:c>
      <x:c r="B1074" s="16" t="n">
        <x:v>46174</x:v>
      </x:c>
      <x:c r="C1074" t="n">
        <x:v>1</x:v>
      </x:c>
      <x:c r="D1074" t="n">
        <x:v>33</x:v>
      </x:c>
      <x:c r="E1074" s="18" t="n">
        <x:v>1193.52</x:v>
      </x:c>
      <x:c r="F1074" s="18" t="n">
        <x:v>17</x:v>
      </x:c>
      <x:c r="G1074" s="18" t="n">
        <x:v>5.37</x:v>
      </x:c>
      <x:c r="H1074" s="18" t="n">
        <x:v>1.26</x:v>
      </x:c>
      <x:c r="I1074" s="18" t="n">
        <x:v>23.63</x:v>
      </x:c>
      <x:c r="J1074" t="n">
        <x:f>IF(A1074=A1073,IFERROR(IF(B1074=EDATE(B1073,1),C1073,0),0),0)</x:f>
        <x:v>0</x:v>
      </x:c>
      <x:c r="K1074" t="n">
        <x:f>IF(AND(J1074=1,C1074=0),1,0)</x:f>
        <x:v>0</x:v>
      </x:c>
      <x:c r="L1074" t="str">
        <x:f>IFERROR(INDEX(Customers!$C$2:$C$451,MATCH(A1074,Customers!$A$2:$A$451,0)),"Unknown")</x:f>
        <x:v>Premium</x:v>
      </x:c>
    </x:row>
    <x:row r="1075">
      <x:c r="A1075" t="n">
        <x:v>196</x:v>
      </x:c>
      <x:c r="B1075" s="16" t="n">
        <x:v>46204</x:v>
      </x:c>
      <x:c r="C1075" t="n">
        <x:v>1</x:v>
      </x:c>
      <x:c r="D1075" t="n">
        <x:v>14</x:v>
      </x:c>
      <x:c r="E1075" s="18" t="n">
        <x:v>1954.73</x:v>
      </x:c>
      <x:c r="F1075" s="18" t="n">
        <x:v>17</x:v>
      </x:c>
      <x:c r="G1075" s="18" t="n">
        <x:v>8.8</x:v>
      </x:c>
      <x:c r="H1075" s="18" t="n">
        <x:v>7.21</x:v>
      </x:c>
      <x:c r="I1075" s="18" t="n">
        <x:v>33.01</x:v>
      </x:c>
      <x:c r="J1075" t="n">
        <x:f>IF(A1075=A1074,IFERROR(IF(B1075=EDATE(B1074,1),C1074,0),0),0)</x:f>
        <x:v>1</x:v>
      </x:c>
      <x:c r="K1075" t="n">
        <x:f>IF(AND(J1075=1,C1075=0),1,0)</x:f>
        <x:v>0</x:v>
      </x:c>
      <x:c r="L1075" t="str">
        <x:f>IFERROR(INDEX(Customers!$C$2:$C$451,MATCH(A1075,Customers!$A$2:$A$451,0)),"Unknown")</x:f>
        <x:v>Premium</x:v>
      </x:c>
    </x:row>
    <x:row r="1076">
      <x:c r="A1076" t="n">
        <x:v>196</x:v>
      </x:c>
      <x:c r="B1076" s="16" t="n">
        <x:v>46235</x:v>
      </x:c>
      <x:c r="C1076" t="n">
        <x:v>1</x:v>
      </x:c>
      <x:c r="D1076" t="n">
        <x:v>21</x:v>
      </x:c>
      <x:c r="E1076" s="18" t="n">
        <x:v>1279.12</x:v>
      </x:c>
      <x:c r="F1076" s="18" t="n">
        <x:v>17</x:v>
      </x:c>
      <x:c r="G1076" s="18" t="n">
        <x:v>5.76</x:v>
      </x:c>
      <x:c r="H1076" s="18" t="n">
        <x:v>3.78</x:v>
      </x:c>
      <x:c r="I1076" s="18" t="n">
        <x:v>26.54</x:v>
      </x:c>
      <x:c r="J1076" t="n">
        <x:f>IF(A1076=A1075,IFERROR(IF(B1076=EDATE(B1075,1),C1075,0),0),0)</x:f>
        <x:v>1</x:v>
      </x:c>
      <x:c r="K1076" t="n">
        <x:f>IF(AND(J1076=1,C1076=0),1,0)</x:f>
        <x:v>0</x:v>
      </x:c>
      <x:c r="L1076" t="str">
        <x:f>IFERROR(INDEX(Customers!$C$2:$C$451,MATCH(A1076,Customers!$A$2:$A$451,0)),"Unknown")</x:f>
        <x:v>Premium</x:v>
      </x:c>
    </x:row>
    <x:row r="1077">
      <x:c r="A1077" t="n">
        <x:v>196</x:v>
      </x:c>
      <x:c r="B1077" s="16" t="n">
        <x:v>46266</x:v>
      </x:c>
      <x:c r="C1077" t="n">
        <x:v>1</x:v>
      </x:c>
      <x:c r="D1077" t="n">
        <x:v>35</x:v>
      </x:c>
      <x:c r="E1077" s="18" t="n">
        <x:v>4637.66</x:v>
      </x:c>
      <x:c r="F1077" s="18" t="n">
        <x:v>17</x:v>
      </x:c>
      <x:c r="G1077" s="18" t="n">
        <x:v>20.87</x:v>
      </x:c>
      <x:c r="H1077" s="18" t="n">
        <x:v>15.81</x:v>
      </x:c>
      <x:c r="I1077" s="18" t="n">
        <x:v>53.68</x:v>
      </x:c>
      <x:c r="J1077" t="n">
        <x:f>IF(A1077=A1076,IFERROR(IF(B1077=EDATE(B1076,1),C1076,0),0),0)</x:f>
        <x:v>1</x:v>
      </x:c>
      <x:c r="K1077" t="n">
        <x:f>IF(AND(J1077=1,C1077=0),1,0)</x:f>
        <x:v>0</x:v>
      </x:c>
      <x:c r="L1077" t="str">
        <x:f>IFERROR(INDEX(Customers!$C$2:$C$451,MATCH(A1077,Customers!$A$2:$A$451,0)),"Unknown")</x:f>
        <x:v>Premium</x:v>
      </x:c>
    </x:row>
    <x:row r="1078">
      <x:c r="A1078" t="n">
        <x:v>197</x:v>
      </x:c>
      <x:c r="B1078" s="16" t="n">
        <x:v>46113</x:v>
      </x:c>
      <x:c r="C1078" t="n">
        <x:v>0</x:v>
      </x:c>
      <x:c r="D1078" t="n">
        <x:v>0</x:v>
      </x:c>
      <x:c r="E1078" s="18" t="n">
        <x:v>0</x:v>
      </x:c>
      <x:c r="F1078" s="18" t="n">
        <x:v>0</x:v>
      </x:c>
      <x:c r="G1078" s="18" t="n">
        <x:v>0</x:v>
      </x:c>
      <x:c r="H1078" s="18" t="n">
        <x:v>0</x:v>
      </x:c>
      <x:c r="I1078" s="18" t="n">
        <x:v>0</x:v>
      </x:c>
      <x:c r="J1078" t="n">
        <x:f>IF(A1078=A1077,IFERROR(IF(B1078=EDATE(B1077,1),C1077,0),0),0)</x:f>
        <x:v>0</x:v>
      </x:c>
      <x:c r="K1078" t="n">
        <x:f>IF(AND(J1078=1,C1078=0),1,0)</x:f>
        <x:v>0</x:v>
      </x:c>
      <x:c r="L1078" t="str">
        <x:f>IFERROR(INDEX(Customers!$C$2:$C$451,MATCH(A1078,Customers!$A$2:$A$451,0)),"Unknown")</x:f>
        <x:v>Standard</x:v>
      </x:c>
    </x:row>
    <x:row r="1079">
      <x:c r="A1079" t="n">
        <x:v>197</x:v>
      </x:c>
      <x:c r="B1079" s="16" t="n">
        <x:v>46143</x:v>
      </x:c>
      <x:c r="C1079" t="n">
        <x:v>1</x:v>
      </x:c>
      <x:c r="D1079" t="n">
        <x:v>28</x:v>
      </x:c>
      <x:c r="E1079" s="18" t="n">
        <x:v>3735.34</x:v>
      </x:c>
      <x:c r="F1079" s="18" t="n">
        <x:v>0</x:v>
      </x:c>
      <x:c r="G1079" s="18" t="n">
        <x:v>16.81</x:v>
      </x:c>
      <x:c r="H1079" s="18" t="n">
        <x:v>10.82</x:v>
      </x:c>
      <x:c r="I1079" s="18" t="n">
        <x:v>27.63</x:v>
      </x:c>
      <x:c r="J1079" t="n">
        <x:f>IF(A1079=A1078,IFERROR(IF(B1079=EDATE(B1078,1),C1078,0),0),0)</x:f>
        <x:v>0</x:v>
      </x:c>
      <x:c r="K1079" t="n">
        <x:f>IF(AND(J1079=1,C1079=0),1,0)</x:f>
        <x:v>0</x:v>
      </x:c>
      <x:c r="L1079" t="str">
        <x:f>IFERROR(INDEX(Customers!$C$2:$C$451,MATCH(A1079,Customers!$A$2:$A$451,0)),"Unknown")</x:f>
        <x:v>Standard</x:v>
      </x:c>
    </x:row>
    <x:row r="1080">
      <x:c r="A1080" t="n">
        <x:v>197</x:v>
      </x:c>
      <x:c r="B1080" s="16" t="n">
        <x:v>46174</x:v>
      </x:c>
      <x:c r="C1080" t="n">
        <x:v>1</x:v>
      </x:c>
      <x:c r="D1080" t="n">
        <x:v>29</x:v>
      </x:c>
      <x:c r="E1080" s="18" t="n">
        <x:v>4050.48</x:v>
      </x:c>
      <x:c r="F1080" s="18" t="n">
        <x:v>0</x:v>
      </x:c>
      <x:c r="G1080" s="18" t="n">
        <x:v>18.23</x:v>
      </x:c>
      <x:c r="H1080" s="18" t="n">
        <x:v>4.24</x:v>
      </x:c>
      <x:c r="I1080" s="18" t="n">
        <x:v>22.47</x:v>
      </x:c>
      <x:c r="J1080" t="n">
        <x:f>IF(A1080=A1079,IFERROR(IF(B1080=EDATE(B1079,1),C1079,0),0),0)</x:f>
        <x:v>1</x:v>
      </x:c>
      <x:c r="K1080" t="n">
        <x:f>IF(AND(J1080=1,C1080=0),1,0)</x:f>
        <x:v>0</x:v>
      </x:c>
      <x:c r="L1080" t="str">
        <x:f>IFERROR(INDEX(Customers!$C$2:$C$451,MATCH(A1080,Customers!$A$2:$A$451,0)),"Unknown")</x:f>
        <x:v>Standard</x:v>
      </x:c>
    </x:row>
    <x:row r="1081">
      <x:c r="A1081" t="n">
        <x:v>197</x:v>
      </x:c>
      <x:c r="B1081" s="16" t="n">
        <x:v>46204</x:v>
      </x:c>
      <x:c r="C1081" t="n">
        <x:v>1</x:v>
      </x:c>
      <x:c r="D1081" t="n">
        <x:v>30</x:v>
      </x:c>
      <x:c r="E1081" s="18" t="n">
        <x:v>4159.88</x:v>
      </x:c>
      <x:c r="F1081" s="18" t="n">
        <x:v>0</x:v>
      </x:c>
      <x:c r="G1081" s="18" t="n">
        <x:v>18.72</x:v>
      </x:c>
      <x:c r="H1081" s="18" t="n">
        <x:v>12.14</x:v>
      </x:c>
      <x:c r="I1081" s="18" t="n">
        <x:v>30.86</x:v>
      </x:c>
      <x:c r="J1081" t="n">
        <x:f>IF(A1081=A1080,IFERROR(IF(B1081=EDATE(B1080,1),C1080,0),0),0)</x:f>
        <x:v>1</x:v>
      </x:c>
      <x:c r="K1081" t="n">
        <x:f>IF(AND(J1081=1,C1081=0),1,0)</x:f>
        <x:v>0</x:v>
      </x:c>
      <x:c r="L1081" t="str">
        <x:f>IFERROR(INDEX(Customers!$C$2:$C$451,MATCH(A1081,Customers!$A$2:$A$451,0)),"Unknown")</x:f>
        <x:v>Standard</x:v>
      </x:c>
    </x:row>
    <x:row r="1082">
      <x:c r="A1082" t="n">
        <x:v>197</x:v>
      </x:c>
      <x:c r="B1082" s="16" t="n">
        <x:v>46235</x:v>
      </x:c>
      <x:c r="C1082" t="n">
        <x:v>1</x:v>
      </x:c>
      <x:c r="D1082" t="n">
        <x:v>12</x:v>
      </x:c>
      <x:c r="E1082" s="18" t="n">
        <x:v>1123.21</x:v>
      </x:c>
      <x:c r="F1082" s="18" t="n">
        <x:v>0</x:v>
      </x:c>
      <x:c r="G1082" s="18" t="n">
        <x:v>5.05</x:v>
      </x:c>
      <x:c r="H1082" s="18" t="n">
        <x:v>2.18</x:v>
      </x:c>
      <x:c r="I1082" s="18" t="n">
        <x:v>7.23</x:v>
      </x:c>
      <x:c r="J1082" t="n">
        <x:f>IF(A1082=A1081,IFERROR(IF(B1082=EDATE(B1081,1),C1081,0),0),0)</x:f>
        <x:v>1</x:v>
      </x:c>
      <x:c r="K1082" t="n">
        <x:f>IF(AND(J1082=1,C1082=0),1,0)</x:f>
        <x:v>0</x:v>
      </x:c>
      <x:c r="L1082" t="str">
        <x:f>IFERROR(INDEX(Customers!$C$2:$C$451,MATCH(A1082,Customers!$A$2:$A$451,0)),"Unknown")</x:f>
        <x:v>Standard</x:v>
      </x:c>
    </x:row>
    <x:row r="1083">
      <x:c r="A1083" t="n">
        <x:v>197</x:v>
      </x:c>
      <x:c r="B1083" s="16" t="n">
        <x:v>46266</x:v>
      </x:c>
      <x:c r="C1083" t="n">
        <x:v>1</x:v>
      </x:c>
      <x:c r="D1083" t="n">
        <x:v>9</x:v>
      </x:c>
      <x:c r="E1083" s="18" t="n">
        <x:v>807.13</x:v>
      </x:c>
      <x:c r="F1083" s="18" t="n">
        <x:v>0</x:v>
      </x:c>
      <x:c r="G1083" s="18" t="n">
        <x:v>3.63</x:v>
      </x:c>
      <x:c r="H1083" s="18" t="n">
        <x:v>0.89</x:v>
      </x:c>
      <x:c r="I1083" s="18" t="n">
        <x:v>4.52</x:v>
      </x:c>
      <x:c r="J1083" t="n">
        <x:f>IF(A1083=A1082,IFERROR(IF(B1083=EDATE(B1082,1),C1082,0),0),0)</x:f>
        <x:v>1</x:v>
      </x:c>
      <x:c r="K1083" t="n">
        <x:f>IF(AND(J1083=1,C1083=0),1,0)</x:f>
        <x:v>0</x:v>
      </x:c>
      <x:c r="L1083" t="str">
        <x:f>IFERROR(INDEX(Customers!$C$2:$C$451,MATCH(A1083,Customers!$A$2:$A$451,0)),"Unknown")</x:f>
        <x:v>Standard</x:v>
      </x:c>
    </x:row>
    <x:row r="1084">
      <x:c r="A1084" t="n">
        <x:v>198</x:v>
      </x:c>
      <x:c r="B1084" s="16" t="n">
        <x:v>46113</x:v>
      </x:c>
      <x:c r="C1084" t="n">
        <x:v>0</x:v>
      </x:c>
      <x:c r="D1084" t="n">
        <x:v>0</x:v>
      </x:c>
      <x:c r="E1084" s="18" t="n">
        <x:v>0</x:v>
      </x:c>
      <x:c r="F1084" s="18" t="n">
        <x:v>0</x:v>
      </x:c>
      <x:c r="G1084" s="18" t="n">
        <x:v>0</x:v>
      </x:c>
      <x:c r="H1084" s="18" t="n">
        <x:v>0</x:v>
      </x:c>
      <x:c r="I1084" s="18" t="n">
        <x:v>0</x:v>
      </x:c>
      <x:c r="J1084" t="n">
        <x:f>IF(A1084=A1083,IFERROR(IF(B1084=EDATE(B1083,1),C1083,0),0),0)</x:f>
        <x:v>0</x:v>
      </x:c>
      <x:c r="K1084" t="n">
        <x:f>IF(AND(J1084=1,C1084=0),1,0)</x:f>
        <x:v>0</x:v>
      </x:c>
      <x:c r="L1084" t="str">
        <x:f>IFERROR(INDEX(Customers!$C$2:$C$451,MATCH(A1084,Customers!$A$2:$A$451,0)),"Unknown")</x:f>
        <x:v>Premium</x:v>
      </x:c>
    </x:row>
    <x:row r="1085">
      <x:c r="A1085" t="n">
        <x:v>198</x:v>
      </x:c>
      <x:c r="B1085" s="16" t="n">
        <x:v>46143</x:v>
      </x:c>
      <x:c r="C1085" t="n">
        <x:v>1</x:v>
      </x:c>
      <x:c r="D1085" t="n">
        <x:v>21</x:v>
      </x:c>
      <x:c r="E1085" s="18" t="n">
        <x:v>1421.88</x:v>
      </x:c>
      <x:c r="F1085" s="18" t="n">
        <x:v>17</x:v>
      </x:c>
      <x:c r="G1085" s="18" t="n">
        <x:v>6.4</x:v>
      </x:c>
      <x:c r="H1085" s="18" t="n">
        <x:v>1.49</x:v>
      </x:c>
      <x:c r="I1085" s="18" t="n">
        <x:v>24.89</x:v>
      </x:c>
      <x:c r="J1085" t="n">
        <x:f>IF(A1085=A1084,IFERROR(IF(B1085=EDATE(B1084,1),C1084,0),0),0)</x:f>
        <x:v>0</x:v>
      </x:c>
      <x:c r="K1085" t="n">
        <x:f>IF(AND(J1085=1,C1085=0),1,0)</x:f>
        <x:v>0</x:v>
      </x:c>
      <x:c r="L1085" t="str">
        <x:f>IFERROR(INDEX(Customers!$C$2:$C$451,MATCH(A1085,Customers!$A$2:$A$451,0)),"Unknown")</x:f>
        <x:v>Premium</x:v>
      </x:c>
    </x:row>
    <x:row r="1086">
      <x:c r="A1086" t="n">
        <x:v>198</x:v>
      </x:c>
      <x:c r="B1086" s="16" t="n">
        <x:v>46174</x:v>
      </x:c>
      <x:c r="C1086" t="n">
        <x:v>1</x:v>
      </x:c>
      <x:c r="D1086" t="n">
        <x:v>35</x:v>
      </x:c>
      <x:c r="E1086" s="18" t="n">
        <x:v>1984.21</x:v>
      </x:c>
      <x:c r="F1086" s="18" t="n">
        <x:v>17</x:v>
      </x:c>
      <x:c r="G1086" s="18" t="n">
        <x:v>8.93</x:v>
      </x:c>
      <x:c r="H1086" s="18" t="n">
        <x:v>7.06</x:v>
      </x:c>
      <x:c r="I1086" s="18" t="n">
        <x:v>32.99</x:v>
      </x:c>
      <x:c r="J1086" t="n">
        <x:f>IF(A1086=A1085,IFERROR(IF(B1086=EDATE(B1085,1),C1085,0),0),0)</x:f>
        <x:v>1</x:v>
      </x:c>
      <x:c r="K1086" t="n">
        <x:f>IF(AND(J1086=1,C1086=0),1,0)</x:f>
        <x:v>0</x:v>
      </x:c>
      <x:c r="L1086" t="str">
        <x:f>IFERROR(INDEX(Customers!$C$2:$C$451,MATCH(A1086,Customers!$A$2:$A$451,0)),"Unknown")</x:f>
        <x:v>Premium</x:v>
      </x:c>
    </x:row>
    <x:row r="1087">
      <x:c r="A1087" t="n">
        <x:v>198</x:v>
      </x:c>
      <x:c r="B1087" s="16" t="n">
        <x:v>46204</x:v>
      </x:c>
      <x:c r="C1087" t="n">
        <x:v>1</x:v>
      </x:c>
      <x:c r="D1087" t="n">
        <x:v>22</x:v>
      </x:c>
      <x:c r="E1087" s="18" t="n">
        <x:v>1115.69</x:v>
      </x:c>
      <x:c r="F1087" s="18" t="n">
        <x:v>17</x:v>
      </x:c>
      <x:c r="G1087" s="18" t="n">
        <x:v>5.02</x:v>
      </x:c>
      <x:c r="H1087" s="18" t="n">
        <x:v>3.1</x:v>
      </x:c>
      <x:c r="I1087" s="18" t="n">
        <x:v>25.12</x:v>
      </x:c>
      <x:c r="J1087" t="n">
        <x:f>IF(A1087=A1086,IFERROR(IF(B1087=EDATE(B1086,1),C1086,0),0),0)</x:f>
        <x:v>1</x:v>
      </x:c>
      <x:c r="K1087" t="n">
        <x:f>IF(AND(J1087=1,C1087=0),1,0)</x:f>
        <x:v>0</x:v>
      </x:c>
      <x:c r="L1087" t="str">
        <x:f>IFERROR(INDEX(Customers!$C$2:$C$451,MATCH(A1087,Customers!$A$2:$A$451,0)),"Unknown")</x:f>
        <x:v>Premium</x:v>
      </x:c>
    </x:row>
    <x:row r="1088">
      <x:c r="A1088" t="n">
        <x:v>198</x:v>
      </x:c>
      <x:c r="B1088" s="16" t="n">
        <x:v>46235</x:v>
      </x:c>
      <x:c r="C1088" t="n">
        <x:v>1</x:v>
      </x:c>
      <x:c r="D1088" t="n">
        <x:v>32</x:v>
      </x:c>
      <x:c r="E1088" s="18" t="n">
        <x:v>1827.11</x:v>
      </x:c>
      <x:c r="F1088" s="18" t="n">
        <x:v>17</x:v>
      </x:c>
      <x:c r="G1088" s="18" t="n">
        <x:v>8.22</x:v>
      </x:c>
      <x:c r="H1088" s="18" t="n">
        <x:v>3.62</x:v>
      </x:c>
      <x:c r="I1088" s="18" t="n">
        <x:v>28.84</x:v>
      </x:c>
      <x:c r="J1088" t="n">
        <x:f>IF(A1088=A1087,IFERROR(IF(B1088=EDATE(B1087,1),C1087,0),0),0)</x:f>
        <x:v>1</x:v>
      </x:c>
      <x:c r="K1088" t="n">
        <x:f>IF(AND(J1088=1,C1088=0),1,0)</x:f>
        <x:v>0</x:v>
      </x:c>
      <x:c r="L1088" t="str">
        <x:f>IFERROR(INDEX(Customers!$C$2:$C$451,MATCH(A1088,Customers!$A$2:$A$451,0)),"Unknown")</x:f>
        <x:v>Premium</x:v>
      </x:c>
    </x:row>
    <x:row r="1089">
      <x:c r="A1089" t="n">
        <x:v>198</x:v>
      </x:c>
      <x:c r="B1089" s="16" t="n">
        <x:v>46266</x:v>
      </x:c>
      <x:c r="C1089" t="n">
        <x:v>1</x:v>
      </x:c>
      <x:c r="D1089" t="n">
        <x:v>9</x:v>
      </x:c>
      <x:c r="E1089" s="18" t="n">
        <x:v>594.86</x:v>
      </x:c>
      <x:c r="F1089" s="18" t="n">
        <x:v>17</x:v>
      </x:c>
      <x:c r="G1089" s="18" t="n">
        <x:v>2.68</x:v>
      </x:c>
      <x:c r="H1089" s="18" t="n">
        <x:v>0.89</x:v>
      </x:c>
      <x:c r="I1089" s="18" t="n">
        <x:v>20.57</x:v>
      </x:c>
      <x:c r="J1089" t="n">
        <x:f>IF(A1089=A1088,IFERROR(IF(B1089=EDATE(B1088,1),C1088,0),0),0)</x:f>
        <x:v>1</x:v>
      </x:c>
      <x:c r="K1089" t="n">
        <x:f>IF(AND(J1089=1,C1089=0),1,0)</x:f>
        <x:v>0</x:v>
      </x:c>
      <x:c r="L1089" t="str">
        <x:f>IFERROR(INDEX(Customers!$C$2:$C$451,MATCH(A1089,Customers!$A$2:$A$451,0)),"Unknown")</x:f>
        <x:v>Premium</x:v>
      </x:c>
    </x:row>
    <x:row r="1090">
      <x:c r="A1090" t="n">
        <x:v>199</x:v>
      </x:c>
      <x:c r="B1090" s="16" t="n">
        <x:v>46174</x:v>
      </x:c>
      <x:c r="C1090" t="n">
        <x:v>1</x:v>
      </x:c>
      <x:c r="D1090" t="n">
        <x:v>29</x:v>
      </x:c>
      <x:c r="E1090" s="18" t="n">
        <x:v>2669.43</x:v>
      </x:c>
      <x:c r="F1090" s="18" t="n">
        <x:v>17</x:v>
      </x:c>
      <x:c r="G1090" s="18" t="n">
        <x:v>12.01</x:v>
      </x:c>
      <x:c r="H1090" s="18" t="n">
        <x:v>6.25</x:v>
      </x:c>
      <x:c r="I1090" s="18" t="n">
        <x:v>35.26</x:v>
      </x:c>
      <x:c r="J1090" t="n">
        <x:f>IF(A1090=A1089,IFERROR(IF(B1090=EDATE(B1089,1),C1089,0),0),0)</x:f>
        <x:v>0</x:v>
      </x:c>
      <x:c r="K1090" t="n">
        <x:f>IF(AND(J1090=1,C1090=0),1,0)</x:f>
        <x:v>0</x:v>
      </x:c>
      <x:c r="L1090" t="str">
        <x:f>IFERROR(INDEX(Customers!$C$2:$C$451,MATCH(A1090,Customers!$A$2:$A$451,0)),"Unknown")</x:f>
        <x:v>Premium</x:v>
      </x:c>
    </x:row>
    <x:row r="1091">
      <x:c r="A1091" t="n">
        <x:v>199</x:v>
      </x:c>
      <x:c r="B1091" s="16" t="n">
        <x:v>46204</x:v>
      </x:c>
      <x:c r="C1091" t="n">
        <x:v>1</x:v>
      </x:c>
      <x:c r="D1091" t="n">
        <x:v>31</x:v>
      </x:c>
      <x:c r="E1091" s="18" t="n">
        <x:v>2704.47</x:v>
      </x:c>
      <x:c r="F1091" s="18" t="n">
        <x:v>17</x:v>
      </x:c>
      <x:c r="G1091" s="18" t="n">
        <x:v>12.17</x:v>
      </x:c>
      <x:c r="H1091" s="18" t="n">
        <x:v>2.94</x:v>
      </x:c>
      <x:c r="I1091" s="18" t="n">
        <x:v>32.11</x:v>
      </x:c>
      <x:c r="J1091" t="n">
        <x:f>IF(A1091=A1090,IFERROR(IF(B1091=EDATE(B1090,1),C1090,0),0),0)</x:f>
        <x:v>1</x:v>
      </x:c>
      <x:c r="K1091" t="n">
        <x:f>IF(AND(J1091=1,C1091=0),1,0)</x:f>
        <x:v>0</x:v>
      </x:c>
      <x:c r="L1091" t="str">
        <x:f>IFERROR(INDEX(Customers!$C$2:$C$451,MATCH(A1091,Customers!$A$2:$A$451,0)),"Unknown")</x:f>
        <x:v>Premium</x:v>
      </x:c>
    </x:row>
    <x:row r="1092">
      <x:c r="A1092" t="n">
        <x:v>199</x:v>
      </x:c>
      <x:c r="B1092" s="16" t="n">
        <x:v>46235</x:v>
      </x:c>
      <x:c r="C1092" t="n">
        <x:v>1</x:v>
      </x:c>
      <x:c r="D1092" t="n">
        <x:v>25</x:v>
      </x:c>
      <x:c r="E1092" s="18" t="n">
        <x:v>1633.81</x:v>
      </x:c>
      <x:c r="F1092" s="18" t="n">
        <x:v>17</x:v>
      </x:c>
      <x:c r="G1092" s="18" t="n">
        <x:v>7.35</x:v>
      </x:c>
      <x:c r="H1092" s="18" t="n">
        <x:v>2.87</x:v>
      </x:c>
      <x:c r="I1092" s="18" t="n">
        <x:v>27.22</x:v>
      </x:c>
      <x:c r="J1092" t="n">
        <x:f>IF(A1092=A1091,IFERROR(IF(B1092=EDATE(B1091,1),C1091,0),0),0)</x:f>
        <x:v>1</x:v>
      </x:c>
      <x:c r="K1092" t="n">
        <x:f>IF(AND(J1092=1,C1092=0),1,0)</x:f>
        <x:v>0</x:v>
      </x:c>
      <x:c r="L1092" t="str">
        <x:f>IFERROR(INDEX(Customers!$C$2:$C$451,MATCH(A1092,Customers!$A$2:$A$451,0)),"Unknown")</x:f>
        <x:v>Premium</x:v>
      </x:c>
    </x:row>
    <x:row r="1093">
      <x:c r="A1093" t="n">
        <x:v>199</x:v>
      </x:c>
      <x:c r="B1093" s="16" t="n">
        <x:v>46266</x:v>
      </x:c>
      <x:c r="C1093" t="n">
        <x:v>0</x:v>
      </x:c>
      <x:c r="D1093" t="n">
        <x:v>0</x:v>
      </x:c>
      <x:c r="E1093" s="18" t="n">
        <x:v>0</x:v>
      </x:c>
      <x:c r="F1093" s="18" t="n">
        <x:v>0</x:v>
      </x:c>
      <x:c r="G1093" s="18" t="n">
        <x:v>0</x:v>
      </x:c>
      <x:c r="H1093" s="18" t="n">
        <x:v>0</x:v>
      </x:c>
      <x:c r="I1093" s="18" t="n">
        <x:v>0</x:v>
      </x:c>
      <x:c r="J1093" t="n">
        <x:f>IF(A1093=A1092,IFERROR(IF(B1093=EDATE(B1092,1),C1092,0),0),0)</x:f>
        <x:v>1</x:v>
      </x:c>
      <x:c r="K1093" t="n">
        <x:f>IF(AND(J1093=1,C1093=0),1,0)</x:f>
        <x:v>1</x:v>
      </x:c>
      <x:c r="L1093" t="str">
        <x:f>IFERROR(INDEX(Customers!$C$2:$C$451,MATCH(A1093,Customers!$A$2:$A$451,0)),"Unknown")</x:f>
        <x:v>Premium</x:v>
      </x:c>
    </x:row>
    <x:row r="1094">
      <x:c r="A1094" t="n">
        <x:v>200</x:v>
      </x:c>
      <x:c r="B1094" s="16" t="n">
        <x:v>46174</x:v>
      </x:c>
      <x:c r="C1094" t="n">
        <x:v>1</x:v>
      </x:c>
      <x:c r="D1094" t="n">
        <x:v>16</x:v>
      </x:c>
      <x:c r="E1094" s="18" t="n">
        <x:v>964.35</x:v>
      </x:c>
      <x:c r="F1094" s="18" t="n">
        <x:v>8</x:v>
      </x:c>
      <x:c r="G1094" s="18" t="n">
        <x:v>4.34</x:v>
      </x:c>
      <x:c r="H1094" s="18" t="n">
        <x:v>1.39</x:v>
      </x:c>
      <x:c r="I1094" s="18" t="n">
        <x:v>13.73</x:v>
      </x:c>
      <x:c r="J1094" t="n">
        <x:f>IF(A1094=A1093,IFERROR(IF(B1094=EDATE(B1093,1),C1093,0),0),0)</x:f>
        <x:v>0</x:v>
      </x:c>
      <x:c r="K1094" t="n">
        <x:f>IF(AND(J1094=1,C1094=0),1,0)</x:f>
        <x:v>0</x:v>
      </x:c>
      <x:c r="L1094" t="str">
        <x:f>IFERROR(INDEX(Customers!$C$2:$C$451,MATCH(A1094,Customers!$A$2:$A$451,0)),"Unknown")</x:f>
        <x:v>Plus</x:v>
      </x:c>
    </x:row>
    <x:row r="1095">
      <x:c r="A1095" t="n">
        <x:v>200</x:v>
      </x:c>
      <x:c r="B1095" s="16" t="n">
        <x:v>46204</x:v>
      </x:c>
      <x:c r="C1095" t="n">
        <x:v>1</x:v>
      </x:c>
      <x:c r="D1095" t="n">
        <x:v>26</x:v>
      </x:c>
      <x:c r="E1095" s="18" t="n">
        <x:v>2822.08</x:v>
      </x:c>
      <x:c r="F1095" s="18" t="n">
        <x:v>8</x:v>
      </x:c>
      <x:c r="G1095" s="18" t="n">
        <x:v>12.7</x:v>
      </x:c>
      <x:c r="H1095" s="18" t="n">
        <x:v>7.31</x:v>
      </x:c>
      <x:c r="I1095" s="18" t="n">
        <x:v>28.01</x:v>
      </x:c>
      <x:c r="J1095" t="n">
        <x:f>IF(A1095=A1094,IFERROR(IF(B1095=EDATE(B1094,1),C1094,0),0),0)</x:f>
        <x:v>1</x:v>
      </x:c>
      <x:c r="K1095" t="n">
        <x:f>IF(AND(J1095=1,C1095=0),1,0)</x:f>
        <x:v>0</x:v>
      </x:c>
      <x:c r="L1095" t="str">
        <x:f>IFERROR(INDEX(Customers!$C$2:$C$451,MATCH(A1095,Customers!$A$2:$A$451,0)),"Unknown")</x:f>
        <x:v>Plus</x:v>
      </x:c>
    </x:row>
    <x:row r="1096">
      <x:c r="A1096" t="n">
        <x:v>200</x:v>
      </x:c>
      <x:c r="B1096" s="16" t="n">
        <x:v>46235</x:v>
      </x:c>
      <x:c r="C1096" t="n">
        <x:v>0</x:v>
      </x:c>
      <x:c r="D1096" t="n">
        <x:v>0</x:v>
      </x:c>
      <x:c r="E1096" s="18" t="n">
        <x:v>0</x:v>
      </x:c>
      <x:c r="F1096" s="18" t="n">
        <x:v>0</x:v>
      </x:c>
      <x:c r="G1096" s="18" t="n">
        <x:v>0</x:v>
      </x:c>
      <x:c r="H1096" s="18" t="n">
        <x:v>0</x:v>
      </x:c>
      <x:c r="I1096" s="18" t="n">
        <x:v>0</x:v>
      </x:c>
      <x:c r="J1096" t="n">
        <x:f>IF(A1096=A1095,IFERROR(IF(B1096=EDATE(B1095,1),C1095,0),0),0)</x:f>
        <x:v>1</x:v>
      </x:c>
      <x:c r="K1096" t="n">
        <x:f>IF(AND(J1096=1,C1096=0),1,0)</x:f>
        <x:v>1</x:v>
      </x:c>
      <x:c r="L1096" t="str">
        <x:f>IFERROR(INDEX(Customers!$C$2:$C$451,MATCH(A1096,Customers!$A$2:$A$451,0)),"Unknown")</x:f>
        <x:v>Plus</x:v>
      </x:c>
    </x:row>
    <x:row r="1097">
      <x:c r="A1097" t="n">
        <x:v>200</x:v>
      </x:c>
      <x:c r="B1097" s="16" t="n">
        <x:v>46266</x:v>
      </x:c>
      <x:c r="C1097" t="n">
        <x:v>1</x:v>
      </x:c>
      <x:c r="D1097" t="n">
        <x:v>22</x:v>
      </x:c>
      <x:c r="E1097" s="18" t="n">
        <x:v>879.17</x:v>
      </x:c>
      <x:c r="F1097" s="18" t="n">
        <x:v>8</x:v>
      </x:c>
      <x:c r="G1097" s="18" t="n">
        <x:v>3.96</x:v>
      </x:c>
      <x:c r="H1097" s="18" t="n">
        <x:v>2.06</x:v>
      </x:c>
      <x:c r="I1097" s="18" t="n">
        <x:v>14.02</x:v>
      </x:c>
      <x:c r="J1097" t="n">
        <x:f>IF(A1097=A1096,IFERROR(IF(B1097=EDATE(B1096,1),C1096,0),0),0)</x:f>
        <x:v>0</x:v>
      </x:c>
      <x:c r="K1097" t="n">
        <x:f>IF(AND(J1097=1,C1097=0),1,0)</x:f>
        <x:v>0</x:v>
      </x:c>
      <x:c r="L1097" t="str">
        <x:f>IFERROR(INDEX(Customers!$C$2:$C$451,MATCH(A1097,Customers!$A$2:$A$451,0)),"Unknown")</x:f>
        <x:v>Plus</x:v>
      </x:c>
    </x:row>
    <x:row r="1098">
      <x:c r="A1098" t="n">
        <x:v>201</x:v>
      </x:c>
      <x:c r="B1098" s="16" t="n">
        <x:v>46143</x:v>
      </x:c>
      <x:c r="C1098" t="n">
        <x:v>1</x:v>
      </x:c>
      <x:c r="D1098" t="n">
        <x:v>9</x:v>
      </x:c>
      <x:c r="E1098" s="18" t="n">
        <x:v>1225.84</x:v>
      </x:c>
      <x:c r="F1098" s="18" t="n">
        <x:v>8</x:v>
      </x:c>
      <x:c r="G1098" s="18" t="n">
        <x:v>5.52</x:v>
      </x:c>
      <x:c r="H1098" s="18" t="n">
        <x:v>2.38</x:v>
      </x:c>
      <x:c r="I1098" s="18" t="n">
        <x:v>15.9</x:v>
      </x:c>
      <x:c r="J1098" t="n">
        <x:f>IF(A1098=A1097,IFERROR(IF(B1098=EDATE(B1097,1),C1097,0),0),0)</x:f>
        <x:v>0</x:v>
      </x:c>
      <x:c r="K1098" t="n">
        <x:f>IF(AND(J1098=1,C1098=0),1,0)</x:f>
        <x:v>0</x:v>
      </x:c>
      <x:c r="L1098" t="str">
        <x:f>IFERROR(INDEX(Customers!$C$2:$C$451,MATCH(A1098,Customers!$A$2:$A$451,0)),"Unknown")</x:f>
        <x:v>Plus</x:v>
      </x:c>
    </x:row>
    <x:row r="1099">
      <x:c r="A1099" t="n">
        <x:v>201</x:v>
      </x:c>
      <x:c r="B1099" s="16" t="n">
        <x:v>46174</x:v>
      </x:c>
      <x:c r="C1099" t="n">
        <x:v>1</x:v>
      </x:c>
      <x:c r="D1099" t="n">
        <x:v>20</x:v>
      </x:c>
      <x:c r="E1099" s="18" t="n">
        <x:v>2331.47</x:v>
      </x:c>
      <x:c r="F1099" s="18" t="n">
        <x:v>8</x:v>
      </x:c>
      <x:c r="G1099" s="18" t="n">
        <x:v>10.49</x:v>
      </x:c>
      <x:c r="H1099" s="18" t="n">
        <x:v>8.58</x:v>
      </x:c>
      <x:c r="I1099" s="18" t="n">
        <x:v>27.07</x:v>
      </x:c>
      <x:c r="J1099" t="n">
        <x:f>IF(A1099=A1098,IFERROR(IF(B1099=EDATE(B1098,1),C1098,0),0),0)</x:f>
        <x:v>1</x:v>
      </x:c>
      <x:c r="K1099" t="n">
        <x:f>IF(AND(J1099=1,C1099=0),1,0)</x:f>
        <x:v>0</x:v>
      </x:c>
      <x:c r="L1099" t="str">
        <x:f>IFERROR(INDEX(Customers!$C$2:$C$451,MATCH(A1099,Customers!$A$2:$A$451,0)),"Unknown")</x:f>
        <x:v>Plus</x:v>
      </x:c>
    </x:row>
    <x:row r="1100">
      <x:c r="A1100" t="n">
        <x:v>201</x:v>
      </x:c>
      <x:c r="B1100" s="16" t="n">
        <x:v>46204</x:v>
      </x:c>
      <x:c r="C1100" t="n">
        <x:v>1</x:v>
      </x:c>
      <x:c r="D1100" t="n">
        <x:v>6</x:v>
      </x:c>
      <x:c r="E1100" s="18" t="n">
        <x:v>603.92</x:v>
      </x:c>
      <x:c r="F1100" s="18" t="n">
        <x:v>8</x:v>
      </x:c>
      <x:c r="G1100" s="18" t="n">
        <x:v>2.72</x:v>
      </x:c>
      <x:c r="H1100" s="18" t="n">
        <x:v>0.52</x:v>
      </x:c>
      <x:c r="I1100" s="18" t="n">
        <x:v>11.24</x:v>
      </x:c>
      <x:c r="J1100" t="n">
        <x:f>IF(A1100=A1099,IFERROR(IF(B1100=EDATE(B1099,1),C1099,0),0),0)</x:f>
        <x:v>1</x:v>
      </x:c>
      <x:c r="K1100" t="n">
        <x:f>IF(AND(J1100=1,C1100=0),1,0)</x:f>
        <x:v>0</x:v>
      </x:c>
      <x:c r="L1100" t="str">
        <x:f>IFERROR(INDEX(Customers!$C$2:$C$451,MATCH(A1100,Customers!$A$2:$A$451,0)),"Unknown")</x:f>
        <x:v>Plus</x:v>
      </x:c>
    </x:row>
    <x:row r="1101">
      <x:c r="A1101" t="n">
        <x:v>201</x:v>
      </x:c>
      <x:c r="B1101" s="16" t="n">
        <x:v>46235</x:v>
      </x:c>
      <x:c r="C1101" t="n">
        <x:v>1</x:v>
      </x:c>
      <x:c r="D1101" t="n">
        <x:v>6</x:v>
      </x:c>
      <x:c r="E1101" s="18" t="n">
        <x:v>533.07</x:v>
      </x:c>
      <x:c r="F1101" s="18" t="n">
        <x:v>8</x:v>
      </x:c>
      <x:c r="G1101" s="18" t="n">
        <x:v>2.4</x:v>
      </x:c>
      <x:c r="H1101" s="18" t="n">
        <x:v>1.02</x:v>
      </x:c>
      <x:c r="I1101" s="18" t="n">
        <x:v>11.42</x:v>
      </x:c>
      <x:c r="J1101" t="n">
        <x:f>IF(A1101=A1100,IFERROR(IF(B1101=EDATE(B1100,1),C1100,0),0),0)</x:f>
        <x:v>1</x:v>
      </x:c>
      <x:c r="K1101" t="n">
        <x:f>IF(AND(J1101=1,C1101=0),1,0)</x:f>
        <x:v>0</x:v>
      </x:c>
      <x:c r="L1101" t="str">
        <x:f>IFERROR(INDEX(Customers!$C$2:$C$451,MATCH(A1101,Customers!$A$2:$A$451,0)),"Unknown")</x:f>
        <x:v>Plus</x:v>
      </x:c>
    </x:row>
    <x:row r="1102">
      <x:c r="A1102" t="n">
        <x:v>201</x:v>
      </x:c>
      <x:c r="B1102" s="16" t="n">
        <x:v>46266</x:v>
      </x:c>
      <x:c r="C1102" t="n">
        <x:v>1</x:v>
      </x:c>
      <x:c r="D1102" t="n">
        <x:v>19</x:v>
      </x:c>
      <x:c r="E1102" s="18" t="n">
        <x:v>880.18</x:v>
      </x:c>
      <x:c r="F1102" s="18" t="n">
        <x:v>8</x:v>
      </x:c>
      <x:c r="G1102" s="18" t="n">
        <x:v>3.96</x:v>
      </x:c>
      <x:c r="H1102" s="18" t="n">
        <x:v>2.48</x:v>
      </x:c>
      <x:c r="I1102" s="18" t="n">
        <x:v>14.44</x:v>
      </x:c>
      <x:c r="J1102" t="n">
        <x:f>IF(A1102=A1101,IFERROR(IF(B1102=EDATE(B1101,1),C1101,0),0),0)</x:f>
        <x:v>1</x:v>
      </x:c>
      <x:c r="K1102" t="n">
        <x:f>IF(AND(J1102=1,C1102=0),1,0)</x:f>
        <x:v>0</x:v>
      </x:c>
      <x:c r="L1102" t="str">
        <x:f>IFERROR(INDEX(Customers!$C$2:$C$451,MATCH(A1102,Customers!$A$2:$A$451,0)),"Unknown")</x:f>
        <x:v>Plus</x:v>
      </x:c>
    </x:row>
    <x:row r="1103">
      <x:c r="A1103" t="n">
        <x:v>202</x:v>
      </x:c>
      <x:c r="B1103" s="16" t="n">
        <x:v>46113</x:v>
      </x:c>
      <x:c r="C1103" t="n">
        <x:v>1</x:v>
      </x:c>
      <x:c r="D1103" t="n">
        <x:v>9</x:v>
      </x:c>
      <x:c r="E1103" s="18" t="n">
        <x:v>574.14</x:v>
      </x:c>
      <x:c r="F1103" s="18" t="n">
        <x:v>8</x:v>
      </x:c>
      <x:c r="G1103" s="18" t="n">
        <x:v>2.58</x:v>
      </x:c>
      <x:c r="H1103" s="18" t="n">
        <x:v>0.88</x:v>
      </x:c>
      <x:c r="I1103" s="18" t="n">
        <x:v>11.46</x:v>
      </x:c>
      <x:c r="J1103" t="n">
        <x:f>IF(A1103=A1102,IFERROR(IF(B1103=EDATE(B1102,1),C1102,0),0),0)</x:f>
        <x:v>0</x:v>
      </x:c>
      <x:c r="K1103" t="n">
        <x:f>IF(AND(J1103=1,C1103=0),1,0)</x:f>
        <x:v>0</x:v>
      </x:c>
      <x:c r="L1103" t="str">
        <x:f>IFERROR(INDEX(Customers!$C$2:$C$451,MATCH(A1103,Customers!$A$2:$A$451,0)),"Unknown")</x:f>
        <x:v>Plus</x:v>
      </x:c>
    </x:row>
    <x:row r="1104">
      <x:c r="A1104" t="n">
        <x:v>202</x:v>
      </x:c>
      <x:c r="B1104" s="16" t="n">
        <x:v>46143</x:v>
      </x:c>
      <x:c r="C1104" t="n">
        <x:v>1</x:v>
      </x:c>
      <x:c r="D1104" t="n">
        <x:v>30</x:v>
      </x:c>
      <x:c r="E1104" s="18" t="n">
        <x:v>1081.76</x:v>
      </x:c>
      <x:c r="F1104" s="18" t="n">
        <x:v>8</x:v>
      </x:c>
      <x:c r="G1104" s="18" t="n">
        <x:v>4.87</x:v>
      </x:c>
      <x:c r="H1104" s="18" t="n">
        <x:v>1.17</x:v>
      </x:c>
      <x:c r="I1104" s="18" t="n">
        <x:v>14.04</x:v>
      </x:c>
      <x:c r="J1104" t="n">
        <x:f>IF(A1104=A1103,IFERROR(IF(B1104=EDATE(B1103,1),C1103,0),0),0)</x:f>
        <x:v>1</x:v>
      </x:c>
      <x:c r="K1104" t="n">
        <x:f>IF(AND(J1104=1,C1104=0),1,0)</x:f>
        <x:v>0</x:v>
      </x:c>
      <x:c r="L1104" t="str">
        <x:f>IFERROR(INDEX(Customers!$C$2:$C$451,MATCH(A1104,Customers!$A$2:$A$451,0)),"Unknown")</x:f>
        <x:v>Plus</x:v>
      </x:c>
    </x:row>
    <x:row r="1105">
      <x:c r="A1105" t="n">
        <x:v>202</x:v>
      </x:c>
      <x:c r="B1105" s="16" t="n">
        <x:v>46174</x:v>
      </x:c>
      <x:c r="C1105" t="n">
        <x:v>1</x:v>
      </x:c>
      <x:c r="D1105" t="n">
        <x:v>18</x:v>
      </x:c>
      <x:c r="E1105" s="18" t="n">
        <x:v>1502.61</x:v>
      </x:c>
      <x:c r="F1105" s="18" t="n">
        <x:v>8</x:v>
      </x:c>
      <x:c r="G1105" s="18" t="n">
        <x:v>6.76</x:v>
      </x:c>
      <x:c r="H1105" s="18" t="n">
        <x:v>5.22</x:v>
      </x:c>
      <x:c r="I1105" s="18" t="n">
        <x:v>19.98</x:v>
      </x:c>
      <x:c r="J1105" t="n">
        <x:f>IF(A1105=A1104,IFERROR(IF(B1105=EDATE(B1104,1),C1104,0),0),0)</x:f>
        <x:v>1</x:v>
      </x:c>
      <x:c r="K1105" t="n">
        <x:f>IF(AND(J1105=1,C1105=0),1,0)</x:f>
        <x:v>0</x:v>
      </x:c>
      <x:c r="L1105" t="str">
        <x:f>IFERROR(INDEX(Customers!$C$2:$C$451,MATCH(A1105,Customers!$A$2:$A$451,0)),"Unknown")</x:f>
        <x:v>Plus</x:v>
      </x:c>
    </x:row>
    <x:row r="1106">
      <x:c r="A1106" t="n">
        <x:v>202</x:v>
      </x:c>
      <x:c r="B1106" s="16" t="n">
        <x:v>46204</x:v>
      </x:c>
      <x:c r="C1106" t="n">
        <x:v>0</x:v>
      </x:c>
      <x:c r="D1106" t="n">
        <x:v>0</x:v>
      </x:c>
      <x:c r="E1106" s="18" t="n">
        <x:v>0</x:v>
      </x:c>
      <x:c r="F1106" s="18" t="n">
        <x:v>0</x:v>
      </x:c>
      <x:c r="G1106" s="18" t="n">
        <x:v>0</x:v>
      </x:c>
      <x:c r="H1106" s="18" t="n">
        <x:v>0</x:v>
      </x:c>
      <x:c r="I1106" s="18" t="n">
        <x:v>0</x:v>
      </x:c>
      <x:c r="J1106" t="n">
        <x:f>IF(A1106=A1105,IFERROR(IF(B1106=EDATE(B1105,1),C1105,0),0),0)</x:f>
        <x:v>1</x:v>
      </x:c>
      <x:c r="K1106" t="n">
        <x:f>IF(AND(J1106=1,C1106=0),1,0)</x:f>
        <x:v>1</x:v>
      </x:c>
      <x:c r="L1106" t="str">
        <x:f>IFERROR(INDEX(Customers!$C$2:$C$451,MATCH(A1106,Customers!$A$2:$A$451,0)),"Unknown")</x:f>
        <x:v>Plus</x:v>
      </x:c>
    </x:row>
    <x:row r="1107">
      <x:c r="A1107" t="n">
        <x:v>202</x:v>
      </x:c>
      <x:c r="B1107" s="16" t="n">
        <x:v>46235</x:v>
      </x:c>
      <x:c r="C1107" t="n">
        <x:v>1</x:v>
      </x:c>
      <x:c r="D1107" t="n">
        <x:v>28</x:v>
      </x:c>
      <x:c r="E1107" s="18" t="n">
        <x:v>3855.72</x:v>
      </x:c>
      <x:c r="F1107" s="18" t="n">
        <x:v>8</x:v>
      </x:c>
      <x:c r="G1107" s="18" t="n">
        <x:v>17.35</x:v>
      </x:c>
      <x:c r="H1107" s="18" t="n">
        <x:v>5.63</x:v>
      </x:c>
      <x:c r="I1107" s="18" t="n">
        <x:v>30.98</x:v>
      </x:c>
      <x:c r="J1107" t="n">
        <x:f>IF(A1107=A1106,IFERROR(IF(B1107=EDATE(B1106,1),C1106,0),0),0)</x:f>
        <x:v>0</x:v>
      </x:c>
      <x:c r="K1107" t="n">
        <x:f>IF(AND(J1107=1,C1107=0),1,0)</x:f>
        <x:v>0</x:v>
      </x:c>
      <x:c r="L1107" t="str">
        <x:f>IFERROR(INDEX(Customers!$C$2:$C$451,MATCH(A1107,Customers!$A$2:$A$451,0)),"Unknown")</x:f>
        <x:v>Plus</x:v>
      </x:c>
    </x:row>
    <x:row r="1108">
      <x:c r="A1108" t="n">
        <x:v>202</x:v>
      </x:c>
      <x:c r="B1108" s="16" t="n">
        <x:v>46266</x:v>
      </x:c>
      <x:c r="C1108" t="n">
        <x:v>1</x:v>
      </x:c>
      <x:c r="D1108" t="n">
        <x:v>28</x:v>
      </x:c>
      <x:c r="E1108" s="18" t="n">
        <x:v>1926.38</x:v>
      </x:c>
      <x:c r="F1108" s="18" t="n">
        <x:v>8</x:v>
      </x:c>
      <x:c r="G1108" s="18" t="n">
        <x:v>8.67</x:v>
      </x:c>
      <x:c r="H1108" s="18" t="n">
        <x:v>1.55</x:v>
      </x:c>
      <x:c r="I1108" s="18" t="n">
        <x:v>18.22</x:v>
      </x:c>
      <x:c r="J1108" t="n">
        <x:f>IF(A1108=A1107,IFERROR(IF(B1108=EDATE(B1107,1),C1107,0),0),0)</x:f>
        <x:v>1</x:v>
      </x:c>
      <x:c r="K1108" t="n">
        <x:f>IF(AND(J1108=1,C1108=0),1,0)</x:f>
        <x:v>0</x:v>
      </x:c>
      <x:c r="L1108" t="str">
        <x:f>IFERROR(INDEX(Customers!$C$2:$C$451,MATCH(A1108,Customers!$A$2:$A$451,0)),"Unknown")</x:f>
        <x:v>Plus</x:v>
      </x:c>
    </x:row>
    <x:row r="1109">
      <x:c r="A1109" t="n">
        <x:v>203</x:v>
      </x:c>
      <x:c r="B1109" s="16" t="n">
        <x:v>46113</x:v>
      </x:c>
      <x:c r="C1109" t="n">
        <x:v>1</x:v>
      </x:c>
      <x:c r="D1109" t="n">
        <x:v>14</x:v>
      </x:c>
      <x:c r="E1109" s="18" t="n">
        <x:v>1148.66</x:v>
      </x:c>
      <x:c r="F1109" s="18" t="n">
        <x:v>8</x:v>
      </x:c>
      <x:c r="G1109" s="18" t="n">
        <x:v>5.17</x:v>
      </x:c>
      <x:c r="H1109" s="18" t="n">
        <x:v>3.67</x:v>
      </x:c>
      <x:c r="I1109" s="18" t="n">
        <x:v>16.84</x:v>
      </x:c>
      <x:c r="J1109" t="n">
        <x:f>IF(A1109=A1108,IFERROR(IF(B1109=EDATE(B1108,1),C1108,0),0),0)</x:f>
        <x:v>0</x:v>
      </x:c>
      <x:c r="K1109" t="n">
        <x:f>IF(AND(J1109=1,C1109=0),1,0)</x:f>
        <x:v>0</x:v>
      </x:c>
      <x:c r="L1109" t="str">
        <x:f>IFERROR(INDEX(Customers!$C$2:$C$451,MATCH(A1109,Customers!$A$2:$A$451,0)),"Unknown")</x:f>
        <x:v>Plus</x:v>
      </x:c>
    </x:row>
    <x:row r="1110">
      <x:c r="A1110" t="n">
        <x:v>203</x:v>
      </x:c>
      <x:c r="B1110" s="16" t="n">
        <x:v>46143</x:v>
      </x:c>
      <x:c r="C1110" t="n">
        <x:v>1</x:v>
      </x:c>
      <x:c r="D1110" t="n">
        <x:v>28</x:v>
      </x:c>
      <x:c r="E1110" s="18" t="n">
        <x:v>3858.99</x:v>
      </x:c>
      <x:c r="F1110" s="18" t="n">
        <x:v>8</x:v>
      </x:c>
      <x:c r="G1110" s="18" t="n">
        <x:v>17.37</x:v>
      </x:c>
      <x:c r="H1110" s="18" t="n">
        <x:v>4.19</x:v>
      </x:c>
      <x:c r="I1110" s="18" t="n">
        <x:v>29.56</x:v>
      </x:c>
      <x:c r="J1110" t="n">
        <x:f>IF(A1110=A1109,IFERROR(IF(B1110=EDATE(B1109,1),C1109,0),0),0)</x:f>
        <x:v>1</x:v>
      </x:c>
      <x:c r="K1110" t="n">
        <x:f>IF(AND(J1110=1,C1110=0),1,0)</x:f>
        <x:v>0</x:v>
      </x:c>
      <x:c r="L1110" t="str">
        <x:f>IFERROR(INDEX(Customers!$C$2:$C$451,MATCH(A1110,Customers!$A$2:$A$451,0)),"Unknown")</x:f>
        <x:v>Plus</x:v>
      </x:c>
    </x:row>
    <x:row r="1111">
      <x:c r="A1111" t="n">
        <x:v>203</x:v>
      </x:c>
      <x:c r="B1111" s="16" t="n">
        <x:v>46174</x:v>
      </x:c>
      <x:c r="C1111" t="n">
        <x:v>1</x:v>
      </x:c>
      <x:c r="D1111" t="n">
        <x:v>25</x:v>
      </x:c>
      <x:c r="E1111" s="18" t="n">
        <x:v>1841.96</x:v>
      </x:c>
      <x:c r="F1111" s="18" t="n">
        <x:v>8</x:v>
      </x:c>
      <x:c r="G1111" s="18" t="n">
        <x:v>8.29</x:v>
      </x:c>
      <x:c r="H1111" s="18" t="n">
        <x:v>5.13</x:v>
      </x:c>
      <x:c r="I1111" s="18" t="n">
        <x:v>21.42</x:v>
      </x:c>
      <x:c r="J1111" t="n">
        <x:f>IF(A1111=A1110,IFERROR(IF(B1111=EDATE(B1110,1),C1110,0),0),0)</x:f>
        <x:v>1</x:v>
      </x:c>
      <x:c r="K1111" t="n">
        <x:f>IF(AND(J1111=1,C1111=0),1,0)</x:f>
        <x:v>0</x:v>
      </x:c>
      <x:c r="L1111" t="str">
        <x:f>IFERROR(INDEX(Customers!$C$2:$C$451,MATCH(A1111,Customers!$A$2:$A$451,0)),"Unknown")</x:f>
        <x:v>Plus</x:v>
      </x:c>
    </x:row>
    <x:row r="1112">
      <x:c r="A1112" t="n">
        <x:v>203</x:v>
      </x:c>
      <x:c r="B1112" s="16" t="n">
        <x:v>46204</x:v>
      </x:c>
      <x:c r="C1112" t="n">
        <x:v>1</x:v>
      </x:c>
      <x:c r="D1112" t="n">
        <x:v>21</x:v>
      </x:c>
      <x:c r="E1112" s="18" t="n">
        <x:v>2462.05</x:v>
      </x:c>
      <x:c r="F1112" s="18" t="n">
        <x:v>8</x:v>
      </x:c>
      <x:c r="G1112" s="18" t="n">
        <x:v>11.08</x:v>
      </x:c>
      <x:c r="H1112" s="18" t="n">
        <x:v>6.55</x:v>
      </x:c>
      <x:c r="I1112" s="18" t="n">
        <x:v>25.63</x:v>
      </x:c>
      <x:c r="J1112" t="n">
        <x:f>IF(A1112=A1111,IFERROR(IF(B1112=EDATE(B1111,1),C1111,0),0),0)</x:f>
        <x:v>1</x:v>
      </x:c>
      <x:c r="K1112" t="n">
        <x:f>IF(AND(J1112=1,C1112=0),1,0)</x:f>
        <x:v>0</x:v>
      </x:c>
      <x:c r="L1112" t="str">
        <x:f>IFERROR(INDEX(Customers!$C$2:$C$451,MATCH(A1112,Customers!$A$2:$A$451,0)),"Unknown")</x:f>
        <x:v>Plus</x:v>
      </x:c>
    </x:row>
    <x:row r="1113">
      <x:c r="A1113" t="n">
        <x:v>203</x:v>
      </x:c>
      <x:c r="B1113" s="16" t="n">
        <x:v>46235</x:v>
      </x:c>
      <x:c r="C1113" t="n">
        <x:v>1</x:v>
      </x:c>
      <x:c r="D1113" t="n">
        <x:v>15</x:v>
      </x:c>
      <x:c r="E1113" s="18" t="n">
        <x:v>1749.22</x:v>
      </x:c>
      <x:c r="F1113" s="18" t="n">
        <x:v>8</x:v>
      </x:c>
      <x:c r="G1113" s="18" t="n">
        <x:v>7.87</x:v>
      </x:c>
      <x:c r="H1113" s="18" t="n">
        <x:v>1.64</x:v>
      </x:c>
      <x:c r="I1113" s="18" t="n">
        <x:v>17.51</x:v>
      </x:c>
      <x:c r="J1113" t="n">
        <x:f>IF(A1113=A1112,IFERROR(IF(B1113=EDATE(B1112,1),C1112,0),0),0)</x:f>
        <x:v>1</x:v>
      </x:c>
      <x:c r="K1113" t="n">
        <x:f>IF(AND(J1113=1,C1113=0),1,0)</x:f>
        <x:v>0</x:v>
      </x:c>
      <x:c r="L1113" t="str">
        <x:f>IFERROR(INDEX(Customers!$C$2:$C$451,MATCH(A1113,Customers!$A$2:$A$451,0)),"Unknown")</x:f>
        <x:v>Plus</x:v>
      </x:c>
    </x:row>
    <x:row r="1114">
      <x:c r="A1114" t="n">
        <x:v>203</x:v>
      </x:c>
      <x:c r="B1114" s="16" t="n">
        <x:v>46266</x:v>
      </x:c>
      <x:c r="C1114" t="n">
        <x:v>1</x:v>
      </x:c>
      <x:c r="D1114" t="n">
        <x:v>27</x:v>
      </x:c>
      <x:c r="E1114" s="18" t="n">
        <x:v>2841.56</x:v>
      </x:c>
      <x:c r="F1114" s="18" t="n">
        <x:v>8</x:v>
      </x:c>
      <x:c r="G1114" s="18" t="n">
        <x:v>12.79</x:v>
      </x:c>
      <x:c r="H1114" s="18" t="n">
        <x:v>4.84</x:v>
      </x:c>
      <x:c r="I1114" s="18" t="n">
        <x:v>25.63</x:v>
      </x:c>
      <x:c r="J1114" t="n">
        <x:f>IF(A1114=A1113,IFERROR(IF(B1114=EDATE(B1113,1),C1113,0),0),0)</x:f>
        <x:v>1</x:v>
      </x:c>
      <x:c r="K1114" t="n">
        <x:f>IF(AND(J1114=1,C1114=0),1,0)</x:f>
        <x:v>0</x:v>
      </x:c>
      <x:c r="L1114" t="str">
        <x:f>IFERROR(INDEX(Customers!$C$2:$C$451,MATCH(A1114,Customers!$A$2:$A$451,0)),"Unknown")</x:f>
        <x:v>Plus</x:v>
      </x:c>
    </x:row>
    <x:row r="1115">
      <x:c r="A1115" t="n">
        <x:v>204</x:v>
      </x:c>
      <x:c r="B1115" s="16" t="n">
        <x:v>46174</x:v>
      </x:c>
      <x:c r="C1115" t="n">
        <x:v>1</x:v>
      </x:c>
      <x:c r="D1115" t="n">
        <x:v>34</x:v>
      </x:c>
      <x:c r="E1115" s="18" t="n">
        <x:v>1971.24</x:v>
      </x:c>
      <x:c r="F1115" s="18" t="n">
        <x:v>17</x:v>
      </x:c>
      <x:c r="G1115" s="18" t="n">
        <x:v>8.87</x:v>
      </x:c>
      <x:c r="H1115" s="18" t="n">
        <x:v>4</x:v>
      </x:c>
      <x:c r="I1115" s="18" t="n">
        <x:v>29.87</x:v>
      </x:c>
      <x:c r="J1115" t="n">
        <x:f>IF(A1115=A1114,IFERROR(IF(B1115=EDATE(B1114,1),C1114,0),0),0)</x:f>
        <x:v>0</x:v>
      </x:c>
      <x:c r="K1115" t="n">
        <x:f>IF(AND(J1115=1,C1115=0),1,0)</x:f>
        <x:v>0</x:v>
      </x:c>
      <x:c r="L1115" t="str">
        <x:f>IFERROR(INDEX(Customers!$C$2:$C$451,MATCH(A1115,Customers!$A$2:$A$451,0)),"Unknown")</x:f>
        <x:v>Premium</x:v>
      </x:c>
    </x:row>
    <x:row r="1116">
      <x:c r="A1116" t="n">
        <x:v>204</x:v>
      </x:c>
      <x:c r="B1116" s="16" t="n">
        <x:v>46204</x:v>
      </x:c>
      <x:c r="C1116" t="n">
        <x:v>1</x:v>
      </x:c>
      <x:c r="D1116" t="n">
        <x:v>24</x:v>
      </x:c>
      <x:c r="E1116" s="18" t="n">
        <x:v>2743.9</x:v>
      </x:c>
      <x:c r="F1116" s="18" t="n">
        <x:v>17</x:v>
      </x:c>
      <x:c r="G1116" s="18" t="n">
        <x:v>12.35</x:v>
      </x:c>
      <x:c r="H1116" s="18" t="n">
        <x:v>5.16</x:v>
      </x:c>
      <x:c r="I1116" s="18" t="n">
        <x:v>34.51</x:v>
      </x:c>
      <x:c r="J1116" t="n">
        <x:f>IF(A1116=A1115,IFERROR(IF(B1116=EDATE(B1115,1),C1115,0),0),0)</x:f>
        <x:v>1</x:v>
      </x:c>
      <x:c r="K1116" t="n">
        <x:f>IF(AND(J1116=1,C1116=0),1,0)</x:f>
        <x:v>0</x:v>
      </x:c>
      <x:c r="L1116" t="str">
        <x:f>IFERROR(INDEX(Customers!$C$2:$C$451,MATCH(A1116,Customers!$A$2:$A$451,0)),"Unknown")</x:f>
        <x:v>Premium</x:v>
      </x:c>
    </x:row>
    <x:row r="1117">
      <x:c r="A1117" t="n">
        <x:v>204</x:v>
      </x:c>
      <x:c r="B1117" s="16" t="n">
        <x:v>46235</x:v>
      </x:c>
      <x:c r="C1117" t="n">
        <x:v>0</x:v>
      </x:c>
      <x:c r="D1117" t="n">
        <x:v>0</x:v>
      </x:c>
      <x:c r="E1117" s="18" t="n">
        <x:v>0</x:v>
      </x:c>
      <x:c r="F1117" s="18" t="n">
        <x:v>0</x:v>
      </x:c>
      <x:c r="G1117" s="18" t="n">
        <x:v>0</x:v>
      </x:c>
      <x:c r="H1117" s="18" t="n">
        <x:v>0</x:v>
      </x:c>
      <x:c r="I1117" s="18" t="n">
        <x:v>0</x:v>
      </x:c>
      <x:c r="J1117" t="n">
        <x:f>IF(A1117=A1116,IFERROR(IF(B1117=EDATE(B1116,1),C1116,0),0),0)</x:f>
        <x:v>1</x:v>
      </x:c>
      <x:c r="K1117" t="n">
        <x:f>IF(AND(J1117=1,C1117=0),1,0)</x:f>
        <x:v>1</x:v>
      </x:c>
      <x:c r="L1117" t="str">
        <x:f>IFERROR(INDEX(Customers!$C$2:$C$451,MATCH(A1117,Customers!$A$2:$A$451,0)),"Unknown")</x:f>
        <x:v>Premium</x:v>
      </x:c>
    </x:row>
    <x:row r="1118">
      <x:c r="A1118" t="n">
        <x:v>204</x:v>
      </x:c>
      <x:c r="B1118" s="16" t="n">
        <x:v>46266</x:v>
      </x:c>
      <x:c r="C1118" t="n">
        <x:v>1</x:v>
      </x:c>
      <x:c r="D1118" t="n">
        <x:v>34</x:v>
      </x:c>
      <x:c r="E1118" s="18" t="n">
        <x:v>1398.67</x:v>
      </x:c>
      <x:c r="F1118" s="18" t="n">
        <x:v>17</x:v>
      </x:c>
      <x:c r="G1118" s="18" t="n">
        <x:v>6.29</x:v>
      </x:c>
      <x:c r="H1118" s="18" t="n">
        <x:v>4.65</x:v>
      </x:c>
      <x:c r="I1118" s="18" t="n">
        <x:v>27.94</x:v>
      </x:c>
      <x:c r="J1118" t="n">
        <x:f>IF(A1118=A1117,IFERROR(IF(B1118=EDATE(B1117,1),C1117,0),0),0)</x:f>
        <x:v>0</x:v>
      </x:c>
      <x:c r="K1118" t="n">
        <x:f>IF(AND(J1118=1,C1118=0),1,0)</x:f>
        <x:v>0</x:v>
      </x:c>
      <x:c r="L1118" t="str">
        <x:f>IFERROR(INDEX(Customers!$C$2:$C$451,MATCH(A1118,Customers!$A$2:$A$451,0)),"Unknown")</x:f>
        <x:v>Premium</x:v>
      </x:c>
    </x:row>
    <x:row r="1119">
      <x:c r="A1119" t="n">
        <x:v>205</x:v>
      </x:c>
      <x:c r="B1119" s="16" t="n">
        <x:v>46113</x:v>
      </x:c>
      <x:c r="C1119" t="n">
        <x:v>1</x:v>
      </x:c>
      <x:c r="D1119" t="n">
        <x:v>16</x:v>
      </x:c>
      <x:c r="E1119" s="18" t="n">
        <x:v>1137.53</x:v>
      </x:c>
      <x:c r="F1119" s="18" t="n">
        <x:v>8</x:v>
      </x:c>
      <x:c r="G1119" s="18" t="n">
        <x:v>5.12</x:v>
      </x:c>
      <x:c r="H1119" s="18" t="n">
        <x:v>1.25</x:v>
      </x:c>
      <x:c r="I1119" s="18" t="n">
        <x:v>14.37</x:v>
      </x:c>
      <x:c r="J1119" t="n">
        <x:f>IF(A1119=A1118,IFERROR(IF(B1119=EDATE(B1118,1),C1118,0),0),0)</x:f>
        <x:v>0</x:v>
      </x:c>
      <x:c r="K1119" t="n">
        <x:f>IF(AND(J1119=1,C1119=0),1,0)</x:f>
        <x:v>0</x:v>
      </x:c>
      <x:c r="L1119" t="str">
        <x:f>IFERROR(INDEX(Customers!$C$2:$C$451,MATCH(A1119,Customers!$A$2:$A$451,0)),"Unknown")</x:f>
        <x:v>Plus</x:v>
      </x:c>
    </x:row>
    <x:row r="1120">
      <x:c r="A1120" t="n">
        <x:v>205</x:v>
      </x:c>
      <x:c r="B1120" s="16" t="n">
        <x:v>46143</x:v>
      </x:c>
      <x:c r="C1120" t="n">
        <x:v>1</x:v>
      </x:c>
      <x:c r="D1120" t="n">
        <x:v>15</x:v>
      </x:c>
      <x:c r="E1120" s="18" t="n">
        <x:v>905.01</x:v>
      </x:c>
      <x:c r="F1120" s="18" t="n">
        <x:v>8</x:v>
      </x:c>
      <x:c r="G1120" s="18" t="n">
        <x:v>4.07</x:v>
      </x:c>
      <x:c r="H1120" s="18" t="n">
        <x:v>2.75</x:v>
      </x:c>
      <x:c r="I1120" s="18" t="n">
        <x:v>14.82</x:v>
      </x:c>
      <x:c r="J1120" t="n">
        <x:f>IF(A1120=A1119,IFERROR(IF(B1120=EDATE(B1119,1),C1119,0),0),0)</x:f>
        <x:v>1</x:v>
      </x:c>
      <x:c r="K1120" t="n">
        <x:f>IF(AND(J1120=1,C1120=0),1,0)</x:f>
        <x:v>0</x:v>
      </x:c>
      <x:c r="L1120" t="str">
        <x:f>IFERROR(INDEX(Customers!$C$2:$C$451,MATCH(A1120,Customers!$A$2:$A$451,0)),"Unknown")</x:f>
        <x:v>Plus</x:v>
      </x:c>
    </x:row>
    <x:row r="1121">
      <x:c r="A1121" t="n">
        <x:v>205</x:v>
      </x:c>
      <x:c r="B1121" s="16" t="n">
        <x:v>46174</x:v>
      </x:c>
      <x:c r="C1121" t="n">
        <x:v>1</x:v>
      </x:c>
      <x:c r="D1121" t="n">
        <x:v>15</x:v>
      </x:c>
      <x:c r="E1121" s="18" t="n">
        <x:v>2075.39</x:v>
      </x:c>
      <x:c r="F1121" s="18" t="n">
        <x:v>8</x:v>
      </x:c>
      <x:c r="G1121" s="18" t="n">
        <x:v>9.34</x:v>
      </x:c>
      <x:c r="H1121" s="18" t="n">
        <x:v>3.52</x:v>
      </x:c>
      <x:c r="I1121" s="18" t="n">
        <x:v>20.86</x:v>
      </x:c>
      <x:c r="J1121" t="n">
        <x:f>IF(A1121=A1120,IFERROR(IF(B1121=EDATE(B1120,1),C1120,0),0),0)</x:f>
        <x:v>1</x:v>
      </x:c>
      <x:c r="K1121" t="n">
        <x:f>IF(AND(J1121=1,C1121=0),1,0)</x:f>
        <x:v>0</x:v>
      </x:c>
      <x:c r="L1121" t="str">
        <x:f>IFERROR(INDEX(Customers!$C$2:$C$451,MATCH(A1121,Customers!$A$2:$A$451,0)),"Unknown")</x:f>
        <x:v>Plus</x:v>
      </x:c>
    </x:row>
    <x:row r="1122">
      <x:c r="A1122" t="n">
        <x:v>205</x:v>
      </x:c>
      <x:c r="B1122" s="16" t="n">
        <x:v>46204</x:v>
      </x:c>
      <x:c r="C1122" t="n">
        <x:v>1</x:v>
      </x:c>
      <x:c r="D1122" t="n">
        <x:v>14</x:v>
      </x:c>
      <x:c r="E1122" s="18" t="n">
        <x:v>1711.13</x:v>
      </x:c>
      <x:c r="F1122" s="18" t="n">
        <x:v>8</x:v>
      </x:c>
      <x:c r="G1122" s="18" t="n">
        <x:v>7.7</x:v>
      </x:c>
      <x:c r="H1122" s="18" t="n">
        <x:v>3.06</x:v>
      </x:c>
      <x:c r="I1122" s="18" t="n">
        <x:v>18.76</x:v>
      </x:c>
      <x:c r="J1122" t="n">
        <x:f>IF(A1122=A1121,IFERROR(IF(B1122=EDATE(B1121,1),C1121,0),0),0)</x:f>
        <x:v>1</x:v>
      </x:c>
      <x:c r="K1122" t="n">
        <x:f>IF(AND(J1122=1,C1122=0),1,0)</x:f>
        <x:v>0</x:v>
      </x:c>
      <x:c r="L1122" t="str">
        <x:f>IFERROR(INDEX(Customers!$C$2:$C$451,MATCH(A1122,Customers!$A$2:$A$451,0)),"Unknown")</x:f>
        <x:v>Plus</x:v>
      </x:c>
    </x:row>
    <x:row r="1123">
      <x:c r="A1123" t="n">
        <x:v>205</x:v>
      </x:c>
      <x:c r="B1123" s="16" t="n">
        <x:v>46235</x:v>
      </x:c>
      <x:c r="C1123" t="n">
        <x:v>1</x:v>
      </x:c>
      <x:c r="D1123" t="n">
        <x:v>33</x:v>
      </x:c>
      <x:c r="E1123" s="18" t="n">
        <x:v>2151.67</x:v>
      </x:c>
      <x:c r="F1123" s="18" t="n">
        <x:v>8</x:v>
      </x:c>
      <x:c r="G1123" s="18" t="n">
        <x:v>9.68</x:v>
      </x:c>
      <x:c r="H1123" s="18" t="n">
        <x:v>7.06</x:v>
      </x:c>
      <x:c r="I1123" s="18" t="n">
        <x:v>24.74</x:v>
      </x:c>
      <x:c r="J1123" t="n">
        <x:f>IF(A1123=A1122,IFERROR(IF(B1123=EDATE(B1122,1),C1122,0),0),0)</x:f>
        <x:v>1</x:v>
      </x:c>
      <x:c r="K1123" t="n">
        <x:f>IF(AND(J1123=1,C1123=0),1,0)</x:f>
        <x:v>0</x:v>
      </x:c>
      <x:c r="L1123" t="str">
        <x:f>IFERROR(INDEX(Customers!$C$2:$C$451,MATCH(A1123,Customers!$A$2:$A$451,0)),"Unknown")</x:f>
        <x:v>Plus</x:v>
      </x:c>
    </x:row>
    <x:row r="1124">
      <x:c r="A1124" t="n">
        <x:v>205</x:v>
      </x:c>
      <x:c r="B1124" s="16" t="n">
        <x:v>46266</x:v>
      </x:c>
      <x:c r="C1124" t="n">
        <x:v>0</x:v>
      </x:c>
      <x:c r="D1124" t="n">
        <x:v>0</x:v>
      </x:c>
      <x:c r="E1124" s="18" t="n">
        <x:v>0</x:v>
      </x:c>
      <x:c r="F1124" s="18" t="n">
        <x:v>0</x:v>
      </x:c>
      <x:c r="G1124" s="18" t="n">
        <x:v>0</x:v>
      </x:c>
      <x:c r="H1124" s="18" t="n">
        <x:v>0</x:v>
      </x:c>
      <x:c r="I1124" s="18" t="n">
        <x:v>0</x:v>
      </x:c>
      <x:c r="J1124" t="n">
        <x:f>IF(A1124=A1123,IFERROR(IF(B1124=EDATE(B1123,1),C1123,0),0),0)</x:f>
        <x:v>1</x:v>
      </x:c>
      <x:c r="K1124" t="n">
        <x:f>IF(AND(J1124=1,C1124=0),1,0)</x:f>
        <x:v>1</x:v>
      </x:c>
      <x:c r="L1124" t="str">
        <x:f>IFERROR(INDEX(Customers!$C$2:$C$451,MATCH(A1124,Customers!$A$2:$A$451,0)),"Unknown")</x:f>
        <x:v>Plus</x:v>
      </x:c>
    </x:row>
    <x:row r="1125">
      <x:c r="A1125" t="n">
        <x:v>206</x:v>
      </x:c>
      <x:c r="B1125" s="16" t="n">
        <x:v>46113</x:v>
      </x:c>
      <x:c r="C1125" t="n">
        <x:v>1</x:v>
      </x:c>
      <x:c r="D1125" t="n">
        <x:v>9</x:v>
      </x:c>
      <x:c r="E1125" s="18" t="n">
        <x:v>768.07</x:v>
      </x:c>
      <x:c r="F1125" s="18" t="n">
        <x:v>17</x:v>
      </x:c>
      <x:c r="G1125" s="18" t="n">
        <x:v>3.46</x:v>
      </x:c>
      <x:c r="H1125" s="18" t="n">
        <x:v>2.62</x:v>
      </x:c>
      <x:c r="I1125" s="18" t="n">
        <x:v>23.08</x:v>
      </x:c>
      <x:c r="J1125" t="n">
        <x:f>IF(A1125=A1124,IFERROR(IF(B1125=EDATE(B1124,1),C1124,0),0),0)</x:f>
        <x:v>0</x:v>
      </x:c>
      <x:c r="K1125" t="n">
        <x:f>IF(AND(J1125=1,C1125=0),1,0)</x:f>
        <x:v>0</x:v>
      </x:c>
      <x:c r="L1125" t="str">
        <x:f>IFERROR(INDEX(Customers!$C$2:$C$451,MATCH(A1125,Customers!$A$2:$A$451,0)),"Unknown")</x:f>
        <x:v>Premium</x:v>
      </x:c>
    </x:row>
    <x:row r="1126">
      <x:c r="A1126" t="n">
        <x:v>206</x:v>
      </x:c>
      <x:c r="B1126" s="16" t="n">
        <x:v>46143</x:v>
      </x:c>
      <x:c r="C1126" t="n">
        <x:v>1</x:v>
      </x:c>
      <x:c r="D1126" t="n">
        <x:v>35</x:v>
      </x:c>
      <x:c r="E1126" s="18" t="n">
        <x:v>2863.53</x:v>
      </x:c>
      <x:c r="F1126" s="18" t="n">
        <x:v>17</x:v>
      </x:c>
      <x:c r="G1126" s="18" t="n">
        <x:v>12.89</x:v>
      </x:c>
      <x:c r="H1126" s="18" t="n">
        <x:v>10.47</x:v>
      </x:c>
      <x:c r="I1126" s="18" t="n">
        <x:v>40.36</x:v>
      </x:c>
      <x:c r="J1126" t="n">
        <x:f>IF(A1126=A1125,IFERROR(IF(B1126=EDATE(B1125,1),C1125,0),0),0)</x:f>
        <x:v>1</x:v>
      </x:c>
      <x:c r="K1126" t="n">
        <x:f>IF(AND(J1126=1,C1126=0),1,0)</x:f>
        <x:v>0</x:v>
      </x:c>
      <x:c r="L1126" t="str">
        <x:f>IFERROR(INDEX(Customers!$C$2:$C$451,MATCH(A1126,Customers!$A$2:$A$451,0)),"Unknown")</x:f>
        <x:v>Premium</x:v>
      </x:c>
    </x:row>
    <x:row r="1127">
      <x:c r="A1127" t="n">
        <x:v>206</x:v>
      </x:c>
      <x:c r="B1127" s="16" t="n">
        <x:v>46174</x:v>
      </x:c>
      <x:c r="C1127" t="n">
        <x:v>0</x:v>
      </x:c>
      <x:c r="D1127" t="n">
        <x:v>0</x:v>
      </x:c>
      <x:c r="E1127" s="18" t="n">
        <x:v>0</x:v>
      </x:c>
      <x:c r="F1127" s="18" t="n">
        <x:v>0</x:v>
      </x:c>
      <x:c r="G1127" s="18" t="n">
        <x:v>0</x:v>
      </x:c>
      <x:c r="H1127" s="18" t="n">
        <x:v>0</x:v>
      </x:c>
      <x:c r="I1127" s="18" t="n">
        <x:v>0</x:v>
      </x:c>
      <x:c r="J1127" t="n">
        <x:f>IF(A1127=A1126,IFERROR(IF(B1127=EDATE(B1126,1),C1126,0),0),0)</x:f>
        <x:v>1</x:v>
      </x:c>
      <x:c r="K1127" t="n">
        <x:f>IF(AND(J1127=1,C1127=0),1,0)</x:f>
        <x:v>1</x:v>
      </x:c>
      <x:c r="L1127" t="str">
        <x:f>IFERROR(INDEX(Customers!$C$2:$C$451,MATCH(A1127,Customers!$A$2:$A$451,0)),"Unknown")</x:f>
        <x:v>Premium</x:v>
      </x:c>
    </x:row>
    <x:row r="1128">
      <x:c r="A1128" t="n">
        <x:v>206</x:v>
      </x:c>
      <x:c r="B1128" s="16" t="n">
        <x:v>46204</x:v>
      </x:c>
      <x:c r="C1128" t="n">
        <x:v>1</x:v>
      </x:c>
      <x:c r="D1128" t="n">
        <x:v>17</x:v>
      </x:c>
      <x:c r="E1128" s="18" t="n">
        <x:v>2234.67</x:v>
      </x:c>
      <x:c r="F1128" s="18" t="n">
        <x:v>17</x:v>
      </x:c>
      <x:c r="G1128" s="18" t="n">
        <x:v>10.06</x:v>
      </x:c>
      <x:c r="H1128" s="18" t="n">
        <x:v>6.8</x:v>
      </x:c>
      <x:c r="I1128" s="18" t="n">
        <x:v>33.86</x:v>
      </x:c>
      <x:c r="J1128" t="n">
        <x:f>IF(A1128=A1127,IFERROR(IF(B1128=EDATE(B1127,1),C1127,0),0),0)</x:f>
        <x:v>0</x:v>
      </x:c>
      <x:c r="K1128" t="n">
        <x:f>IF(AND(J1128=1,C1128=0),1,0)</x:f>
        <x:v>0</x:v>
      </x:c>
      <x:c r="L1128" t="str">
        <x:f>IFERROR(INDEX(Customers!$C$2:$C$451,MATCH(A1128,Customers!$A$2:$A$451,0)),"Unknown")</x:f>
        <x:v>Premium</x:v>
      </x:c>
    </x:row>
    <x:row r="1129">
      <x:c r="A1129" t="n">
        <x:v>206</x:v>
      </x:c>
      <x:c r="B1129" s="16" t="n">
        <x:v>46235</x:v>
      </x:c>
      <x:c r="C1129" t="n">
        <x:v>0</x:v>
      </x:c>
      <x:c r="D1129" t="n">
        <x:v>0</x:v>
      </x:c>
      <x:c r="E1129" s="18" t="n">
        <x:v>0</x:v>
      </x:c>
      <x:c r="F1129" s="18" t="n">
        <x:v>0</x:v>
      </x:c>
      <x:c r="G1129" s="18" t="n">
        <x:v>0</x:v>
      </x:c>
      <x:c r="H1129" s="18" t="n">
        <x:v>0</x:v>
      </x:c>
      <x:c r="I1129" s="18" t="n">
        <x:v>0</x:v>
      </x:c>
      <x:c r="J1129" t="n">
        <x:f>IF(A1129=A1128,IFERROR(IF(B1129=EDATE(B1128,1),C1128,0),0),0)</x:f>
        <x:v>1</x:v>
      </x:c>
      <x:c r="K1129" t="n">
        <x:f>IF(AND(J1129=1,C1129=0),1,0)</x:f>
        <x:v>1</x:v>
      </x:c>
      <x:c r="L1129" t="str">
        <x:f>IFERROR(INDEX(Customers!$C$2:$C$451,MATCH(A1129,Customers!$A$2:$A$451,0)),"Unknown")</x:f>
        <x:v>Premium</x:v>
      </x:c>
    </x:row>
    <x:row r="1130">
      <x:c r="A1130" t="n">
        <x:v>206</x:v>
      </x:c>
      <x:c r="B1130" s="16" t="n">
        <x:v>46266</x:v>
      </x:c>
      <x:c r="C1130" t="n">
        <x:v>1</x:v>
      </x:c>
      <x:c r="D1130" t="n">
        <x:v>4</x:v>
      </x:c>
      <x:c r="E1130" s="18" t="n">
        <x:v>466.16</x:v>
      </x:c>
      <x:c r="F1130" s="18" t="n">
        <x:v>17</x:v>
      </x:c>
      <x:c r="G1130" s="18" t="n">
        <x:v>2.1</x:v>
      </x:c>
      <x:c r="H1130" s="18" t="n">
        <x:v>1.47</x:v>
      </x:c>
      <x:c r="I1130" s="18" t="n">
        <x:v>20.57</x:v>
      </x:c>
      <x:c r="J1130" t="n">
        <x:f>IF(A1130=A1129,IFERROR(IF(B1130=EDATE(B1129,1),C1129,0),0),0)</x:f>
        <x:v>0</x:v>
      </x:c>
      <x:c r="K1130" t="n">
        <x:f>IF(AND(J1130=1,C1130=0),1,0)</x:f>
        <x:v>0</x:v>
      </x:c>
      <x:c r="L1130" t="str">
        <x:f>IFERROR(INDEX(Customers!$C$2:$C$451,MATCH(A1130,Customers!$A$2:$A$451,0)),"Unknown")</x:f>
        <x:v>Premium</x:v>
      </x:c>
    </x:row>
    <x:row r="1131">
      <x:c r="A1131" t="n">
        <x:v>207</x:v>
      </x:c>
      <x:c r="B1131" s="16" t="n">
        <x:v>46143</x:v>
      </x:c>
      <x:c r="C1131" t="n">
        <x:v>1</x:v>
      </x:c>
      <x:c r="D1131" t="n">
        <x:v>7</x:v>
      </x:c>
      <x:c r="E1131" s="18" t="n">
        <x:v>320.05</x:v>
      </x:c>
      <x:c r="F1131" s="18" t="n">
        <x:v>0</x:v>
      </x:c>
      <x:c r="G1131" s="18" t="n">
        <x:v>1.44</x:v>
      </x:c>
      <x:c r="H1131" s="18" t="n">
        <x:v>0.6</x:v>
      </x:c>
      <x:c r="I1131" s="18" t="n">
        <x:v>2.04</x:v>
      </x:c>
      <x:c r="J1131" t="n">
        <x:f>IF(A1131=A1130,IFERROR(IF(B1131=EDATE(B1130,1),C1130,0),0),0)</x:f>
        <x:v>0</x:v>
      </x:c>
      <x:c r="K1131" t="n">
        <x:f>IF(AND(J1131=1,C1131=0),1,0)</x:f>
        <x:v>0</x:v>
      </x:c>
      <x:c r="L1131" t="str">
        <x:f>IFERROR(INDEX(Customers!$C$2:$C$451,MATCH(A1131,Customers!$A$2:$A$451,0)),"Unknown")</x:f>
        <x:v>Standard</x:v>
      </x:c>
    </x:row>
    <x:row r="1132">
      <x:c r="A1132" t="n">
        <x:v>207</x:v>
      </x:c>
      <x:c r="B1132" s="16" t="n">
        <x:v>46174</x:v>
      </x:c>
      <x:c r="C1132" t="n">
        <x:v>1</x:v>
      </x:c>
      <x:c r="D1132" t="n">
        <x:v>16</x:v>
      </x:c>
      <x:c r="E1132" s="18" t="n">
        <x:v>1561.52</x:v>
      </x:c>
      <x:c r="F1132" s="18" t="n">
        <x:v>0</x:v>
      </x:c>
      <x:c r="G1132" s="18" t="n">
        <x:v>7.03</x:v>
      </x:c>
      <x:c r="H1132" s="18" t="n">
        <x:v>2.44</x:v>
      </x:c>
      <x:c r="I1132" s="18" t="n">
        <x:v>9.47</x:v>
      </x:c>
      <x:c r="J1132" t="n">
        <x:f>IF(A1132=A1131,IFERROR(IF(B1132=EDATE(B1131,1),C1131,0),0),0)</x:f>
        <x:v>1</x:v>
      </x:c>
      <x:c r="K1132" t="n">
        <x:f>IF(AND(J1132=1,C1132=0),1,0)</x:f>
        <x:v>0</x:v>
      </x:c>
      <x:c r="L1132" t="str">
        <x:f>IFERROR(INDEX(Customers!$C$2:$C$451,MATCH(A1132,Customers!$A$2:$A$451,0)),"Unknown")</x:f>
        <x:v>Standard</x:v>
      </x:c>
    </x:row>
    <x:row r="1133">
      <x:c r="A1133" t="n">
        <x:v>207</x:v>
      </x:c>
      <x:c r="B1133" s="16" t="n">
        <x:v>46204</x:v>
      </x:c>
      <x:c r="C1133" t="n">
        <x:v>1</x:v>
      </x:c>
      <x:c r="D1133" t="n">
        <x:v>26</x:v>
      </x:c>
      <x:c r="E1133" s="18" t="n">
        <x:v>1454.99</x:v>
      </x:c>
      <x:c r="F1133" s="18" t="n">
        <x:v>0</x:v>
      </x:c>
      <x:c r="G1133" s="18" t="n">
        <x:v>6.55</x:v>
      </x:c>
      <x:c r="H1133" s="18" t="n">
        <x:v>2.71</x:v>
      </x:c>
      <x:c r="I1133" s="18" t="n">
        <x:v>9.26</x:v>
      </x:c>
      <x:c r="J1133" t="n">
        <x:f>IF(A1133=A1132,IFERROR(IF(B1133=EDATE(B1132,1),C1132,0),0),0)</x:f>
        <x:v>1</x:v>
      </x:c>
      <x:c r="K1133" t="n">
        <x:f>IF(AND(J1133=1,C1133=0),1,0)</x:f>
        <x:v>0</x:v>
      </x:c>
      <x:c r="L1133" t="str">
        <x:f>IFERROR(INDEX(Customers!$C$2:$C$451,MATCH(A1133,Customers!$A$2:$A$451,0)),"Unknown")</x:f>
        <x:v>Standard</x:v>
      </x:c>
    </x:row>
    <x:row r="1134">
      <x:c r="A1134" t="n">
        <x:v>207</x:v>
      </x:c>
      <x:c r="B1134" s="16" t="n">
        <x:v>46235</x:v>
      </x:c>
      <x:c r="C1134" t="n">
        <x:v>0</x:v>
      </x:c>
      <x:c r="D1134" t="n">
        <x:v>0</x:v>
      </x:c>
      <x:c r="E1134" s="18" t="n">
        <x:v>0</x:v>
      </x:c>
      <x:c r="F1134" s="18" t="n">
        <x:v>0</x:v>
      </x:c>
      <x:c r="G1134" s="18" t="n">
        <x:v>0</x:v>
      </x:c>
      <x:c r="H1134" s="18" t="n">
        <x:v>0</x:v>
      </x:c>
      <x:c r="I1134" s="18" t="n">
        <x:v>0</x:v>
      </x:c>
      <x:c r="J1134" t="n">
        <x:f>IF(A1134=A1133,IFERROR(IF(B1134=EDATE(B1133,1),C1133,0),0),0)</x:f>
        <x:v>1</x:v>
      </x:c>
      <x:c r="K1134" t="n">
        <x:f>IF(AND(J1134=1,C1134=0),1,0)</x:f>
        <x:v>1</x:v>
      </x:c>
      <x:c r="L1134" t="str">
        <x:f>IFERROR(INDEX(Customers!$C$2:$C$451,MATCH(A1134,Customers!$A$2:$A$451,0)),"Unknown")</x:f>
        <x:v>Standard</x:v>
      </x:c>
    </x:row>
    <x:row r="1135">
      <x:c r="A1135" t="n">
        <x:v>207</x:v>
      </x:c>
      <x:c r="B1135" s="16" t="n">
        <x:v>46266</x:v>
      </x:c>
      <x:c r="C1135" t="n">
        <x:v>0</x:v>
      </x:c>
      <x:c r="D1135" t="n">
        <x:v>0</x:v>
      </x:c>
      <x:c r="E1135" s="18" t="n">
        <x:v>0</x:v>
      </x:c>
      <x:c r="F1135" s="18" t="n">
        <x:v>0</x:v>
      </x:c>
      <x:c r="G1135" s="18" t="n">
        <x:v>0</x:v>
      </x:c>
      <x:c r="H1135" s="18" t="n">
        <x:v>0</x:v>
      </x:c>
      <x:c r="I1135" s="18" t="n">
        <x:v>0</x:v>
      </x:c>
      <x:c r="J1135" t="n">
        <x:f>IF(A1135=A1134,IFERROR(IF(B1135=EDATE(B1134,1),C1134,0),0),0)</x:f>
        <x:v>0</x:v>
      </x:c>
      <x:c r="K1135" t="n">
        <x:f>IF(AND(J1135=1,C1135=0),1,0)</x:f>
        <x:v>0</x:v>
      </x:c>
      <x:c r="L1135" t="str">
        <x:f>IFERROR(INDEX(Customers!$C$2:$C$451,MATCH(A1135,Customers!$A$2:$A$451,0)),"Unknown")</x:f>
        <x:v>Standard</x:v>
      </x:c>
    </x:row>
    <x:row r="1136">
      <x:c r="A1136" t="n">
        <x:v>208</x:v>
      </x:c>
      <x:c r="B1136" s="16" t="n">
        <x:v>46143</x:v>
      </x:c>
      <x:c r="C1136" t="n">
        <x:v>0</x:v>
      </x:c>
      <x:c r="D1136" t="n">
        <x:v>0</x:v>
      </x:c>
      <x:c r="E1136" s="18" t="n">
        <x:v>0</x:v>
      </x:c>
      <x:c r="F1136" s="18" t="n">
        <x:v>0</x:v>
      </x:c>
      <x:c r="G1136" s="18" t="n">
        <x:v>0</x:v>
      </x:c>
      <x:c r="H1136" s="18" t="n">
        <x:v>0</x:v>
      </x:c>
      <x:c r="I1136" s="18" t="n">
        <x:v>0</x:v>
      </x:c>
      <x:c r="J1136" t="n">
        <x:f>IF(A1136=A1135,IFERROR(IF(B1136=EDATE(B1135,1),C1135,0),0),0)</x:f>
        <x:v>0</x:v>
      </x:c>
      <x:c r="K1136" t="n">
        <x:f>IF(AND(J1136=1,C1136=0),1,0)</x:f>
        <x:v>0</x:v>
      </x:c>
      <x:c r="L1136" t="str">
        <x:f>IFERROR(INDEX(Customers!$C$2:$C$451,MATCH(A1136,Customers!$A$2:$A$451,0)),"Unknown")</x:f>
        <x:v>Metal</x:v>
      </x:c>
    </x:row>
    <x:row r="1137">
      <x:c r="A1137" t="n">
        <x:v>208</x:v>
      </x:c>
      <x:c r="B1137" s="16" t="n">
        <x:v>46174</x:v>
      </x:c>
      <x:c r="C1137" t="n">
        <x:v>1</x:v>
      </x:c>
      <x:c r="D1137" t="n">
        <x:v>8</x:v>
      </x:c>
      <x:c r="E1137" s="18" t="n">
        <x:v>672.91</x:v>
      </x:c>
      <x:c r="F1137" s="18" t="n">
        <x:v>34</x:v>
      </x:c>
      <x:c r="G1137" s="18" t="n">
        <x:v>3.03</x:v>
      </x:c>
      <x:c r="H1137" s="18" t="n">
        <x:v>2.08</x:v>
      </x:c>
      <x:c r="I1137" s="18" t="n">
        <x:v>39.11</x:v>
      </x:c>
      <x:c r="J1137" t="n">
        <x:f>IF(A1137=A1136,IFERROR(IF(B1137=EDATE(B1136,1),C1136,0),0),0)</x:f>
        <x:v>0</x:v>
      </x:c>
      <x:c r="K1137" t="n">
        <x:f>IF(AND(J1137=1,C1137=0),1,0)</x:f>
        <x:v>0</x:v>
      </x:c>
      <x:c r="L1137" t="str">
        <x:f>IFERROR(INDEX(Customers!$C$2:$C$451,MATCH(A1137,Customers!$A$2:$A$451,0)),"Unknown")</x:f>
        <x:v>Metal</x:v>
      </x:c>
    </x:row>
    <x:row r="1138">
      <x:c r="A1138" t="n">
        <x:v>208</x:v>
      </x:c>
      <x:c r="B1138" s="16" t="n">
        <x:v>46204</x:v>
      </x:c>
      <x:c r="C1138" t="n">
        <x:v>1</x:v>
      </x:c>
      <x:c r="D1138" t="n">
        <x:v>23</x:v>
      </x:c>
      <x:c r="E1138" s="18" t="n">
        <x:v>805.25</x:v>
      </x:c>
      <x:c r="F1138" s="18" t="n">
        <x:v>34</x:v>
      </x:c>
      <x:c r="G1138" s="18" t="n">
        <x:v>3.62</x:v>
      </x:c>
      <x:c r="H1138" s="18" t="n">
        <x:v>1.15</x:v>
      </x:c>
      <x:c r="I1138" s="18" t="n">
        <x:v>38.77</x:v>
      </x:c>
      <x:c r="J1138" t="n">
        <x:f>IF(A1138=A1137,IFERROR(IF(B1138=EDATE(B1137,1),C1137,0),0),0)</x:f>
        <x:v>1</x:v>
      </x:c>
      <x:c r="K1138" t="n">
        <x:f>IF(AND(J1138=1,C1138=0),1,0)</x:f>
        <x:v>0</x:v>
      </x:c>
      <x:c r="L1138" t="str">
        <x:f>IFERROR(INDEX(Customers!$C$2:$C$451,MATCH(A1138,Customers!$A$2:$A$451,0)),"Unknown")</x:f>
        <x:v>Metal</x:v>
      </x:c>
    </x:row>
    <x:row r="1139">
      <x:c r="A1139" t="n">
        <x:v>208</x:v>
      </x:c>
      <x:c r="B1139" s="16" t="n">
        <x:v>46235</x:v>
      </x:c>
      <x:c r="C1139" t="n">
        <x:v>1</x:v>
      </x:c>
      <x:c r="D1139" t="n">
        <x:v>22</x:v>
      </x:c>
      <x:c r="E1139" s="18" t="n">
        <x:v>1710.82</x:v>
      </x:c>
      <x:c r="F1139" s="18" t="n">
        <x:v>34</x:v>
      </x:c>
      <x:c r="G1139" s="18" t="n">
        <x:v>7.7</x:v>
      </x:c>
      <x:c r="H1139" s="18" t="n">
        <x:v>2.1</x:v>
      </x:c>
      <x:c r="I1139" s="18" t="n">
        <x:v>43.8</x:v>
      </x:c>
      <x:c r="J1139" t="n">
        <x:f>IF(A1139=A1138,IFERROR(IF(B1139=EDATE(B1138,1),C1138,0),0),0)</x:f>
        <x:v>1</x:v>
      </x:c>
      <x:c r="K1139" t="n">
        <x:f>IF(AND(J1139=1,C1139=0),1,0)</x:f>
        <x:v>0</x:v>
      </x:c>
      <x:c r="L1139" t="str">
        <x:f>IFERROR(INDEX(Customers!$C$2:$C$451,MATCH(A1139,Customers!$A$2:$A$451,0)),"Unknown")</x:f>
        <x:v>Metal</x:v>
      </x:c>
    </x:row>
    <x:row r="1140">
      <x:c r="A1140" t="n">
        <x:v>208</x:v>
      </x:c>
      <x:c r="B1140" s="16" t="n">
        <x:v>46266</x:v>
      </x:c>
      <x:c r="C1140" t="n">
        <x:v>1</x:v>
      </x:c>
      <x:c r="D1140" t="n">
        <x:v>4</x:v>
      </x:c>
      <x:c r="E1140" s="18" t="n">
        <x:v>380.29</x:v>
      </x:c>
      <x:c r="F1140" s="18" t="n">
        <x:v>34</x:v>
      </x:c>
      <x:c r="G1140" s="18" t="n">
        <x:v>1.71</x:v>
      </x:c>
      <x:c r="H1140" s="18" t="n">
        <x:v>0.5</x:v>
      </x:c>
      <x:c r="I1140" s="18" t="n">
        <x:v>36.21</x:v>
      </x:c>
      <x:c r="J1140" t="n">
        <x:f>IF(A1140=A1139,IFERROR(IF(B1140=EDATE(B1139,1),C1139,0),0),0)</x:f>
        <x:v>1</x:v>
      </x:c>
      <x:c r="K1140" t="n">
        <x:f>IF(AND(J1140=1,C1140=0),1,0)</x:f>
        <x:v>0</x:v>
      </x:c>
      <x:c r="L1140" t="str">
        <x:f>IFERROR(INDEX(Customers!$C$2:$C$451,MATCH(A1140,Customers!$A$2:$A$451,0)),"Unknown")</x:f>
        <x:v>Metal</x:v>
      </x:c>
    </x:row>
    <x:row r="1141">
      <x:c r="A1141" t="n">
        <x:v>209</x:v>
      </x:c>
      <x:c r="B1141" s="16" t="n">
        <x:v>46113</x:v>
      </x:c>
      <x:c r="C1141" t="n">
        <x:v>1</x:v>
      </x:c>
      <x:c r="D1141" t="n">
        <x:v>11</x:v>
      </x:c>
      <x:c r="E1141" s="18" t="n">
        <x:v>1527.65</x:v>
      </x:c>
      <x:c r="F1141" s="18" t="n">
        <x:v>0</x:v>
      </x:c>
      <x:c r="G1141" s="18" t="n">
        <x:v>6.87</x:v>
      </x:c>
      <x:c r="H1141" s="18" t="n">
        <x:v>4.07</x:v>
      </x:c>
      <x:c r="I1141" s="18" t="n">
        <x:v>10.94</x:v>
      </x:c>
      <x:c r="J1141" t="n">
        <x:f>IF(A1141=A1140,IFERROR(IF(B1141=EDATE(B1140,1),C1140,0),0),0)</x:f>
        <x:v>0</x:v>
      </x:c>
      <x:c r="K1141" t="n">
        <x:f>IF(AND(J1141=1,C1141=0),1,0)</x:f>
        <x:v>0</x:v>
      </x:c>
      <x:c r="L1141" t="str">
        <x:f>IFERROR(INDEX(Customers!$C$2:$C$451,MATCH(A1141,Customers!$A$2:$A$451,0)),"Unknown")</x:f>
        <x:v>Standard</x:v>
      </x:c>
    </x:row>
    <x:row r="1142">
      <x:c r="A1142" t="n">
        <x:v>209</x:v>
      </x:c>
      <x:c r="B1142" s="16" t="n">
        <x:v>46143</x:v>
      </x:c>
      <x:c r="C1142" t="n">
        <x:v>1</x:v>
      </x:c>
      <x:c r="D1142" t="n">
        <x:v>19</x:v>
      </x:c>
      <x:c r="E1142" s="18" t="n">
        <x:v>2024.25</x:v>
      </x:c>
      <x:c r="F1142" s="18" t="n">
        <x:v>0</x:v>
      </x:c>
      <x:c r="G1142" s="18" t="n">
        <x:v>9.11</x:v>
      </x:c>
      <x:c r="H1142" s="18" t="n">
        <x:v>5.76</x:v>
      </x:c>
      <x:c r="I1142" s="18" t="n">
        <x:v>14.87</x:v>
      </x:c>
      <x:c r="J1142" t="n">
        <x:f>IF(A1142=A1141,IFERROR(IF(B1142=EDATE(B1141,1),C1141,0),0),0)</x:f>
        <x:v>1</x:v>
      </x:c>
      <x:c r="K1142" t="n">
        <x:f>IF(AND(J1142=1,C1142=0),1,0)</x:f>
        <x:v>0</x:v>
      </x:c>
      <x:c r="L1142" t="str">
        <x:f>IFERROR(INDEX(Customers!$C$2:$C$451,MATCH(A1142,Customers!$A$2:$A$451,0)),"Unknown")</x:f>
        <x:v>Standard</x:v>
      </x:c>
    </x:row>
    <x:row r="1143">
      <x:c r="A1143" t="n">
        <x:v>209</x:v>
      </x:c>
      <x:c r="B1143" s="16" t="n">
        <x:v>46174</x:v>
      </x:c>
      <x:c r="C1143" t="n">
        <x:v>1</x:v>
      </x:c>
      <x:c r="D1143" t="n">
        <x:v>33</x:v>
      </x:c>
      <x:c r="E1143" s="18" t="n">
        <x:v>4445.76</x:v>
      </x:c>
      <x:c r="F1143" s="18" t="n">
        <x:v>0</x:v>
      </x:c>
      <x:c r="G1143" s="18" t="n">
        <x:v>20.01</x:v>
      </x:c>
      <x:c r="H1143" s="18" t="n">
        <x:v>10.52</x:v>
      </x:c>
      <x:c r="I1143" s="18" t="n">
        <x:v>30.53</x:v>
      </x:c>
      <x:c r="J1143" t="n">
        <x:f>IF(A1143=A1142,IFERROR(IF(B1143=EDATE(B1142,1),C1142,0),0),0)</x:f>
        <x:v>1</x:v>
      </x:c>
      <x:c r="K1143" t="n">
        <x:f>IF(AND(J1143=1,C1143=0),1,0)</x:f>
        <x:v>0</x:v>
      </x:c>
      <x:c r="L1143" t="str">
        <x:f>IFERROR(INDEX(Customers!$C$2:$C$451,MATCH(A1143,Customers!$A$2:$A$451,0)),"Unknown")</x:f>
        <x:v>Standard</x:v>
      </x:c>
    </x:row>
    <x:row r="1144">
      <x:c r="A1144" t="n">
        <x:v>209</x:v>
      </x:c>
      <x:c r="B1144" s="16" t="n">
        <x:v>46204</x:v>
      </x:c>
      <x:c r="C1144" t="n">
        <x:v>1</x:v>
      </x:c>
      <x:c r="D1144" t="n">
        <x:v>6</x:v>
      </x:c>
      <x:c r="E1144" s="18" t="n">
        <x:v>611.7</x:v>
      </x:c>
      <x:c r="F1144" s="18" t="n">
        <x:v>0</x:v>
      </x:c>
      <x:c r="G1144" s="18" t="n">
        <x:v>2.75</x:v>
      </x:c>
      <x:c r="H1144" s="18" t="n">
        <x:v>1.39</x:v>
      </x:c>
      <x:c r="I1144" s="18" t="n">
        <x:v>4.14</x:v>
      </x:c>
      <x:c r="J1144" t="n">
        <x:f>IF(A1144=A1143,IFERROR(IF(B1144=EDATE(B1143,1),C1143,0),0),0)</x:f>
        <x:v>1</x:v>
      </x:c>
      <x:c r="K1144" t="n">
        <x:f>IF(AND(J1144=1,C1144=0),1,0)</x:f>
        <x:v>0</x:v>
      </x:c>
      <x:c r="L1144" t="str">
        <x:f>IFERROR(INDEX(Customers!$C$2:$C$451,MATCH(A1144,Customers!$A$2:$A$451,0)),"Unknown")</x:f>
        <x:v>Standard</x:v>
      </x:c>
    </x:row>
    <x:row r="1145">
      <x:c r="A1145" t="n">
        <x:v>209</x:v>
      </x:c>
      <x:c r="B1145" s="16" t="n">
        <x:v>46235</x:v>
      </x:c>
      <x:c r="C1145" t="n">
        <x:v>1</x:v>
      </x:c>
      <x:c r="D1145" t="n">
        <x:v>30</x:v>
      </x:c>
      <x:c r="E1145" s="18" t="n">
        <x:v>2185.78</x:v>
      </x:c>
      <x:c r="F1145" s="18" t="n">
        <x:v>0</x:v>
      </x:c>
      <x:c r="G1145" s="18" t="n">
        <x:v>9.84</x:v>
      </x:c>
      <x:c r="H1145" s="18" t="n">
        <x:v>2.29</x:v>
      </x:c>
      <x:c r="I1145" s="18" t="n">
        <x:v>12.13</x:v>
      </x:c>
      <x:c r="J1145" t="n">
        <x:f>IF(A1145=A1144,IFERROR(IF(B1145=EDATE(B1144,1),C1144,0),0),0)</x:f>
        <x:v>1</x:v>
      </x:c>
      <x:c r="K1145" t="n">
        <x:f>IF(AND(J1145=1,C1145=0),1,0)</x:f>
        <x:v>0</x:v>
      </x:c>
      <x:c r="L1145" t="str">
        <x:f>IFERROR(INDEX(Customers!$C$2:$C$451,MATCH(A1145,Customers!$A$2:$A$451,0)),"Unknown")</x:f>
        <x:v>Standard</x:v>
      </x:c>
    </x:row>
    <x:row r="1146">
      <x:c r="A1146" t="n">
        <x:v>209</x:v>
      </x:c>
      <x:c r="B1146" s="16" t="n">
        <x:v>46266</x:v>
      </x:c>
      <x:c r="C1146" t="n">
        <x:v>0</x:v>
      </x:c>
      <x:c r="D1146" t="n">
        <x:v>0</x:v>
      </x:c>
      <x:c r="E1146" s="18" t="n">
        <x:v>0</x:v>
      </x:c>
      <x:c r="F1146" s="18" t="n">
        <x:v>0</x:v>
      </x:c>
      <x:c r="G1146" s="18" t="n">
        <x:v>0</x:v>
      </x:c>
      <x:c r="H1146" s="18" t="n">
        <x:v>0</x:v>
      </x:c>
      <x:c r="I1146" s="18" t="n">
        <x:v>0</x:v>
      </x:c>
      <x:c r="J1146" t="n">
        <x:f>IF(A1146=A1145,IFERROR(IF(B1146=EDATE(B1145,1),C1145,0),0),0)</x:f>
        <x:v>1</x:v>
      </x:c>
      <x:c r="K1146" t="n">
        <x:f>IF(AND(J1146=1,C1146=0),1,0)</x:f>
        <x:v>1</x:v>
      </x:c>
      <x:c r="L1146" t="str">
        <x:f>IFERROR(INDEX(Customers!$C$2:$C$451,MATCH(A1146,Customers!$A$2:$A$451,0)),"Unknown")</x:f>
        <x:v>Standard</x:v>
      </x:c>
    </x:row>
    <x:row r="1147">
      <x:c r="A1147" t="n">
        <x:v>210</x:v>
      </x:c>
      <x:c r="B1147" s="16" t="n">
        <x:v>46174</x:v>
      </x:c>
      <x:c r="C1147" t="n">
        <x:v>1</x:v>
      </x:c>
      <x:c r="D1147" t="n">
        <x:v>28</x:v>
      </x:c>
      <x:c r="E1147" s="18" t="n">
        <x:v>2887.51</x:v>
      </x:c>
      <x:c r="F1147" s="18" t="n">
        <x:v>0</x:v>
      </x:c>
      <x:c r="G1147" s="18" t="n">
        <x:v>12.99</x:v>
      </x:c>
      <x:c r="H1147" s="18" t="n">
        <x:v>4.39</x:v>
      </x:c>
      <x:c r="I1147" s="18" t="n">
        <x:v>17.38</x:v>
      </x:c>
      <x:c r="J1147" t="n">
        <x:f>IF(A1147=A1146,IFERROR(IF(B1147=EDATE(B1146,1),C1146,0),0),0)</x:f>
        <x:v>0</x:v>
      </x:c>
      <x:c r="K1147" t="n">
        <x:f>IF(AND(J1147=1,C1147=0),1,0)</x:f>
        <x:v>0</x:v>
      </x:c>
      <x:c r="L1147" t="str">
        <x:f>IFERROR(INDEX(Customers!$C$2:$C$451,MATCH(A1147,Customers!$A$2:$A$451,0)),"Unknown")</x:f>
        <x:v>Standard</x:v>
      </x:c>
    </x:row>
    <x:row r="1148">
      <x:c r="A1148" t="n">
        <x:v>210</x:v>
      </x:c>
      <x:c r="B1148" s="16" t="n">
        <x:v>46204</x:v>
      </x:c>
      <x:c r="C1148" t="n">
        <x:v>1</x:v>
      </x:c>
      <x:c r="D1148" t="n">
        <x:v>29</x:v>
      </x:c>
      <x:c r="E1148" s="18" t="n">
        <x:v>3159.55</x:v>
      </x:c>
      <x:c r="F1148" s="18" t="n">
        <x:v>0</x:v>
      </x:c>
      <x:c r="G1148" s="18" t="n">
        <x:v>14.22</x:v>
      </x:c>
      <x:c r="H1148" s="18" t="n">
        <x:v>8.43</x:v>
      </x:c>
      <x:c r="I1148" s="18" t="n">
        <x:v>22.65</x:v>
      </x:c>
      <x:c r="J1148" t="n">
        <x:f>IF(A1148=A1147,IFERROR(IF(B1148=EDATE(B1147,1),C1147,0),0),0)</x:f>
        <x:v>1</x:v>
      </x:c>
      <x:c r="K1148" t="n">
        <x:f>IF(AND(J1148=1,C1148=0),1,0)</x:f>
        <x:v>0</x:v>
      </x:c>
      <x:c r="L1148" t="str">
        <x:f>IFERROR(INDEX(Customers!$C$2:$C$451,MATCH(A1148,Customers!$A$2:$A$451,0)),"Unknown")</x:f>
        <x:v>Standard</x:v>
      </x:c>
    </x:row>
    <x:row r="1149">
      <x:c r="A1149" t="n">
        <x:v>210</x:v>
      </x:c>
      <x:c r="B1149" s="16" t="n">
        <x:v>46235</x:v>
      </x:c>
      <x:c r="C1149" t="n">
        <x:v>1</x:v>
      </x:c>
      <x:c r="D1149" t="n">
        <x:v>24</x:v>
      </x:c>
      <x:c r="E1149" s="18" t="n">
        <x:v>2951.82</x:v>
      </x:c>
      <x:c r="F1149" s="18" t="n">
        <x:v>0</x:v>
      </x:c>
      <x:c r="G1149" s="18" t="n">
        <x:v>13.28</x:v>
      </x:c>
      <x:c r="H1149" s="18" t="n">
        <x:v>7.08</x:v>
      </x:c>
      <x:c r="I1149" s="18" t="n">
        <x:v>20.36</x:v>
      </x:c>
      <x:c r="J1149" t="n">
        <x:f>IF(A1149=A1148,IFERROR(IF(B1149=EDATE(B1148,1),C1148,0),0),0)</x:f>
        <x:v>1</x:v>
      </x:c>
      <x:c r="K1149" t="n">
        <x:f>IF(AND(J1149=1,C1149=0),1,0)</x:f>
        <x:v>0</x:v>
      </x:c>
      <x:c r="L1149" t="str">
        <x:f>IFERROR(INDEX(Customers!$C$2:$C$451,MATCH(A1149,Customers!$A$2:$A$451,0)),"Unknown")</x:f>
        <x:v>Standard</x:v>
      </x:c>
    </x:row>
    <x:row r="1150">
      <x:c r="A1150" t="n">
        <x:v>210</x:v>
      </x:c>
      <x:c r="B1150" s="16" t="n">
        <x:v>46266</x:v>
      </x:c>
      <x:c r="C1150" t="n">
        <x:v>0</x:v>
      </x:c>
      <x:c r="D1150" t="n">
        <x:v>0</x:v>
      </x:c>
      <x:c r="E1150" s="18" t="n">
        <x:v>0</x:v>
      </x:c>
      <x:c r="F1150" s="18" t="n">
        <x:v>0</x:v>
      </x:c>
      <x:c r="G1150" s="18" t="n">
        <x:v>0</x:v>
      </x:c>
      <x:c r="H1150" s="18" t="n">
        <x:v>0</x:v>
      </x:c>
      <x:c r="I1150" s="18" t="n">
        <x:v>0</x:v>
      </x:c>
      <x:c r="J1150" t="n">
        <x:f>IF(A1150=A1149,IFERROR(IF(B1150=EDATE(B1149,1),C1149,0),0),0)</x:f>
        <x:v>1</x:v>
      </x:c>
      <x:c r="K1150" t="n">
        <x:f>IF(AND(J1150=1,C1150=0),1,0)</x:f>
        <x:v>1</x:v>
      </x:c>
      <x:c r="L1150" t="str">
        <x:f>IFERROR(INDEX(Customers!$C$2:$C$451,MATCH(A1150,Customers!$A$2:$A$451,0)),"Unknown")</x:f>
        <x:v>Standard</x:v>
      </x:c>
    </x:row>
    <x:row r="1151">
      <x:c r="A1151" t="n">
        <x:v>211</x:v>
      </x:c>
      <x:c r="B1151" s="16" t="n">
        <x:v>46143</x:v>
      </x:c>
      <x:c r="C1151" t="n">
        <x:v>0</x:v>
      </x:c>
      <x:c r="D1151" t="n">
        <x:v>0</x:v>
      </x:c>
      <x:c r="E1151" s="18" t="n">
        <x:v>0</x:v>
      </x:c>
      <x:c r="F1151" s="18" t="n">
        <x:v>0</x:v>
      </x:c>
      <x:c r="G1151" s="18" t="n">
        <x:v>0</x:v>
      </x:c>
      <x:c r="H1151" s="18" t="n">
        <x:v>0</x:v>
      </x:c>
      <x:c r="I1151" s="18" t="n">
        <x:v>0</x:v>
      </x:c>
      <x:c r="J1151" t="n">
        <x:f>IF(A1151=A1150,IFERROR(IF(B1151=EDATE(B1150,1),C1150,0),0),0)</x:f>
        <x:v>0</x:v>
      </x:c>
      <x:c r="K1151" t="n">
        <x:f>IF(AND(J1151=1,C1151=0),1,0)</x:f>
        <x:v>0</x:v>
      </x:c>
      <x:c r="L1151" t="str">
        <x:f>IFERROR(INDEX(Customers!$C$2:$C$451,MATCH(A1151,Customers!$A$2:$A$451,0)),"Unknown")</x:f>
        <x:v>Standard</x:v>
      </x:c>
    </x:row>
    <x:row r="1152">
      <x:c r="A1152" t="n">
        <x:v>211</x:v>
      </x:c>
      <x:c r="B1152" s="16" t="n">
        <x:v>46174</x:v>
      </x:c>
      <x:c r="C1152" t="n">
        <x:v>0</x:v>
      </x:c>
      <x:c r="D1152" t="n">
        <x:v>0</x:v>
      </x:c>
      <x:c r="E1152" s="18" t="n">
        <x:v>0</x:v>
      </x:c>
      <x:c r="F1152" s="18" t="n">
        <x:v>0</x:v>
      </x:c>
      <x:c r="G1152" s="18" t="n">
        <x:v>0</x:v>
      </x:c>
      <x:c r="H1152" s="18" t="n">
        <x:v>0</x:v>
      </x:c>
      <x:c r="I1152" s="18" t="n">
        <x:v>0</x:v>
      </x:c>
      <x:c r="J1152" t="n">
        <x:f>IF(A1152=A1151,IFERROR(IF(B1152=EDATE(B1151,1),C1151,0),0),0)</x:f>
        <x:v>0</x:v>
      </x:c>
      <x:c r="K1152" t="n">
        <x:f>IF(AND(J1152=1,C1152=0),1,0)</x:f>
        <x:v>0</x:v>
      </x:c>
      <x:c r="L1152" t="str">
        <x:f>IFERROR(INDEX(Customers!$C$2:$C$451,MATCH(A1152,Customers!$A$2:$A$451,0)),"Unknown")</x:f>
        <x:v>Standard</x:v>
      </x:c>
    </x:row>
    <x:row r="1153">
      <x:c r="A1153" t="n">
        <x:v>211</x:v>
      </x:c>
      <x:c r="B1153" s="16" t="n">
        <x:v>46204</x:v>
      </x:c>
      <x:c r="C1153" t="n">
        <x:v>0</x:v>
      </x:c>
      <x:c r="D1153" t="n">
        <x:v>0</x:v>
      </x:c>
      <x:c r="E1153" s="18" t="n">
        <x:v>0</x:v>
      </x:c>
      <x:c r="F1153" s="18" t="n">
        <x:v>0</x:v>
      </x:c>
      <x:c r="G1153" s="18" t="n">
        <x:v>0</x:v>
      </x:c>
      <x:c r="H1153" s="18" t="n">
        <x:v>0</x:v>
      </x:c>
      <x:c r="I1153" s="18" t="n">
        <x:v>0</x:v>
      </x:c>
      <x:c r="J1153" t="n">
        <x:f>IF(A1153=A1152,IFERROR(IF(B1153=EDATE(B1152,1),C1152,0),0),0)</x:f>
        <x:v>0</x:v>
      </x:c>
      <x:c r="K1153" t="n">
        <x:f>IF(AND(J1153=1,C1153=0),1,0)</x:f>
        <x:v>0</x:v>
      </x:c>
      <x:c r="L1153" t="str">
        <x:f>IFERROR(INDEX(Customers!$C$2:$C$451,MATCH(A1153,Customers!$A$2:$A$451,0)),"Unknown")</x:f>
        <x:v>Standard</x:v>
      </x:c>
    </x:row>
    <x:row r="1154">
      <x:c r="A1154" t="n">
        <x:v>211</x:v>
      </x:c>
      <x:c r="B1154" s="16" t="n">
        <x:v>46235</x:v>
      </x:c>
      <x:c r="C1154" t="n">
        <x:v>1</x:v>
      </x:c>
      <x:c r="D1154" t="n">
        <x:v>9</x:v>
      </x:c>
      <x:c r="E1154" s="18" t="n">
        <x:v>364.12</x:v>
      </x:c>
      <x:c r="F1154" s="18" t="n">
        <x:v>0</x:v>
      </x:c>
      <x:c r="G1154" s="18" t="n">
        <x:v>1.64</x:v>
      </x:c>
      <x:c r="H1154" s="18" t="n">
        <x:v>1.35</x:v>
      </x:c>
      <x:c r="I1154" s="18" t="n">
        <x:v>2.99</x:v>
      </x:c>
      <x:c r="J1154" t="n">
        <x:f>IF(A1154=A1153,IFERROR(IF(B1154=EDATE(B1153,1),C1153,0),0),0)</x:f>
        <x:v>0</x:v>
      </x:c>
      <x:c r="K1154" t="n">
        <x:f>IF(AND(J1154=1,C1154=0),1,0)</x:f>
        <x:v>0</x:v>
      </x:c>
      <x:c r="L1154" t="str">
        <x:f>IFERROR(INDEX(Customers!$C$2:$C$451,MATCH(A1154,Customers!$A$2:$A$451,0)),"Unknown")</x:f>
        <x:v>Standard</x:v>
      </x:c>
    </x:row>
    <x:row r="1155">
      <x:c r="A1155" t="n">
        <x:v>211</x:v>
      </x:c>
      <x:c r="B1155" s="16" t="n">
        <x:v>46266</x:v>
      </x:c>
      <x:c r="C1155" t="n">
        <x:v>0</x:v>
      </x:c>
      <x:c r="D1155" t="n">
        <x:v>0</x:v>
      </x:c>
      <x:c r="E1155" s="18" t="n">
        <x:v>0</x:v>
      </x:c>
      <x:c r="F1155" s="18" t="n">
        <x:v>0</x:v>
      </x:c>
      <x:c r="G1155" s="18" t="n">
        <x:v>0</x:v>
      </x:c>
      <x:c r="H1155" s="18" t="n">
        <x:v>0</x:v>
      </x:c>
      <x:c r="I1155" s="18" t="n">
        <x:v>0</x:v>
      </x:c>
      <x:c r="J1155" t="n">
        <x:f>IF(A1155=A1154,IFERROR(IF(B1155=EDATE(B1154,1),C1154,0),0),0)</x:f>
        <x:v>1</x:v>
      </x:c>
      <x:c r="K1155" t="n">
        <x:f>IF(AND(J1155=1,C1155=0),1,0)</x:f>
        <x:v>1</x:v>
      </x:c>
      <x:c r="L1155" t="str">
        <x:f>IFERROR(INDEX(Customers!$C$2:$C$451,MATCH(A1155,Customers!$A$2:$A$451,0)),"Unknown")</x:f>
        <x:v>Standard</x:v>
      </x:c>
    </x:row>
    <x:row r="1156">
      <x:c r="A1156" t="n">
        <x:v>212</x:v>
      </x:c>
      <x:c r="B1156" s="16" t="n">
        <x:v>46143</x:v>
      </x:c>
      <x:c r="C1156" t="n">
        <x:v>1</x:v>
      </x:c>
      <x:c r="D1156" t="n">
        <x:v>35</x:v>
      </x:c>
      <x:c r="E1156" s="18" t="n">
        <x:v>4635.13</x:v>
      </x:c>
      <x:c r="F1156" s="18" t="n">
        <x:v>0</x:v>
      </x:c>
      <x:c r="G1156" s="18" t="n">
        <x:v>20.86</x:v>
      </x:c>
      <x:c r="H1156" s="18" t="n">
        <x:v>8.46</x:v>
      </x:c>
      <x:c r="I1156" s="18" t="n">
        <x:v>29.32</x:v>
      </x:c>
      <x:c r="J1156" t="n">
        <x:f>IF(A1156=A1155,IFERROR(IF(B1156=EDATE(B1155,1),C1155,0),0),0)</x:f>
        <x:v>0</x:v>
      </x:c>
      <x:c r="K1156" t="n">
        <x:f>IF(AND(J1156=1,C1156=0),1,0)</x:f>
        <x:v>0</x:v>
      </x:c>
      <x:c r="L1156" t="str">
        <x:f>IFERROR(INDEX(Customers!$C$2:$C$451,MATCH(A1156,Customers!$A$2:$A$451,0)),"Unknown")</x:f>
        <x:v>Standard</x:v>
      </x:c>
    </x:row>
    <x:row r="1157">
      <x:c r="A1157" t="n">
        <x:v>212</x:v>
      </x:c>
      <x:c r="B1157" s="16" t="n">
        <x:v>46174</x:v>
      </x:c>
      <x:c r="C1157" t="n">
        <x:v>1</x:v>
      </x:c>
      <x:c r="D1157" t="n">
        <x:v>6</x:v>
      </x:c>
      <x:c r="E1157" s="18" t="n">
        <x:v>369.83</x:v>
      </x:c>
      <x:c r="F1157" s="18" t="n">
        <x:v>0</x:v>
      </x:c>
      <x:c r="G1157" s="18" t="n">
        <x:v>1.66</x:v>
      </x:c>
      <x:c r="H1157" s="18" t="n">
        <x:v>0.56</x:v>
      </x:c>
      <x:c r="I1157" s="18" t="n">
        <x:v>2.22</x:v>
      </x:c>
      <x:c r="J1157" t="n">
        <x:f>IF(A1157=A1156,IFERROR(IF(B1157=EDATE(B1156,1),C1156,0),0),0)</x:f>
        <x:v>1</x:v>
      </x:c>
      <x:c r="K1157" t="n">
        <x:f>IF(AND(J1157=1,C1157=0),1,0)</x:f>
        <x:v>0</x:v>
      </x:c>
      <x:c r="L1157" t="str">
        <x:f>IFERROR(INDEX(Customers!$C$2:$C$451,MATCH(A1157,Customers!$A$2:$A$451,0)),"Unknown")</x:f>
        <x:v>Standard</x:v>
      </x:c>
    </x:row>
    <x:row r="1158">
      <x:c r="A1158" t="n">
        <x:v>212</x:v>
      </x:c>
      <x:c r="B1158" s="16" t="n">
        <x:v>46204</x:v>
      </x:c>
      <x:c r="C1158" t="n">
        <x:v>1</x:v>
      </x:c>
      <x:c r="D1158" t="n">
        <x:v>17</x:v>
      </x:c>
      <x:c r="E1158" s="18" t="n">
        <x:v>1981.74</x:v>
      </x:c>
      <x:c r="F1158" s="18" t="n">
        <x:v>0</x:v>
      </x:c>
      <x:c r="G1158" s="18" t="n">
        <x:v>8.92</x:v>
      </x:c>
      <x:c r="H1158" s="18" t="n">
        <x:v>4.52</x:v>
      </x:c>
      <x:c r="I1158" s="18" t="n">
        <x:v>13.44</x:v>
      </x:c>
      <x:c r="J1158" t="n">
        <x:f>IF(A1158=A1157,IFERROR(IF(B1158=EDATE(B1157,1),C1157,0),0),0)</x:f>
        <x:v>1</x:v>
      </x:c>
      <x:c r="K1158" t="n">
        <x:f>IF(AND(J1158=1,C1158=0),1,0)</x:f>
        <x:v>0</x:v>
      </x:c>
      <x:c r="L1158" t="str">
        <x:f>IFERROR(INDEX(Customers!$C$2:$C$451,MATCH(A1158,Customers!$A$2:$A$451,0)),"Unknown")</x:f>
        <x:v>Standard</x:v>
      </x:c>
    </x:row>
    <x:row r="1159">
      <x:c r="A1159" t="n">
        <x:v>212</x:v>
      </x:c>
      <x:c r="B1159" s="16" t="n">
        <x:v>46235</x:v>
      </x:c>
      <x:c r="C1159" t="n">
        <x:v>1</x:v>
      </x:c>
      <x:c r="D1159" t="n">
        <x:v>29</x:v>
      </x:c>
      <x:c r="E1159" s="18" t="n">
        <x:v>3893.77</x:v>
      </x:c>
      <x:c r="F1159" s="18" t="n">
        <x:v>0</x:v>
      </x:c>
      <x:c r="G1159" s="18" t="n">
        <x:v>17.52</x:v>
      </x:c>
      <x:c r="H1159" s="18" t="n">
        <x:v>12.02</x:v>
      </x:c>
      <x:c r="I1159" s="18" t="n">
        <x:v>29.54</x:v>
      </x:c>
      <x:c r="J1159" t="n">
        <x:f>IF(A1159=A1158,IFERROR(IF(B1159=EDATE(B1158,1),C1158,0),0),0)</x:f>
        <x:v>1</x:v>
      </x:c>
      <x:c r="K1159" t="n">
        <x:f>IF(AND(J1159=1,C1159=0),1,0)</x:f>
        <x:v>0</x:v>
      </x:c>
      <x:c r="L1159" t="str">
        <x:f>IFERROR(INDEX(Customers!$C$2:$C$451,MATCH(A1159,Customers!$A$2:$A$451,0)),"Unknown")</x:f>
        <x:v>Standard</x:v>
      </x:c>
    </x:row>
    <x:row r="1160">
      <x:c r="A1160" t="n">
        <x:v>212</x:v>
      </x:c>
      <x:c r="B1160" s="16" t="n">
        <x:v>46266</x:v>
      </x:c>
      <x:c r="C1160" t="n">
        <x:v>0</x:v>
      </x:c>
      <x:c r="D1160" t="n">
        <x:v>0</x:v>
      </x:c>
      <x:c r="E1160" s="18" t="n">
        <x:v>0</x:v>
      </x:c>
      <x:c r="F1160" s="18" t="n">
        <x:v>0</x:v>
      </x:c>
      <x:c r="G1160" s="18" t="n">
        <x:v>0</x:v>
      </x:c>
      <x:c r="H1160" s="18" t="n">
        <x:v>0</x:v>
      </x:c>
      <x:c r="I1160" s="18" t="n">
        <x:v>0</x:v>
      </x:c>
      <x:c r="J1160" t="n">
        <x:f>IF(A1160=A1159,IFERROR(IF(B1160=EDATE(B1159,1),C1159,0),0),0)</x:f>
        <x:v>1</x:v>
      </x:c>
      <x:c r="K1160" t="n">
        <x:f>IF(AND(J1160=1,C1160=0),1,0)</x:f>
        <x:v>1</x:v>
      </x:c>
      <x:c r="L1160" t="str">
        <x:f>IFERROR(INDEX(Customers!$C$2:$C$451,MATCH(A1160,Customers!$A$2:$A$451,0)),"Unknown")</x:f>
        <x:v>Standard</x:v>
      </x:c>
    </x:row>
    <x:row r="1161">
      <x:c r="A1161" t="n">
        <x:v>213</x:v>
      </x:c>
      <x:c r="B1161" s="16" t="n">
        <x:v>46143</x:v>
      </x:c>
      <x:c r="C1161" t="n">
        <x:v>0</x:v>
      </x:c>
      <x:c r="D1161" t="n">
        <x:v>0</x:v>
      </x:c>
      <x:c r="E1161" s="18" t="n">
        <x:v>0</x:v>
      </x:c>
      <x:c r="F1161" s="18" t="n">
        <x:v>0</x:v>
      </x:c>
      <x:c r="G1161" s="18" t="n">
        <x:v>0</x:v>
      </x:c>
      <x:c r="H1161" s="18" t="n">
        <x:v>0</x:v>
      </x:c>
      <x:c r="I1161" s="18" t="n">
        <x:v>0</x:v>
      </x:c>
      <x:c r="J1161" t="n">
        <x:f>IF(A1161=A1160,IFERROR(IF(B1161=EDATE(B1160,1),C1160,0),0),0)</x:f>
        <x:v>0</x:v>
      </x:c>
      <x:c r="K1161" t="n">
        <x:f>IF(AND(J1161=1,C1161=0),1,0)</x:f>
        <x:v>0</x:v>
      </x:c>
      <x:c r="L1161" t="str">
        <x:f>IFERROR(INDEX(Customers!$C$2:$C$451,MATCH(A1161,Customers!$A$2:$A$451,0)),"Unknown")</x:f>
        <x:v>Premium</x:v>
      </x:c>
    </x:row>
    <x:row r="1162">
      <x:c r="A1162" t="n">
        <x:v>213</x:v>
      </x:c>
      <x:c r="B1162" s="16" t="n">
        <x:v>46174</x:v>
      </x:c>
      <x:c r="C1162" t="n">
        <x:v>1</x:v>
      </x:c>
      <x:c r="D1162" t="n">
        <x:v>9</x:v>
      </x:c>
      <x:c r="E1162" s="18" t="n">
        <x:v>666.05</x:v>
      </x:c>
      <x:c r="F1162" s="18" t="n">
        <x:v>17</x:v>
      </x:c>
      <x:c r="G1162" s="18" t="n">
        <x:v>3</x:v>
      </x:c>
      <x:c r="H1162" s="18" t="n">
        <x:v>1.59</x:v>
      </x:c>
      <x:c r="I1162" s="18" t="n">
        <x:v>21.59</x:v>
      </x:c>
      <x:c r="J1162" t="n">
        <x:f>IF(A1162=A1161,IFERROR(IF(B1162=EDATE(B1161,1),C1161,0),0),0)</x:f>
        <x:v>0</x:v>
      </x:c>
      <x:c r="K1162" t="n">
        <x:f>IF(AND(J1162=1,C1162=0),1,0)</x:f>
        <x:v>0</x:v>
      </x:c>
      <x:c r="L1162" t="str">
        <x:f>IFERROR(INDEX(Customers!$C$2:$C$451,MATCH(A1162,Customers!$A$2:$A$451,0)),"Unknown")</x:f>
        <x:v>Premium</x:v>
      </x:c>
    </x:row>
    <x:row r="1163">
      <x:c r="A1163" t="n">
        <x:v>213</x:v>
      </x:c>
      <x:c r="B1163" s="16" t="n">
        <x:v>46204</x:v>
      </x:c>
      <x:c r="C1163" t="n">
        <x:v>1</x:v>
      </x:c>
      <x:c r="D1163" t="n">
        <x:v>33</x:v>
      </x:c>
      <x:c r="E1163" s="18" t="n">
        <x:v>2148.33</x:v>
      </x:c>
      <x:c r="F1163" s="18" t="n">
        <x:v>17</x:v>
      </x:c>
      <x:c r="G1163" s="18" t="n">
        <x:v>9.67</x:v>
      </x:c>
      <x:c r="H1163" s="18" t="n">
        <x:v>1.9</x:v>
      </x:c>
      <x:c r="I1163" s="18" t="n">
        <x:v>28.57</x:v>
      </x:c>
      <x:c r="J1163" t="n">
        <x:f>IF(A1163=A1162,IFERROR(IF(B1163=EDATE(B1162,1),C1162,0),0),0)</x:f>
        <x:v>1</x:v>
      </x:c>
      <x:c r="K1163" t="n">
        <x:f>IF(AND(J1163=1,C1163=0),1,0)</x:f>
        <x:v>0</x:v>
      </x:c>
      <x:c r="L1163" t="str">
        <x:f>IFERROR(INDEX(Customers!$C$2:$C$451,MATCH(A1163,Customers!$A$2:$A$451,0)),"Unknown")</x:f>
        <x:v>Premium</x:v>
      </x:c>
    </x:row>
    <x:row r="1164">
      <x:c r="A1164" t="n">
        <x:v>213</x:v>
      </x:c>
      <x:c r="B1164" s="16" t="n">
        <x:v>46235</x:v>
      </x:c>
      <x:c r="C1164" t="n">
        <x:v>0</x:v>
      </x:c>
      <x:c r="D1164" t="n">
        <x:v>0</x:v>
      </x:c>
      <x:c r="E1164" s="18" t="n">
        <x:v>0</x:v>
      </x:c>
      <x:c r="F1164" s="18" t="n">
        <x:v>0</x:v>
      </x:c>
      <x:c r="G1164" s="18" t="n">
        <x:v>0</x:v>
      </x:c>
      <x:c r="H1164" s="18" t="n">
        <x:v>0</x:v>
      </x:c>
      <x:c r="I1164" s="18" t="n">
        <x:v>0</x:v>
      </x:c>
      <x:c r="J1164" t="n">
        <x:f>IF(A1164=A1163,IFERROR(IF(B1164=EDATE(B1163,1),C1163,0),0),0)</x:f>
        <x:v>1</x:v>
      </x:c>
      <x:c r="K1164" t="n">
        <x:f>IF(AND(J1164=1,C1164=0),1,0)</x:f>
        <x:v>1</x:v>
      </x:c>
      <x:c r="L1164" t="str">
        <x:f>IFERROR(INDEX(Customers!$C$2:$C$451,MATCH(A1164,Customers!$A$2:$A$451,0)),"Unknown")</x:f>
        <x:v>Premium</x:v>
      </x:c>
    </x:row>
    <x:row r="1165">
      <x:c r="A1165" t="n">
        <x:v>213</x:v>
      </x:c>
      <x:c r="B1165" s="16" t="n">
        <x:v>46266</x:v>
      </x:c>
      <x:c r="C1165" t="n">
        <x:v>1</x:v>
      </x:c>
      <x:c r="D1165" t="n">
        <x:v>29</x:v>
      </x:c>
      <x:c r="E1165" s="18" t="n">
        <x:v>2358.35</x:v>
      </x:c>
      <x:c r="F1165" s="18" t="n">
        <x:v>17</x:v>
      </x:c>
      <x:c r="G1165" s="18" t="n">
        <x:v>10.61</x:v>
      </x:c>
      <x:c r="H1165" s="18" t="n">
        <x:v>3.53</x:v>
      </x:c>
      <x:c r="I1165" s="18" t="n">
        <x:v>31.14</x:v>
      </x:c>
      <x:c r="J1165" t="n">
        <x:f>IF(A1165=A1164,IFERROR(IF(B1165=EDATE(B1164,1),C1164,0),0),0)</x:f>
        <x:v>0</x:v>
      </x:c>
      <x:c r="K1165" t="n">
        <x:f>IF(AND(J1165=1,C1165=0),1,0)</x:f>
        <x:v>0</x:v>
      </x:c>
      <x:c r="L1165" t="str">
        <x:f>IFERROR(INDEX(Customers!$C$2:$C$451,MATCH(A1165,Customers!$A$2:$A$451,0)),"Unknown")</x:f>
        <x:v>Premium</x:v>
      </x:c>
    </x:row>
    <x:row r="1166">
      <x:c r="A1166" t="n">
        <x:v>214</x:v>
      </x:c>
      <x:c r="B1166" s="16" t="n">
        <x:v>46143</x:v>
      </x:c>
      <x:c r="C1166" t="n">
        <x:v>1</x:v>
      </x:c>
      <x:c r="D1166" t="n">
        <x:v>13</x:v>
      </x:c>
      <x:c r="E1166" s="18" t="n">
        <x:v>1021.55</x:v>
      </x:c>
      <x:c r="F1166" s="18" t="n">
        <x:v>17</x:v>
      </x:c>
      <x:c r="G1166" s="18" t="n">
        <x:v>4.6</x:v>
      </x:c>
      <x:c r="H1166" s="18" t="n">
        <x:v>1.87</x:v>
      </x:c>
      <x:c r="I1166" s="18" t="n">
        <x:v>23.47</x:v>
      </x:c>
      <x:c r="J1166" t="n">
        <x:f>IF(A1166=A1165,IFERROR(IF(B1166=EDATE(B1165,1),C1165,0),0),0)</x:f>
        <x:v>0</x:v>
      </x:c>
      <x:c r="K1166" t="n">
        <x:f>IF(AND(J1166=1,C1166=0),1,0)</x:f>
        <x:v>0</x:v>
      </x:c>
      <x:c r="L1166" t="str">
        <x:f>IFERROR(INDEX(Customers!$C$2:$C$451,MATCH(A1166,Customers!$A$2:$A$451,0)),"Unknown")</x:f>
        <x:v>Premium</x:v>
      </x:c>
    </x:row>
    <x:row r="1167">
      <x:c r="A1167" t="n">
        <x:v>214</x:v>
      </x:c>
      <x:c r="B1167" s="16" t="n">
        <x:v>46174</x:v>
      </x:c>
      <x:c r="C1167" t="n">
        <x:v>1</x:v>
      </x:c>
      <x:c r="D1167" t="n">
        <x:v>24</x:v>
      </x:c>
      <x:c r="E1167" s="18" t="n">
        <x:v>1804.57</x:v>
      </x:c>
      <x:c r="F1167" s="18" t="n">
        <x:v>17</x:v>
      </x:c>
      <x:c r="G1167" s="18" t="n">
        <x:v>8.12</x:v>
      </x:c>
      <x:c r="H1167" s="18" t="n">
        <x:v>4.13</x:v>
      </x:c>
      <x:c r="I1167" s="18" t="n">
        <x:v>29.25</x:v>
      </x:c>
      <x:c r="J1167" t="n">
        <x:f>IF(A1167=A1166,IFERROR(IF(B1167=EDATE(B1166,1),C1166,0),0),0)</x:f>
        <x:v>1</x:v>
      </x:c>
      <x:c r="K1167" t="n">
        <x:f>IF(AND(J1167=1,C1167=0),1,0)</x:f>
        <x:v>0</x:v>
      </x:c>
      <x:c r="L1167" t="str">
        <x:f>IFERROR(INDEX(Customers!$C$2:$C$451,MATCH(A1167,Customers!$A$2:$A$451,0)),"Unknown")</x:f>
        <x:v>Premium</x:v>
      </x:c>
    </x:row>
    <x:row r="1168">
      <x:c r="A1168" t="n">
        <x:v>214</x:v>
      </x:c>
      <x:c r="B1168" s="16" t="n">
        <x:v>46204</x:v>
      </x:c>
      <x:c r="C1168" t="n">
        <x:v>1</x:v>
      </x:c>
      <x:c r="D1168" t="n">
        <x:v>23</x:v>
      </x:c>
      <x:c r="E1168" s="18" t="n">
        <x:v>2414.71</x:v>
      </x:c>
      <x:c r="F1168" s="18" t="n">
        <x:v>17</x:v>
      </x:c>
      <x:c r="G1168" s="18" t="n">
        <x:v>10.87</x:v>
      </x:c>
      <x:c r="H1168" s="18" t="n">
        <x:v>3.09</x:v>
      </x:c>
      <x:c r="I1168" s="18" t="n">
        <x:v>30.96</x:v>
      </x:c>
      <x:c r="J1168" t="n">
        <x:f>IF(A1168=A1167,IFERROR(IF(B1168=EDATE(B1167,1),C1167,0),0),0)</x:f>
        <x:v>1</x:v>
      </x:c>
      <x:c r="K1168" t="n">
        <x:f>IF(AND(J1168=1,C1168=0),1,0)</x:f>
        <x:v>0</x:v>
      </x:c>
      <x:c r="L1168" t="str">
        <x:f>IFERROR(INDEX(Customers!$C$2:$C$451,MATCH(A1168,Customers!$A$2:$A$451,0)),"Unknown")</x:f>
        <x:v>Premium</x:v>
      </x:c>
    </x:row>
    <x:row r="1169">
      <x:c r="A1169" t="n">
        <x:v>214</x:v>
      </x:c>
      <x:c r="B1169" s="16" t="n">
        <x:v>46235</x:v>
      </x:c>
      <x:c r="C1169" t="n">
        <x:v>1</x:v>
      </x:c>
      <x:c r="D1169" t="n">
        <x:v>5</x:v>
      </x:c>
      <x:c r="E1169" s="18" t="n">
        <x:v>509.75</x:v>
      </x:c>
      <x:c r="F1169" s="18" t="n">
        <x:v>17</x:v>
      </x:c>
      <x:c r="G1169" s="18" t="n">
        <x:v>2.29</x:v>
      </x:c>
      <x:c r="H1169" s="18" t="n">
        <x:v>1.35</x:v>
      </x:c>
      <x:c r="I1169" s="18" t="n">
        <x:v>20.64</x:v>
      </x:c>
      <x:c r="J1169" t="n">
        <x:f>IF(A1169=A1168,IFERROR(IF(B1169=EDATE(B1168,1),C1168,0),0),0)</x:f>
        <x:v>1</x:v>
      </x:c>
      <x:c r="K1169" t="n">
        <x:f>IF(AND(J1169=1,C1169=0),1,0)</x:f>
        <x:v>0</x:v>
      </x:c>
      <x:c r="L1169" t="str">
        <x:f>IFERROR(INDEX(Customers!$C$2:$C$451,MATCH(A1169,Customers!$A$2:$A$451,0)),"Unknown")</x:f>
        <x:v>Premium</x:v>
      </x:c>
    </x:row>
    <x:row r="1170">
      <x:c r="A1170" t="n">
        <x:v>214</x:v>
      </x:c>
      <x:c r="B1170" s="16" t="n">
        <x:v>46266</x:v>
      </x:c>
      <x:c r="C1170" t="n">
        <x:v>1</x:v>
      </x:c>
      <x:c r="D1170" t="n">
        <x:v>11</x:v>
      </x:c>
      <x:c r="E1170" s="18" t="n">
        <x:v>1443.55</x:v>
      </x:c>
      <x:c r="F1170" s="18" t="n">
        <x:v>17</x:v>
      </x:c>
      <x:c r="G1170" s="18" t="n">
        <x:v>6.5</x:v>
      </x:c>
      <x:c r="H1170" s="18" t="n">
        <x:v>2.46</x:v>
      </x:c>
      <x:c r="I1170" s="18" t="n">
        <x:v>25.96</x:v>
      </x:c>
      <x:c r="J1170" t="n">
        <x:f>IF(A1170=A1169,IFERROR(IF(B1170=EDATE(B1169,1),C1169,0),0),0)</x:f>
        <x:v>1</x:v>
      </x:c>
      <x:c r="K1170" t="n">
        <x:f>IF(AND(J1170=1,C1170=0),1,0)</x:f>
        <x:v>0</x:v>
      </x:c>
      <x:c r="L1170" t="str">
        <x:f>IFERROR(INDEX(Customers!$C$2:$C$451,MATCH(A1170,Customers!$A$2:$A$451,0)),"Unknown")</x:f>
        <x:v>Premium</x:v>
      </x:c>
    </x:row>
    <x:row r="1171">
      <x:c r="A1171" t="n">
        <x:v>215</x:v>
      </x:c>
      <x:c r="B1171" s="16" t="n">
        <x:v>46143</x:v>
      </x:c>
      <x:c r="C1171" t="n">
        <x:v>1</x:v>
      </x:c>
      <x:c r="D1171" t="n">
        <x:v>22</x:v>
      </x:c>
      <x:c r="E1171" s="18" t="n">
        <x:v>1601.21</x:v>
      </x:c>
      <x:c r="F1171" s="18" t="n">
        <x:v>34</x:v>
      </x:c>
      <x:c r="G1171" s="18" t="n">
        <x:v>7.21</x:v>
      </x:c>
      <x:c r="H1171" s="18" t="n">
        <x:v>4.44</x:v>
      </x:c>
      <x:c r="I1171" s="18" t="n">
        <x:v>45.65</x:v>
      </x:c>
      <x:c r="J1171" t="n">
        <x:f>IF(A1171=A1170,IFERROR(IF(B1171=EDATE(B1170,1),C1170,0),0),0)</x:f>
        <x:v>0</x:v>
      </x:c>
      <x:c r="K1171" t="n">
        <x:f>IF(AND(J1171=1,C1171=0),1,0)</x:f>
        <x:v>0</x:v>
      </x:c>
      <x:c r="L1171" t="str">
        <x:f>IFERROR(INDEX(Customers!$C$2:$C$451,MATCH(A1171,Customers!$A$2:$A$451,0)),"Unknown")</x:f>
        <x:v>Metal</x:v>
      </x:c>
    </x:row>
    <x:row r="1172">
      <x:c r="A1172" t="n">
        <x:v>215</x:v>
      </x:c>
      <x:c r="B1172" s="16" t="n">
        <x:v>46174</x:v>
      </x:c>
      <x:c r="C1172" t="n">
        <x:v>1</x:v>
      </x:c>
      <x:c r="D1172" t="n">
        <x:v>17</x:v>
      </x:c>
      <x:c r="E1172" s="18" t="n">
        <x:v>916.78</x:v>
      </x:c>
      <x:c r="F1172" s="18" t="n">
        <x:v>34</x:v>
      </x:c>
      <x:c r="G1172" s="18" t="n">
        <x:v>4.13</x:v>
      </x:c>
      <x:c r="H1172" s="18" t="n">
        <x:v>2.23</x:v>
      </x:c>
      <x:c r="I1172" s="18" t="n">
        <x:v>40.36</x:v>
      </x:c>
      <x:c r="J1172" t="n">
        <x:f>IF(A1172=A1171,IFERROR(IF(B1172=EDATE(B1171,1),C1171,0),0),0)</x:f>
        <x:v>1</x:v>
      </x:c>
      <x:c r="K1172" t="n">
        <x:f>IF(AND(J1172=1,C1172=0),1,0)</x:f>
        <x:v>0</x:v>
      </x:c>
      <x:c r="L1172" t="str">
        <x:f>IFERROR(INDEX(Customers!$C$2:$C$451,MATCH(A1172,Customers!$A$2:$A$451,0)),"Unknown")</x:f>
        <x:v>Metal</x:v>
      </x:c>
    </x:row>
    <x:row r="1173">
      <x:c r="A1173" t="n">
        <x:v>215</x:v>
      </x:c>
      <x:c r="B1173" s="16" t="n">
        <x:v>46204</x:v>
      </x:c>
      <x:c r="C1173" t="n">
        <x:v>1</x:v>
      </x:c>
      <x:c r="D1173" t="n">
        <x:v>32</x:v>
      </x:c>
      <x:c r="E1173" s="18" t="n">
        <x:v>4460</x:v>
      </x:c>
      <x:c r="F1173" s="18" t="n">
        <x:v>34</x:v>
      </x:c>
      <x:c r="G1173" s="18" t="n">
        <x:v>20.07</x:v>
      </x:c>
      <x:c r="H1173" s="18" t="n">
        <x:v>12.58</x:v>
      </x:c>
      <x:c r="I1173" s="18" t="n">
        <x:v>66.65</x:v>
      </x:c>
      <x:c r="J1173" t="n">
        <x:f>IF(A1173=A1172,IFERROR(IF(B1173=EDATE(B1172,1),C1172,0),0),0)</x:f>
        <x:v>1</x:v>
      </x:c>
      <x:c r="K1173" t="n">
        <x:f>IF(AND(J1173=1,C1173=0),1,0)</x:f>
        <x:v>0</x:v>
      </x:c>
      <x:c r="L1173" t="str">
        <x:f>IFERROR(INDEX(Customers!$C$2:$C$451,MATCH(A1173,Customers!$A$2:$A$451,0)),"Unknown")</x:f>
        <x:v>Metal</x:v>
      </x:c>
    </x:row>
    <x:row r="1174">
      <x:c r="A1174" t="n">
        <x:v>215</x:v>
      </x:c>
      <x:c r="B1174" s="16" t="n">
        <x:v>46235</x:v>
      </x:c>
      <x:c r="C1174" t="n">
        <x:v>1</x:v>
      </x:c>
      <x:c r="D1174" t="n">
        <x:v>19</x:v>
      </x:c>
      <x:c r="E1174" s="18" t="n">
        <x:v>1116.05</x:v>
      </x:c>
      <x:c r="F1174" s="18" t="n">
        <x:v>34</x:v>
      </x:c>
      <x:c r="G1174" s="18" t="n">
        <x:v>5.02</x:v>
      </x:c>
      <x:c r="H1174" s="18" t="n">
        <x:v>3.54</x:v>
      </x:c>
      <x:c r="I1174" s="18" t="n">
        <x:v>42.56</x:v>
      </x:c>
      <x:c r="J1174" t="n">
        <x:f>IF(A1174=A1173,IFERROR(IF(B1174=EDATE(B1173,1),C1173,0),0),0)</x:f>
        <x:v>1</x:v>
      </x:c>
      <x:c r="K1174" t="n">
        <x:f>IF(AND(J1174=1,C1174=0),1,0)</x:f>
        <x:v>0</x:v>
      </x:c>
      <x:c r="L1174" t="str">
        <x:f>IFERROR(INDEX(Customers!$C$2:$C$451,MATCH(A1174,Customers!$A$2:$A$451,0)),"Unknown")</x:f>
        <x:v>Metal</x:v>
      </x:c>
    </x:row>
    <x:row r="1175">
      <x:c r="A1175" t="n">
        <x:v>215</x:v>
      </x:c>
      <x:c r="B1175" s="16" t="n">
        <x:v>46266</x:v>
      </x:c>
      <x:c r="C1175" t="n">
        <x:v>0</x:v>
      </x:c>
      <x:c r="D1175" t="n">
        <x:v>0</x:v>
      </x:c>
      <x:c r="E1175" s="18" t="n">
        <x:v>0</x:v>
      </x:c>
      <x:c r="F1175" s="18" t="n">
        <x:v>0</x:v>
      </x:c>
      <x:c r="G1175" s="18" t="n">
        <x:v>0</x:v>
      </x:c>
      <x:c r="H1175" s="18" t="n">
        <x:v>0</x:v>
      </x:c>
      <x:c r="I1175" s="18" t="n">
        <x:v>0</x:v>
      </x:c>
      <x:c r="J1175" t="n">
        <x:f>IF(A1175=A1174,IFERROR(IF(B1175=EDATE(B1174,1),C1174,0),0),0)</x:f>
        <x:v>1</x:v>
      </x:c>
      <x:c r="K1175" t="n">
        <x:f>IF(AND(J1175=1,C1175=0),1,0)</x:f>
        <x:v>1</x:v>
      </x:c>
      <x:c r="L1175" t="str">
        <x:f>IFERROR(INDEX(Customers!$C$2:$C$451,MATCH(A1175,Customers!$A$2:$A$451,0)),"Unknown")</x:f>
        <x:v>Metal</x:v>
      </x:c>
    </x:row>
    <x:row r="1176">
      <x:c r="A1176" t="n">
        <x:v>216</x:v>
      </x:c>
      <x:c r="B1176" s="16" t="n">
        <x:v>46113</x:v>
      </x:c>
      <x:c r="C1176" t="n">
        <x:v>1</x:v>
      </x:c>
      <x:c r="D1176" t="n">
        <x:v>14</x:v>
      </x:c>
      <x:c r="E1176" s="18" t="n">
        <x:v>1637.93</x:v>
      </x:c>
      <x:c r="F1176" s="18" t="n">
        <x:v>0</x:v>
      </x:c>
      <x:c r="G1176" s="18" t="n">
        <x:v>7.37</x:v>
      </x:c>
      <x:c r="H1176" s="18" t="n">
        <x:v>5.86</x:v>
      </x:c>
      <x:c r="I1176" s="18" t="n">
        <x:v>13.23</x:v>
      </x:c>
      <x:c r="J1176" t="n">
        <x:f>IF(A1176=A1175,IFERROR(IF(B1176=EDATE(B1175,1),C1175,0),0),0)</x:f>
        <x:v>0</x:v>
      </x:c>
      <x:c r="K1176" t="n">
        <x:f>IF(AND(J1176=1,C1176=0),1,0)</x:f>
        <x:v>0</x:v>
      </x:c>
      <x:c r="L1176" t="str">
        <x:f>IFERROR(INDEX(Customers!$C$2:$C$451,MATCH(A1176,Customers!$A$2:$A$451,0)),"Unknown")</x:f>
        <x:v>Standard</x:v>
      </x:c>
    </x:row>
    <x:row r="1177">
      <x:c r="A1177" t="n">
        <x:v>216</x:v>
      </x:c>
      <x:c r="B1177" s="16" t="n">
        <x:v>46143</x:v>
      </x:c>
      <x:c r="C1177" t="n">
        <x:v>1</x:v>
      </x:c>
      <x:c r="D1177" t="n">
        <x:v>19</x:v>
      </x:c>
      <x:c r="E1177" s="18" t="n">
        <x:v>1023.66</x:v>
      </x:c>
      <x:c r="F1177" s="18" t="n">
        <x:v>0</x:v>
      </x:c>
      <x:c r="G1177" s="18" t="n">
        <x:v>4.61</x:v>
      </x:c>
      <x:c r="H1177" s="18" t="n">
        <x:v>2.43</x:v>
      </x:c>
      <x:c r="I1177" s="18" t="n">
        <x:v>7.04</x:v>
      </x:c>
      <x:c r="J1177" t="n">
        <x:f>IF(A1177=A1176,IFERROR(IF(B1177=EDATE(B1176,1),C1176,0),0),0)</x:f>
        <x:v>1</x:v>
      </x:c>
      <x:c r="K1177" t="n">
        <x:f>IF(AND(J1177=1,C1177=0),1,0)</x:f>
        <x:v>0</x:v>
      </x:c>
      <x:c r="L1177" t="str">
        <x:f>IFERROR(INDEX(Customers!$C$2:$C$451,MATCH(A1177,Customers!$A$2:$A$451,0)),"Unknown")</x:f>
        <x:v>Standard</x:v>
      </x:c>
    </x:row>
    <x:row r="1178">
      <x:c r="A1178" t="n">
        <x:v>216</x:v>
      </x:c>
      <x:c r="B1178" s="16" t="n">
        <x:v>46174</x:v>
      </x:c>
      <x:c r="C1178" t="n">
        <x:v>1</x:v>
      </x:c>
      <x:c r="D1178" t="n">
        <x:v>20</x:v>
      </x:c>
      <x:c r="E1178" s="18" t="n">
        <x:v>2103.71</x:v>
      </x:c>
      <x:c r="F1178" s="18" t="n">
        <x:v>0</x:v>
      </x:c>
      <x:c r="G1178" s="18" t="n">
        <x:v>9.47</x:v>
      </x:c>
      <x:c r="H1178" s="18" t="n">
        <x:v>7.78</x:v>
      </x:c>
      <x:c r="I1178" s="18" t="n">
        <x:v>17.25</x:v>
      </x:c>
      <x:c r="J1178" t="n">
        <x:f>IF(A1178=A1177,IFERROR(IF(B1178=EDATE(B1177,1),C1177,0),0),0)</x:f>
        <x:v>1</x:v>
      </x:c>
      <x:c r="K1178" t="n">
        <x:f>IF(AND(J1178=1,C1178=0),1,0)</x:f>
        <x:v>0</x:v>
      </x:c>
      <x:c r="L1178" t="str">
        <x:f>IFERROR(INDEX(Customers!$C$2:$C$451,MATCH(A1178,Customers!$A$2:$A$451,0)),"Unknown")</x:f>
        <x:v>Standard</x:v>
      </x:c>
    </x:row>
    <x:row r="1179">
      <x:c r="A1179" t="n">
        <x:v>216</x:v>
      </x:c>
      <x:c r="B1179" s="16" t="n">
        <x:v>46204</x:v>
      </x:c>
      <x:c r="C1179" t="n">
        <x:v>1</x:v>
      </x:c>
      <x:c r="D1179" t="n">
        <x:v>21</x:v>
      </x:c>
      <x:c r="E1179" s="18" t="n">
        <x:v>1379.46</x:v>
      </x:c>
      <x:c r="F1179" s="18" t="n">
        <x:v>0</x:v>
      </x:c>
      <x:c r="G1179" s="18" t="n">
        <x:v>6.21</x:v>
      </x:c>
      <x:c r="H1179" s="18" t="n">
        <x:v>2.97</x:v>
      </x:c>
      <x:c r="I1179" s="18" t="n">
        <x:v>9.18</x:v>
      </x:c>
      <x:c r="J1179" t="n">
        <x:f>IF(A1179=A1178,IFERROR(IF(B1179=EDATE(B1178,1),C1178,0),0),0)</x:f>
        <x:v>1</x:v>
      </x:c>
      <x:c r="K1179" t="n">
        <x:f>IF(AND(J1179=1,C1179=0),1,0)</x:f>
        <x:v>0</x:v>
      </x:c>
      <x:c r="L1179" t="str">
        <x:f>IFERROR(INDEX(Customers!$C$2:$C$451,MATCH(A1179,Customers!$A$2:$A$451,0)),"Unknown")</x:f>
        <x:v>Standard</x:v>
      </x:c>
    </x:row>
    <x:row r="1180">
      <x:c r="A1180" t="n">
        <x:v>216</x:v>
      </x:c>
      <x:c r="B1180" s="16" t="n">
        <x:v>46235</x:v>
      </x:c>
      <x:c r="C1180" t="n">
        <x:v>1</x:v>
      </x:c>
      <x:c r="D1180" t="n">
        <x:v>8</x:v>
      </x:c>
      <x:c r="E1180" s="18" t="n">
        <x:v>329.11</x:v>
      </x:c>
      <x:c r="F1180" s="18" t="n">
        <x:v>0</x:v>
      </x:c>
      <x:c r="G1180" s="18" t="n">
        <x:v>1.48</x:v>
      </x:c>
      <x:c r="H1180" s="18" t="n">
        <x:v>0.89</x:v>
      </x:c>
      <x:c r="I1180" s="18" t="n">
        <x:v>2.37</x:v>
      </x:c>
      <x:c r="J1180" t="n">
        <x:f>IF(A1180=A1179,IFERROR(IF(B1180=EDATE(B1179,1),C1179,0),0),0)</x:f>
        <x:v>1</x:v>
      </x:c>
      <x:c r="K1180" t="n">
        <x:f>IF(AND(J1180=1,C1180=0),1,0)</x:f>
        <x:v>0</x:v>
      </x:c>
      <x:c r="L1180" t="str">
        <x:f>IFERROR(INDEX(Customers!$C$2:$C$451,MATCH(A1180,Customers!$A$2:$A$451,0)),"Unknown")</x:f>
        <x:v>Standard</x:v>
      </x:c>
    </x:row>
    <x:row r="1181">
      <x:c r="A1181" t="n">
        <x:v>216</x:v>
      </x:c>
      <x:c r="B1181" s="16" t="n">
        <x:v>46266</x:v>
      </x:c>
      <x:c r="C1181" t="n">
        <x:v>1</x:v>
      </x:c>
      <x:c r="D1181" t="n">
        <x:v>19</x:v>
      </x:c>
      <x:c r="E1181" s="18" t="n">
        <x:v>689.24</x:v>
      </x:c>
      <x:c r="F1181" s="18" t="n">
        <x:v>0</x:v>
      </x:c>
      <x:c r="G1181" s="18" t="n">
        <x:v>3.1</x:v>
      </x:c>
      <x:c r="H1181" s="18" t="n">
        <x:v>2.58</x:v>
      </x:c>
      <x:c r="I1181" s="18" t="n">
        <x:v>5.68</x:v>
      </x:c>
      <x:c r="J1181" t="n">
        <x:f>IF(A1181=A1180,IFERROR(IF(B1181=EDATE(B1180,1),C1180,0),0),0)</x:f>
        <x:v>1</x:v>
      </x:c>
      <x:c r="K1181" t="n">
        <x:f>IF(AND(J1181=1,C1181=0),1,0)</x:f>
        <x:v>0</x:v>
      </x:c>
      <x:c r="L1181" t="str">
        <x:f>IFERROR(INDEX(Customers!$C$2:$C$451,MATCH(A1181,Customers!$A$2:$A$451,0)),"Unknown")</x:f>
        <x:v>Standard</x:v>
      </x:c>
    </x:row>
    <x:row r="1182">
      <x:c r="A1182" t="n">
        <x:v>217</x:v>
      </x:c>
      <x:c r="B1182" s="16" t="n">
        <x:v>46113</x:v>
      </x:c>
      <x:c r="C1182" t="n">
        <x:v>1</x:v>
      </x:c>
      <x:c r="D1182" t="n">
        <x:v>4</x:v>
      </x:c>
      <x:c r="E1182" s="18" t="n">
        <x:v>518.42</x:v>
      </x:c>
      <x:c r="F1182" s="18" t="n">
        <x:v>0</x:v>
      </x:c>
      <x:c r="G1182" s="18" t="n">
        <x:v>2.33</x:v>
      </x:c>
      <x:c r="H1182" s="18" t="n">
        <x:v>1.57</x:v>
      </x:c>
      <x:c r="I1182" s="18" t="n">
        <x:v>3.9</x:v>
      </x:c>
      <x:c r="J1182" t="n">
        <x:f>IF(A1182=A1181,IFERROR(IF(B1182=EDATE(B1181,1),C1181,0),0),0)</x:f>
        <x:v>0</x:v>
      </x:c>
      <x:c r="K1182" t="n">
        <x:f>IF(AND(J1182=1,C1182=0),1,0)</x:f>
        <x:v>0</x:v>
      </x:c>
      <x:c r="L1182" t="str">
        <x:f>IFERROR(INDEX(Customers!$C$2:$C$451,MATCH(A1182,Customers!$A$2:$A$451,0)),"Unknown")</x:f>
        <x:v>Standard</x:v>
      </x:c>
    </x:row>
    <x:row r="1183">
      <x:c r="A1183" t="n">
        <x:v>217</x:v>
      </x:c>
      <x:c r="B1183" s="16" t="n">
        <x:v>46143</x:v>
      </x:c>
      <x:c r="C1183" t="n">
        <x:v>1</x:v>
      </x:c>
      <x:c r="D1183" t="n">
        <x:v>19</x:v>
      </x:c>
      <x:c r="E1183" s="18" t="n">
        <x:v>2218.52</x:v>
      </x:c>
      <x:c r="F1183" s="18" t="n">
        <x:v>0</x:v>
      </x:c>
      <x:c r="G1183" s="18" t="n">
        <x:v>9.98</x:v>
      </x:c>
      <x:c r="H1183" s="18" t="n">
        <x:v>2.02</x:v>
      </x:c>
      <x:c r="I1183" s="18" t="n">
        <x:v>12</x:v>
      </x:c>
      <x:c r="J1183" t="n">
        <x:f>IF(A1183=A1182,IFERROR(IF(B1183=EDATE(B1182,1),C1182,0),0),0)</x:f>
        <x:v>1</x:v>
      </x:c>
      <x:c r="K1183" t="n">
        <x:f>IF(AND(J1183=1,C1183=0),1,0)</x:f>
        <x:v>0</x:v>
      </x:c>
      <x:c r="L1183" t="str">
        <x:f>IFERROR(INDEX(Customers!$C$2:$C$451,MATCH(A1183,Customers!$A$2:$A$451,0)),"Unknown")</x:f>
        <x:v>Standard</x:v>
      </x:c>
    </x:row>
    <x:row r="1184">
      <x:c r="A1184" t="n">
        <x:v>217</x:v>
      </x:c>
      <x:c r="B1184" s="16" t="n">
        <x:v>46174</x:v>
      </x:c>
      <x:c r="C1184" t="n">
        <x:v>1</x:v>
      </x:c>
      <x:c r="D1184" t="n">
        <x:v>27</x:v>
      </x:c>
      <x:c r="E1184" s="18" t="n">
        <x:v>1100.81</x:v>
      </x:c>
      <x:c r="F1184" s="18" t="n">
        <x:v>0</x:v>
      </x:c>
      <x:c r="G1184" s="18" t="n">
        <x:v>4.95</x:v>
      </x:c>
      <x:c r="H1184" s="18" t="n">
        <x:v>2.52</x:v>
      </x:c>
      <x:c r="I1184" s="18" t="n">
        <x:v>7.47</x:v>
      </x:c>
      <x:c r="J1184" t="n">
        <x:f>IF(A1184=A1183,IFERROR(IF(B1184=EDATE(B1183,1),C1183,0),0),0)</x:f>
        <x:v>1</x:v>
      </x:c>
      <x:c r="K1184" t="n">
        <x:f>IF(AND(J1184=1,C1184=0),1,0)</x:f>
        <x:v>0</x:v>
      </x:c>
      <x:c r="L1184" t="str">
        <x:f>IFERROR(INDEX(Customers!$C$2:$C$451,MATCH(A1184,Customers!$A$2:$A$451,0)),"Unknown")</x:f>
        <x:v>Standard</x:v>
      </x:c>
    </x:row>
    <x:row r="1185">
      <x:c r="A1185" t="n">
        <x:v>217</x:v>
      </x:c>
      <x:c r="B1185" s="16" t="n">
        <x:v>46204</x:v>
      </x:c>
      <x:c r="C1185" t="n">
        <x:v>1</x:v>
      </x:c>
      <x:c r="D1185" t="n">
        <x:v>5</x:v>
      </x:c>
      <x:c r="E1185" s="18" t="n">
        <x:v>368.71</x:v>
      </x:c>
      <x:c r="F1185" s="18" t="n">
        <x:v>0</x:v>
      </x:c>
      <x:c r="G1185" s="18" t="n">
        <x:v>1.66</x:v>
      </x:c>
      <x:c r="H1185" s="18" t="n">
        <x:v>1.26</x:v>
      </x:c>
      <x:c r="I1185" s="18" t="n">
        <x:v>2.92</x:v>
      </x:c>
      <x:c r="J1185" t="n">
        <x:f>IF(A1185=A1184,IFERROR(IF(B1185=EDATE(B1184,1),C1184,0),0),0)</x:f>
        <x:v>1</x:v>
      </x:c>
      <x:c r="K1185" t="n">
        <x:f>IF(AND(J1185=1,C1185=0),1,0)</x:f>
        <x:v>0</x:v>
      </x:c>
      <x:c r="L1185" t="str">
        <x:f>IFERROR(INDEX(Customers!$C$2:$C$451,MATCH(A1185,Customers!$A$2:$A$451,0)),"Unknown")</x:f>
        <x:v>Standard</x:v>
      </x:c>
    </x:row>
    <x:row r="1186">
      <x:c r="A1186" t="n">
        <x:v>217</x:v>
      </x:c>
      <x:c r="B1186" s="16" t="n">
        <x:v>46235</x:v>
      </x:c>
      <x:c r="C1186" t="n">
        <x:v>1</x:v>
      </x:c>
      <x:c r="D1186" t="n">
        <x:v>28</x:v>
      </x:c>
      <x:c r="E1186" s="18" t="n">
        <x:v>2766.65</x:v>
      </x:c>
      <x:c r="F1186" s="18" t="n">
        <x:v>0</x:v>
      </x:c>
      <x:c r="G1186" s="18" t="n">
        <x:v>12.45</x:v>
      </x:c>
      <x:c r="H1186" s="18" t="n">
        <x:v>5.3</x:v>
      </x:c>
      <x:c r="I1186" s="18" t="n">
        <x:v>17.75</x:v>
      </x:c>
      <x:c r="J1186" t="n">
        <x:f>IF(A1186=A1185,IFERROR(IF(B1186=EDATE(B1185,1),C1185,0),0),0)</x:f>
        <x:v>1</x:v>
      </x:c>
      <x:c r="K1186" t="n">
        <x:f>IF(AND(J1186=1,C1186=0),1,0)</x:f>
        <x:v>0</x:v>
      </x:c>
      <x:c r="L1186" t="str">
        <x:f>IFERROR(INDEX(Customers!$C$2:$C$451,MATCH(A1186,Customers!$A$2:$A$451,0)),"Unknown")</x:f>
        <x:v>Standard</x:v>
      </x:c>
    </x:row>
    <x:row r="1187">
      <x:c r="A1187" t="n">
        <x:v>217</x:v>
      </x:c>
      <x:c r="B1187" s="16" t="n">
        <x:v>46266</x:v>
      </x:c>
      <x:c r="C1187" t="n">
        <x:v>0</x:v>
      </x:c>
      <x:c r="D1187" t="n">
        <x:v>0</x:v>
      </x:c>
      <x:c r="E1187" s="18" t="n">
        <x:v>0</x:v>
      </x:c>
      <x:c r="F1187" s="18" t="n">
        <x:v>0</x:v>
      </x:c>
      <x:c r="G1187" s="18" t="n">
        <x:v>0</x:v>
      </x:c>
      <x:c r="H1187" s="18" t="n">
        <x:v>0</x:v>
      </x:c>
      <x:c r="I1187" s="18" t="n">
        <x:v>0</x:v>
      </x:c>
      <x:c r="J1187" t="n">
        <x:f>IF(A1187=A1186,IFERROR(IF(B1187=EDATE(B1186,1),C1186,0),0),0)</x:f>
        <x:v>1</x:v>
      </x:c>
      <x:c r="K1187" t="n">
        <x:f>IF(AND(J1187=1,C1187=0),1,0)</x:f>
        <x:v>1</x:v>
      </x:c>
      <x:c r="L1187" t="str">
        <x:f>IFERROR(INDEX(Customers!$C$2:$C$451,MATCH(A1187,Customers!$A$2:$A$451,0)),"Unknown")</x:f>
        <x:v>Standard</x:v>
      </x:c>
    </x:row>
    <x:row r="1188">
      <x:c r="A1188" t="n">
        <x:v>218</x:v>
      </x:c>
      <x:c r="B1188" s="16" t="n">
        <x:v>46113</x:v>
      </x:c>
      <x:c r="C1188" t="n">
        <x:v>1</x:v>
      </x:c>
      <x:c r="D1188" t="n">
        <x:v>35</x:v>
      </x:c>
      <x:c r="E1188" s="18" t="n">
        <x:v>1447.03</x:v>
      </x:c>
      <x:c r="F1188" s="18" t="n">
        <x:v>8</x:v>
      </x:c>
      <x:c r="G1188" s="18" t="n">
        <x:v>6.51</x:v>
      </x:c>
      <x:c r="H1188" s="18" t="n">
        <x:v>3.78</x:v>
      </x:c>
      <x:c r="I1188" s="18" t="n">
        <x:v>18.29</x:v>
      </x:c>
      <x:c r="J1188" t="n">
        <x:f>IF(A1188=A1187,IFERROR(IF(B1188=EDATE(B1187,1),C1187,0),0),0)</x:f>
        <x:v>0</x:v>
      </x:c>
      <x:c r="K1188" t="n">
        <x:f>IF(AND(J1188=1,C1188=0),1,0)</x:f>
        <x:v>0</x:v>
      </x:c>
      <x:c r="L1188" t="str">
        <x:f>IFERROR(INDEX(Customers!$C$2:$C$451,MATCH(A1188,Customers!$A$2:$A$451,0)),"Unknown")</x:f>
        <x:v>Plus</x:v>
      </x:c>
    </x:row>
    <x:row r="1189">
      <x:c r="A1189" t="n">
        <x:v>218</x:v>
      </x:c>
      <x:c r="B1189" s="16" t="n">
        <x:v>46143</x:v>
      </x:c>
      <x:c r="C1189" t="n">
        <x:v>1</x:v>
      </x:c>
      <x:c r="D1189" t="n">
        <x:v>21</x:v>
      </x:c>
      <x:c r="E1189" s="18" t="n">
        <x:v>758.01</x:v>
      </x:c>
      <x:c r="F1189" s="18" t="n">
        <x:v>8</x:v>
      </x:c>
      <x:c r="G1189" s="18" t="n">
        <x:v>3.41</x:v>
      </x:c>
      <x:c r="H1189" s="18" t="n">
        <x:v>2.72</x:v>
      </x:c>
      <x:c r="I1189" s="18" t="n">
        <x:v>14.13</x:v>
      </x:c>
      <x:c r="J1189" t="n">
        <x:f>IF(A1189=A1188,IFERROR(IF(B1189=EDATE(B1188,1),C1188,0),0),0)</x:f>
        <x:v>1</x:v>
      </x:c>
      <x:c r="K1189" t="n">
        <x:f>IF(AND(J1189=1,C1189=0),1,0)</x:f>
        <x:v>0</x:v>
      </x:c>
      <x:c r="L1189" t="str">
        <x:f>IFERROR(INDEX(Customers!$C$2:$C$451,MATCH(A1189,Customers!$A$2:$A$451,0)),"Unknown")</x:f>
        <x:v>Plus</x:v>
      </x:c>
    </x:row>
    <x:row r="1190">
      <x:c r="A1190" t="n">
        <x:v>218</x:v>
      </x:c>
      <x:c r="B1190" s="16" t="n">
        <x:v>46174</x:v>
      </x:c>
      <x:c r="C1190" t="n">
        <x:v>0</x:v>
      </x:c>
      <x:c r="D1190" t="n">
        <x:v>0</x:v>
      </x:c>
      <x:c r="E1190" s="18" t="n">
        <x:v>0</x:v>
      </x:c>
      <x:c r="F1190" s="18" t="n">
        <x:v>0</x:v>
      </x:c>
      <x:c r="G1190" s="18" t="n">
        <x:v>0</x:v>
      </x:c>
      <x:c r="H1190" s="18" t="n">
        <x:v>0</x:v>
      </x:c>
      <x:c r="I1190" s="18" t="n">
        <x:v>0</x:v>
      </x:c>
      <x:c r="J1190" t="n">
        <x:f>IF(A1190=A1189,IFERROR(IF(B1190=EDATE(B1189,1),C1189,0),0),0)</x:f>
        <x:v>1</x:v>
      </x:c>
      <x:c r="K1190" t="n">
        <x:f>IF(AND(J1190=1,C1190=0),1,0)</x:f>
        <x:v>1</x:v>
      </x:c>
      <x:c r="L1190" t="str">
        <x:f>IFERROR(INDEX(Customers!$C$2:$C$451,MATCH(A1190,Customers!$A$2:$A$451,0)),"Unknown")</x:f>
        <x:v>Plus</x:v>
      </x:c>
    </x:row>
    <x:row r="1191">
      <x:c r="A1191" t="n">
        <x:v>218</x:v>
      </x:c>
      <x:c r="B1191" s="16" t="n">
        <x:v>46204</x:v>
      </x:c>
      <x:c r="C1191" t="n">
        <x:v>1</x:v>
      </x:c>
      <x:c r="D1191" t="n">
        <x:v>36</x:v>
      </x:c>
      <x:c r="E1191" s="18" t="n">
        <x:v>3488.58</x:v>
      </x:c>
      <x:c r="F1191" s="18" t="n">
        <x:v>8</x:v>
      </x:c>
      <x:c r="G1191" s="18" t="n">
        <x:v>15.7</x:v>
      </x:c>
      <x:c r="H1191" s="18" t="n">
        <x:v>5.82</x:v>
      </x:c>
      <x:c r="I1191" s="18" t="n">
        <x:v>29.52</x:v>
      </x:c>
      <x:c r="J1191" t="n">
        <x:f>IF(A1191=A1190,IFERROR(IF(B1191=EDATE(B1190,1),C1190,0),0),0)</x:f>
        <x:v>0</x:v>
      </x:c>
      <x:c r="K1191" t="n">
        <x:f>IF(AND(J1191=1,C1191=0),1,0)</x:f>
        <x:v>0</x:v>
      </x:c>
      <x:c r="L1191" t="str">
        <x:f>IFERROR(INDEX(Customers!$C$2:$C$451,MATCH(A1191,Customers!$A$2:$A$451,0)),"Unknown")</x:f>
        <x:v>Plus</x:v>
      </x:c>
    </x:row>
    <x:row r="1192">
      <x:c r="A1192" t="n">
        <x:v>218</x:v>
      </x:c>
      <x:c r="B1192" s="16" t="n">
        <x:v>46235</x:v>
      </x:c>
      <x:c r="C1192" t="n">
        <x:v>1</x:v>
      </x:c>
      <x:c r="D1192" t="n">
        <x:v>36</x:v>
      </x:c>
      <x:c r="E1192" s="18" t="n">
        <x:v>3356.99</x:v>
      </x:c>
      <x:c r="F1192" s="18" t="n">
        <x:v>8</x:v>
      </x:c>
      <x:c r="G1192" s="18" t="n">
        <x:v>15.11</x:v>
      </x:c>
      <x:c r="H1192" s="18" t="n">
        <x:v>6.41</x:v>
      </x:c>
      <x:c r="I1192" s="18" t="n">
        <x:v>29.52</x:v>
      </x:c>
      <x:c r="J1192" t="n">
        <x:f>IF(A1192=A1191,IFERROR(IF(B1192=EDATE(B1191,1),C1191,0),0),0)</x:f>
        <x:v>1</x:v>
      </x:c>
      <x:c r="K1192" t="n">
        <x:f>IF(AND(J1192=1,C1192=0),1,0)</x:f>
        <x:v>0</x:v>
      </x:c>
      <x:c r="L1192" t="str">
        <x:f>IFERROR(INDEX(Customers!$C$2:$C$451,MATCH(A1192,Customers!$A$2:$A$451,0)),"Unknown")</x:f>
        <x:v>Plus</x:v>
      </x:c>
    </x:row>
    <x:row r="1193">
      <x:c r="A1193" t="n">
        <x:v>218</x:v>
      </x:c>
      <x:c r="B1193" s="16" t="n">
        <x:v>46266</x:v>
      </x:c>
      <x:c r="C1193" t="n">
        <x:v>1</x:v>
      </x:c>
      <x:c r="D1193" t="n">
        <x:v>14</x:v>
      </x:c>
      <x:c r="E1193" s="18" t="n">
        <x:v>907.7</x:v>
      </x:c>
      <x:c r="F1193" s="18" t="n">
        <x:v>8</x:v>
      </x:c>
      <x:c r="G1193" s="18" t="n">
        <x:v>4.08</x:v>
      </x:c>
      <x:c r="H1193" s="18" t="n">
        <x:v>1.54</x:v>
      </x:c>
      <x:c r="I1193" s="18" t="n">
        <x:v>13.62</x:v>
      </x:c>
      <x:c r="J1193" t="n">
        <x:f>IF(A1193=A1192,IFERROR(IF(B1193=EDATE(B1192,1),C1192,0),0),0)</x:f>
        <x:v>1</x:v>
      </x:c>
      <x:c r="K1193" t="n">
        <x:f>IF(AND(J1193=1,C1193=0),1,0)</x:f>
        <x:v>0</x:v>
      </x:c>
      <x:c r="L1193" t="str">
        <x:f>IFERROR(INDEX(Customers!$C$2:$C$451,MATCH(A1193,Customers!$A$2:$A$451,0)),"Unknown")</x:f>
        <x:v>Plus</x:v>
      </x:c>
    </x:row>
    <x:row r="1194">
      <x:c r="A1194" t="n">
        <x:v>219</x:v>
      </x:c>
      <x:c r="B1194" s="16" t="n">
        <x:v>46113</x:v>
      </x:c>
      <x:c r="C1194" t="n">
        <x:v>0</x:v>
      </x:c>
      <x:c r="D1194" t="n">
        <x:v>0</x:v>
      </x:c>
      <x:c r="E1194" s="18" t="n">
        <x:v>0</x:v>
      </x:c>
      <x:c r="F1194" s="18" t="n">
        <x:v>0</x:v>
      </x:c>
      <x:c r="G1194" s="18" t="n">
        <x:v>0</x:v>
      </x:c>
      <x:c r="H1194" s="18" t="n">
        <x:v>0</x:v>
      </x:c>
      <x:c r="I1194" s="18" t="n">
        <x:v>0</x:v>
      </x:c>
      <x:c r="J1194" t="n">
        <x:f>IF(A1194=A1193,IFERROR(IF(B1194=EDATE(B1193,1),C1193,0),0),0)</x:f>
        <x:v>0</x:v>
      </x:c>
      <x:c r="K1194" t="n">
        <x:f>IF(AND(J1194=1,C1194=0),1,0)</x:f>
        <x:v>0</x:v>
      </x:c>
      <x:c r="L1194" t="str">
        <x:f>IFERROR(INDEX(Customers!$C$2:$C$451,MATCH(A1194,Customers!$A$2:$A$451,0)),"Unknown")</x:f>
        <x:v>Standard</x:v>
      </x:c>
    </x:row>
    <x:row r="1195">
      <x:c r="A1195" t="n">
        <x:v>219</x:v>
      </x:c>
      <x:c r="B1195" s="16" t="n">
        <x:v>46143</x:v>
      </x:c>
      <x:c r="C1195" t="n">
        <x:v>1</x:v>
      </x:c>
      <x:c r="D1195" t="n">
        <x:v>12</x:v>
      </x:c>
      <x:c r="E1195" s="18" t="n">
        <x:v>1092.13</x:v>
      </x:c>
      <x:c r="F1195" s="18" t="n">
        <x:v>0</x:v>
      </x:c>
      <x:c r="G1195" s="18" t="n">
        <x:v>4.91</x:v>
      </x:c>
      <x:c r="H1195" s="18" t="n">
        <x:v>3.6</x:v>
      </x:c>
      <x:c r="I1195" s="18" t="n">
        <x:v>8.51</x:v>
      </x:c>
      <x:c r="J1195" t="n">
        <x:f>IF(A1195=A1194,IFERROR(IF(B1195=EDATE(B1194,1),C1194,0),0),0)</x:f>
        <x:v>0</x:v>
      </x:c>
      <x:c r="K1195" t="n">
        <x:f>IF(AND(J1195=1,C1195=0),1,0)</x:f>
        <x:v>0</x:v>
      </x:c>
      <x:c r="L1195" t="str">
        <x:f>IFERROR(INDEX(Customers!$C$2:$C$451,MATCH(A1195,Customers!$A$2:$A$451,0)),"Unknown")</x:f>
        <x:v>Standard</x:v>
      </x:c>
    </x:row>
    <x:row r="1196">
      <x:c r="A1196" t="n">
        <x:v>219</x:v>
      </x:c>
      <x:c r="B1196" s="16" t="n">
        <x:v>46174</x:v>
      </x:c>
      <x:c r="C1196" t="n">
        <x:v>1</x:v>
      </x:c>
      <x:c r="D1196" t="n">
        <x:v>34</x:v>
      </x:c>
      <x:c r="E1196" s="18" t="n">
        <x:v>3459.03</x:v>
      </x:c>
      <x:c r="F1196" s="18" t="n">
        <x:v>0</x:v>
      </x:c>
      <x:c r="G1196" s="18" t="n">
        <x:v>15.57</x:v>
      </x:c>
      <x:c r="H1196" s="18" t="n">
        <x:v>3.25</x:v>
      </x:c>
      <x:c r="I1196" s="18" t="n">
        <x:v>18.82</x:v>
      </x:c>
      <x:c r="J1196" t="n">
        <x:f>IF(A1196=A1195,IFERROR(IF(B1196=EDATE(B1195,1),C1195,0),0),0)</x:f>
        <x:v>1</x:v>
      </x:c>
      <x:c r="K1196" t="n">
        <x:f>IF(AND(J1196=1,C1196=0),1,0)</x:f>
        <x:v>0</x:v>
      </x:c>
      <x:c r="L1196" t="str">
        <x:f>IFERROR(INDEX(Customers!$C$2:$C$451,MATCH(A1196,Customers!$A$2:$A$451,0)),"Unknown")</x:f>
        <x:v>Standard</x:v>
      </x:c>
    </x:row>
    <x:row r="1197">
      <x:c r="A1197" t="n">
        <x:v>219</x:v>
      </x:c>
      <x:c r="B1197" s="16" t="n">
        <x:v>46204</x:v>
      </x:c>
      <x:c r="C1197" t="n">
        <x:v>0</x:v>
      </x:c>
      <x:c r="D1197" t="n">
        <x:v>0</x:v>
      </x:c>
      <x:c r="E1197" s="18" t="n">
        <x:v>0</x:v>
      </x:c>
      <x:c r="F1197" s="18" t="n">
        <x:v>0</x:v>
      </x:c>
      <x:c r="G1197" s="18" t="n">
        <x:v>0</x:v>
      </x:c>
      <x:c r="H1197" s="18" t="n">
        <x:v>0</x:v>
      </x:c>
      <x:c r="I1197" s="18" t="n">
        <x:v>0</x:v>
      </x:c>
      <x:c r="J1197" t="n">
        <x:f>IF(A1197=A1196,IFERROR(IF(B1197=EDATE(B1196,1),C1196,0),0),0)</x:f>
        <x:v>1</x:v>
      </x:c>
      <x:c r="K1197" t="n">
        <x:f>IF(AND(J1197=1,C1197=0),1,0)</x:f>
        <x:v>1</x:v>
      </x:c>
      <x:c r="L1197" t="str">
        <x:f>IFERROR(INDEX(Customers!$C$2:$C$451,MATCH(A1197,Customers!$A$2:$A$451,0)),"Unknown")</x:f>
        <x:v>Standard</x:v>
      </x:c>
    </x:row>
    <x:row r="1198">
      <x:c r="A1198" t="n">
        <x:v>219</x:v>
      </x:c>
      <x:c r="B1198" s="16" t="n">
        <x:v>46235</x:v>
      </x:c>
      <x:c r="C1198" t="n">
        <x:v>1</x:v>
      </x:c>
      <x:c r="D1198" t="n">
        <x:v>24</x:v>
      </x:c>
      <x:c r="E1198" s="18" t="n">
        <x:v>1196.49</x:v>
      </x:c>
      <x:c r="F1198" s="18" t="n">
        <x:v>0</x:v>
      </x:c>
      <x:c r="G1198" s="18" t="n">
        <x:v>5.38</x:v>
      </x:c>
      <x:c r="H1198" s="18" t="n">
        <x:v>3.73</x:v>
      </x:c>
      <x:c r="I1198" s="18" t="n">
        <x:v>9.11</x:v>
      </x:c>
      <x:c r="J1198" t="n">
        <x:f>IF(A1198=A1197,IFERROR(IF(B1198=EDATE(B1197,1),C1197,0),0),0)</x:f>
        <x:v>0</x:v>
      </x:c>
      <x:c r="K1198" t="n">
        <x:f>IF(AND(J1198=1,C1198=0),1,0)</x:f>
        <x:v>0</x:v>
      </x:c>
      <x:c r="L1198" t="str">
        <x:f>IFERROR(INDEX(Customers!$C$2:$C$451,MATCH(A1198,Customers!$A$2:$A$451,0)),"Unknown")</x:f>
        <x:v>Standard</x:v>
      </x:c>
    </x:row>
    <x:row r="1199">
      <x:c r="A1199" t="n">
        <x:v>219</x:v>
      </x:c>
      <x:c r="B1199" s="16" t="n">
        <x:v>46266</x:v>
      </x:c>
      <x:c r="C1199" t="n">
        <x:v>1</x:v>
      </x:c>
      <x:c r="D1199" t="n">
        <x:v>25</x:v>
      </x:c>
      <x:c r="E1199" s="18" t="n">
        <x:v>2299.01</x:v>
      </x:c>
      <x:c r="F1199" s="18" t="n">
        <x:v>0</x:v>
      </x:c>
      <x:c r="G1199" s="18" t="n">
        <x:v>10.35</x:v>
      </x:c>
      <x:c r="H1199" s="18" t="n">
        <x:v>6.68</x:v>
      </x:c>
      <x:c r="I1199" s="18" t="n">
        <x:v>17.03</x:v>
      </x:c>
      <x:c r="J1199" t="n">
        <x:f>IF(A1199=A1198,IFERROR(IF(B1199=EDATE(B1198,1),C1198,0),0),0)</x:f>
        <x:v>1</x:v>
      </x:c>
      <x:c r="K1199" t="n">
        <x:f>IF(AND(J1199=1,C1199=0),1,0)</x:f>
        <x:v>0</x:v>
      </x:c>
      <x:c r="L1199" t="str">
        <x:f>IFERROR(INDEX(Customers!$C$2:$C$451,MATCH(A1199,Customers!$A$2:$A$451,0)),"Unknown")</x:f>
        <x:v>Standard</x:v>
      </x:c>
    </x:row>
    <x:row r="1200">
      <x:c r="A1200" t="n">
        <x:v>220</x:v>
      </x:c>
      <x:c r="B1200" s="16" t="n">
        <x:v>46113</x:v>
      </x:c>
      <x:c r="C1200" t="n">
        <x:v>1</x:v>
      </x:c>
      <x:c r="D1200" t="n">
        <x:v>19</x:v>
      </x:c>
      <x:c r="E1200" s="18" t="n">
        <x:v>2325.66</x:v>
      </x:c>
      <x:c r="F1200" s="18" t="n">
        <x:v>17</x:v>
      </x:c>
      <x:c r="G1200" s="18" t="n">
        <x:v>10.47</x:v>
      </x:c>
      <x:c r="H1200" s="18" t="n">
        <x:v>6.59</x:v>
      </x:c>
      <x:c r="I1200" s="18" t="n">
        <x:v>34.06</x:v>
      </x:c>
      <x:c r="J1200" t="n">
        <x:f>IF(A1200=A1199,IFERROR(IF(B1200=EDATE(B1199,1),C1199,0),0),0)</x:f>
        <x:v>0</x:v>
      </x:c>
      <x:c r="K1200" t="n">
        <x:f>IF(AND(J1200=1,C1200=0),1,0)</x:f>
        <x:v>0</x:v>
      </x:c>
      <x:c r="L1200" t="str">
        <x:f>IFERROR(INDEX(Customers!$C$2:$C$451,MATCH(A1200,Customers!$A$2:$A$451,0)),"Unknown")</x:f>
        <x:v>Premium</x:v>
      </x:c>
    </x:row>
    <x:row r="1201">
      <x:c r="A1201" t="n">
        <x:v>220</x:v>
      </x:c>
      <x:c r="B1201" s="16" t="n">
        <x:v>46143</x:v>
      </x:c>
      <x:c r="C1201" t="n">
        <x:v>0</x:v>
      </x:c>
      <x:c r="D1201" t="n">
        <x:v>0</x:v>
      </x:c>
      <x:c r="E1201" s="18" t="n">
        <x:v>0</x:v>
      </x:c>
      <x:c r="F1201" s="18" t="n">
        <x:v>0</x:v>
      </x:c>
      <x:c r="G1201" s="18" t="n">
        <x:v>0</x:v>
      </x:c>
      <x:c r="H1201" s="18" t="n">
        <x:v>0</x:v>
      </x:c>
      <x:c r="I1201" s="18" t="n">
        <x:v>0</x:v>
      </x:c>
      <x:c r="J1201" t="n">
        <x:f>IF(A1201=A1200,IFERROR(IF(B1201=EDATE(B1200,1),C1200,0),0),0)</x:f>
        <x:v>1</x:v>
      </x:c>
      <x:c r="K1201" t="n">
        <x:f>IF(AND(J1201=1,C1201=0),1,0)</x:f>
        <x:v>1</x:v>
      </x:c>
      <x:c r="L1201" t="str">
        <x:f>IFERROR(INDEX(Customers!$C$2:$C$451,MATCH(A1201,Customers!$A$2:$A$451,0)),"Unknown")</x:f>
        <x:v>Premium</x:v>
      </x:c>
    </x:row>
    <x:row r="1202">
      <x:c r="A1202" t="n">
        <x:v>220</x:v>
      </x:c>
      <x:c r="B1202" s="16" t="n">
        <x:v>46174</x:v>
      </x:c>
      <x:c r="C1202" t="n">
        <x:v>1</x:v>
      </x:c>
      <x:c r="D1202" t="n">
        <x:v>22</x:v>
      </x:c>
      <x:c r="E1202" s="18" t="n">
        <x:v>1304.41</x:v>
      </x:c>
      <x:c r="F1202" s="18" t="n">
        <x:v>17</x:v>
      </x:c>
      <x:c r="G1202" s="18" t="n">
        <x:v>5.87</x:v>
      </x:c>
      <x:c r="H1202" s="18" t="n">
        <x:v>1.67</x:v>
      </x:c>
      <x:c r="I1202" s="18" t="n">
        <x:v>24.54</x:v>
      </x:c>
      <x:c r="J1202" t="n">
        <x:f>IF(A1202=A1201,IFERROR(IF(B1202=EDATE(B1201,1),C1201,0),0),0)</x:f>
        <x:v>0</x:v>
      </x:c>
      <x:c r="K1202" t="n">
        <x:f>IF(AND(J1202=1,C1202=0),1,0)</x:f>
        <x:v>0</x:v>
      </x:c>
      <x:c r="L1202" t="str">
        <x:f>IFERROR(INDEX(Customers!$C$2:$C$451,MATCH(A1202,Customers!$A$2:$A$451,0)),"Unknown")</x:f>
        <x:v>Premium</x:v>
      </x:c>
    </x:row>
    <x:row r="1203">
      <x:c r="A1203" t="n">
        <x:v>220</x:v>
      </x:c>
      <x:c r="B1203" s="16" t="n">
        <x:v>46204</x:v>
      </x:c>
      <x:c r="C1203" t="n">
        <x:v>1</x:v>
      </x:c>
      <x:c r="D1203" t="n">
        <x:v>35</x:v>
      </x:c>
      <x:c r="E1203" s="18" t="n">
        <x:v>4414.19</x:v>
      </x:c>
      <x:c r="F1203" s="18" t="n">
        <x:v>17</x:v>
      </x:c>
      <x:c r="G1203" s="18" t="n">
        <x:v>19.86</x:v>
      </x:c>
      <x:c r="H1203" s="18" t="n">
        <x:v>13.3</x:v>
      </x:c>
      <x:c r="I1203" s="18" t="n">
        <x:v>50.16</x:v>
      </x:c>
      <x:c r="J1203" t="n">
        <x:f>IF(A1203=A1202,IFERROR(IF(B1203=EDATE(B1202,1),C1202,0),0),0)</x:f>
        <x:v>1</x:v>
      </x:c>
      <x:c r="K1203" t="n">
        <x:f>IF(AND(J1203=1,C1203=0),1,0)</x:f>
        <x:v>0</x:v>
      </x:c>
      <x:c r="L1203" t="str">
        <x:f>IFERROR(INDEX(Customers!$C$2:$C$451,MATCH(A1203,Customers!$A$2:$A$451,0)),"Unknown")</x:f>
        <x:v>Premium</x:v>
      </x:c>
    </x:row>
    <x:row r="1204">
      <x:c r="A1204" t="n">
        <x:v>220</x:v>
      </x:c>
      <x:c r="B1204" s="16" t="n">
        <x:v>46235</x:v>
      </x:c>
      <x:c r="C1204" t="n">
        <x:v>1</x:v>
      </x:c>
      <x:c r="D1204" t="n">
        <x:v>34</x:v>
      </x:c>
      <x:c r="E1204" s="18" t="n">
        <x:v>2628.7</x:v>
      </x:c>
      <x:c r="F1204" s="18" t="n">
        <x:v>17</x:v>
      </x:c>
      <x:c r="G1204" s="18" t="n">
        <x:v>11.83</x:v>
      </x:c>
      <x:c r="H1204" s="18" t="n">
        <x:v>7.67</x:v>
      </x:c>
      <x:c r="I1204" s="18" t="n">
        <x:v>36.5</x:v>
      </x:c>
      <x:c r="J1204" t="n">
        <x:f>IF(A1204=A1203,IFERROR(IF(B1204=EDATE(B1203,1),C1203,0),0),0)</x:f>
        <x:v>1</x:v>
      </x:c>
      <x:c r="K1204" t="n">
        <x:f>IF(AND(J1204=1,C1204=0),1,0)</x:f>
        <x:v>0</x:v>
      </x:c>
      <x:c r="L1204" t="str">
        <x:f>IFERROR(INDEX(Customers!$C$2:$C$451,MATCH(A1204,Customers!$A$2:$A$451,0)),"Unknown")</x:f>
        <x:v>Premium</x:v>
      </x:c>
    </x:row>
    <x:row r="1205">
      <x:c r="A1205" t="n">
        <x:v>220</x:v>
      </x:c>
      <x:c r="B1205" s="16" t="n">
        <x:v>46266</x:v>
      </x:c>
      <x:c r="C1205" t="n">
        <x:v>0</x:v>
      </x:c>
      <x:c r="D1205" t="n">
        <x:v>0</x:v>
      </x:c>
      <x:c r="E1205" s="18" t="n">
        <x:v>0</x:v>
      </x:c>
      <x:c r="F1205" s="18" t="n">
        <x:v>0</x:v>
      </x:c>
      <x:c r="G1205" s="18" t="n">
        <x:v>0</x:v>
      </x:c>
      <x:c r="H1205" s="18" t="n">
        <x:v>0</x:v>
      </x:c>
      <x:c r="I1205" s="18" t="n">
        <x:v>0</x:v>
      </x:c>
      <x:c r="J1205" t="n">
        <x:f>IF(A1205=A1204,IFERROR(IF(B1205=EDATE(B1204,1),C1204,0),0),0)</x:f>
        <x:v>1</x:v>
      </x:c>
      <x:c r="K1205" t="n">
        <x:f>IF(AND(J1205=1,C1205=0),1,0)</x:f>
        <x:v>1</x:v>
      </x:c>
      <x:c r="L1205" t="str">
        <x:f>IFERROR(INDEX(Customers!$C$2:$C$451,MATCH(A1205,Customers!$A$2:$A$451,0)),"Unknown")</x:f>
        <x:v>Premium</x:v>
      </x:c>
    </x:row>
    <x:row r="1206">
      <x:c r="A1206" t="n">
        <x:v>221</x:v>
      </x:c>
      <x:c r="B1206" s="16" t="n">
        <x:v>46113</x:v>
      </x:c>
      <x:c r="C1206" t="n">
        <x:v>1</x:v>
      </x:c>
      <x:c r="D1206" t="n">
        <x:v>36</x:v>
      </x:c>
      <x:c r="E1206" s="18" t="n">
        <x:v>2921.54</x:v>
      </x:c>
      <x:c r="F1206" s="18" t="n">
        <x:v>0</x:v>
      </x:c>
      <x:c r="G1206" s="18" t="n">
        <x:v>13.15</x:v>
      </x:c>
      <x:c r="H1206" s="18" t="n">
        <x:v>10.45</x:v>
      </x:c>
      <x:c r="I1206" s="18" t="n">
        <x:v>23.6</x:v>
      </x:c>
      <x:c r="J1206" t="n">
        <x:f>IF(A1206=A1205,IFERROR(IF(B1206=EDATE(B1205,1),C1205,0),0),0)</x:f>
        <x:v>0</x:v>
      </x:c>
      <x:c r="K1206" t="n">
        <x:f>IF(AND(J1206=1,C1206=0),1,0)</x:f>
        <x:v>0</x:v>
      </x:c>
      <x:c r="L1206" t="str">
        <x:f>IFERROR(INDEX(Customers!$C$2:$C$451,MATCH(A1206,Customers!$A$2:$A$451,0)),"Unknown")</x:f>
        <x:v>Standard</x:v>
      </x:c>
    </x:row>
    <x:row r="1207">
      <x:c r="A1207" t="n">
        <x:v>221</x:v>
      </x:c>
      <x:c r="B1207" s="16" t="n">
        <x:v>46143</x:v>
      </x:c>
      <x:c r="C1207" t="n">
        <x:v>1</x:v>
      </x:c>
      <x:c r="D1207" t="n">
        <x:v>24</x:v>
      </x:c>
      <x:c r="E1207" s="18" t="n">
        <x:v>3307.68</x:v>
      </x:c>
      <x:c r="F1207" s="18" t="n">
        <x:v>0</x:v>
      </x:c>
      <x:c r="G1207" s="18" t="n">
        <x:v>14.88</x:v>
      </x:c>
      <x:c r="H1207" s="18" t="n">
        <x:v>11.47</x:v>
      </x:c>
      <x:c r="I1207" s="18" t="n">
        <x:v>26.35</x:v>
      </x:c>
      <x:c r="J1207" t="n">
        <x:f>IF(A1207=A1206,IFERROR(IF(B1207=EDATE(B1206,1),C1206,0),0),0)</x:f>
        <x:v>1</x:v>
      </x:c>
      <x:c r="K1207" t="n">
        <x:f>IF(AND(J1207=1,C1207=0),1,0)</x:f>
        <x:v>0</x:v>
      </x:c>
      <x:c r="L1207" t="str">
        <x:f>IFERROR(INDEX(Customers!$C$2:$C$451,MATCH(A1207,Customers!$A$2:$A$451,0)),"Unknown")</x:f>
        <x:v>Standard</x:v>
      </x:c>
    </x:row>
    <x:row r="1208">
      <x:c r="A1208" t="n">
        <x:v>221</x:v>
      </x:c>
      <x:c r="B1208" s="16" t="n">
        <x:v>46174</x:v>
      </x:c>
      <x:c r="C1208" t="n">
        <x:v>1</x:v>
      </x:c>
      <x:c r="D1208" t="n">
        <x:v>30</x:v>
      </x:c>
      <x:c r="E1208" s="18" t="n">
        <x:v>2876.26</x:v>
      </x:c>
      <x:c r="F1208" s="18" t="n">
        <x:v>0</x:v>
      </x:c>
      <x:c r="G1208" s="18" t="n">
        <x:v>12.94</x:v>
      </x:c>
      <x:c r="H1208" s="18" t="n">
        <x:v>4.78</x:v>
      </x:c>
      <x:c r="I1208" s="18" t="n">
        <x:v>17.72</x:v>
      </x:c>
      <x:c r="J1208" t="n">
        <x:f>IF(A1208=A1207,IFERROR(IF(B1208=EDATE(B1207,1),C1207,0),0),0)</x:f>
        <x:v>1</x:v>
      </x:c>
      <x:c r="K1208" t="n">
        <x:f>IF(AND(J1208=1,C1208=0),1,0)</x:f>
        <x:v>0</x:v>
      </x:c>
      <x:c r="L1208" t="str">
        <x:f>IFERROR(INDEX(Customers!$C$2:$C$451,MATCH(A1208,Customers!$A$2:$A$451,0)),"Unknown")</x:f>
        <x:v>Standard</x:v>
      </x:c>
    </x:row>
    <x:row r="1209">
      <x:c r="A1209" t="n">
        <x:v>221</x:v>
      </x:c>
      <x:c r="B1209" s="16" t="n">
        <x:v>46204</x:v>
      </x:c>
      <x:c r="C1209" t="n">
        <x:v>1</x:v>
      </x:c>
      <x:c r="D1209" t="n">
        <x:v>11</x:v>
      </x:c>
      <x:c r="E1209" s="18" t="n">
        <x:v>1027.36</x:v>
      </x:c>
      <x:c r="F1209" s="18" t="n">
        <x:v>0</x:v>
      </x:c>
      <x:c r="G1209" s="18" t="n">
        <x:v>4.62</x:v>
      </x:c>
      <x:c r="H1209" s="18" t="n">
        <x:v>2.6</x:v>
      </x:c>
      <x:c r="I1209" s="18" t="n">
        <x:v>7.22</x:v>
      </x:c>
      <x:c r="J1209" t="n">
        <x:f>IF(A1209=A1208,IFERROR(IF(B1209=EDATE(B1208,1),C1208,0),0),0)</x:f>
        <x:v>1</x:v>
      </x:c>
      <x:c r="K1209" t="n">
        <x:f>IF(AND(J1209=1,C1209=0),1,0)</x:f>
        <x:v>0</x:v>
      </x:c>
      <x:c r="L1209" t="str">
        <x:f>IFERROR(INDEX(Customers!$C$2:$C$451,MATCH(A1209,Customers!$A$2:$A$451,0)),"Unknown")</x:f>
        <x:v>Standard</x:v>
      </x:c>
    </x:row>
    <x:row r="1210">
      <x:c r="A1210" t="n">
        <x:v>221</x:v>
      </x:c>
      <x:c r="B1210" s="16" t="n">
        <x:v>46235</x:v>
      </x:c>
      <x:c r="C1210" t="n">
        <x:v>1</x:v>
      </x:c>
      <x:c r="D1210" t="n">
        <x:v>33</x:v>
      </x:c>
      <x:c r="E1210" s="18" t="n">
        <x:v>2187.22</x:v>
      </x:c>
      <x:c r="F1210" s="18" t="n">
        <x:v>0</x:v>
      </x:c>
      <x:c r="G1210" s="18" t="n">
        <x:v>9.84</x:v>
      </x:c>
      <x:c r="H1210" s="18" t="n">
        <x:v>7.81</x:v>
      </x:c>
      <x:c r="I1210" s="18" t="n">
        <x:v>17.65</x:v>
      </x:c>
      <x:c r="J1210" t="n">
        <x:f>IF(A1210=A1209,IFERROR(IF(B1210=EDATE(B1209,1),C1209,0),0),0)</x:f>
        <x:v>1</x:v>
      </x:c>
      <x:c r="K1210" t="n">
        <x:f>IF(AND(J1210=1,C1210=0),1,0)</x:f>
        <x:v>0</x:v>
      </x:c>
      <x:c r="L1210" t="str">
        <x:f>IFERROR(INDEX(Customers!$C$2:$C$451,MATCH(A1210,Customers!$A$2:$A$451,0)),"Unknown")</x:f>
        <x:v>Standard</x:v>
      </x:c>
    </x:row>
    <x:row r="1211">
      <x:c r="A1211" t="n">
        <x:v>221</x:v>
      </x:c>
      <x:c r="B1211" s="16" t="n">
        <x:v>46266</x:v>
      </x:c>
      <x:c r="C1211" t="n">
        <x:v>1</x:v>
      </x:c>
      <x:c r="D1211" t="n">
        <x:v>32</x:v>
      </x:c>
      <x:c r="E1211" s="18" t="n">
        <x:v>4465.51</x:v>
      </x:c>
      <x:c r="F1211" s="18" t="n">
        <x:v>0</x:v>
      </x:c>
      <x:c r="G1211" s="18" t="n">
        <x:v>20.09</x:v>
      </x:c>
      <x:c r="H1211" s="18" t="n">
        <x:v>12.07</x:v>
      </x:c>
      <x:c r="I1211" s="18" t="n">
        <x:v>32.16</x:v>
      </x:c>
      <x:c r="J1211" t="n">
        <x:f>IF(A1211=A1210,IFERROR(IF(B1211=EDATE(B1210,1),C1210,0),0),0)</x:f>
        <x:v>1</x:v>
      </x:c>
      <x:c r="K1211" t="n">
        <x:f>IF(AND(J1211=1,C1211=0),1,0)</x:f>
        <x:v>0</x:v>
      </x:c>
      <x:c r="L1211" t="str">
        <x:f>IFERROR(INDEX(Customers!$C$2:$C$451,MATCH(A1211,Customers!$A$2:$A$451,0)),"Unknown")</x:f>
        <x:v>Standard</x:v>
      </x:c>
    </x:row>
    <x:row r="1212">
      <x:c r="A1212" t="n">
        <x:v>222</x:v>
      </x:c>
      <x:c r="B1212" s="16" t="n">
        <x:v>46174</x:v>
      </x:c>
      <x:c r="C1212" t="n">
        <x:v>1</x:v>
      </x:c>
      <x:c r="D1212" t="n">
        <x:v>8</x:v>
      </x:c>
      <x:c r="E1212" s="18" t="n">
        <x:v>881.14</x:v>
      </x:c>
      <x:c r="F1212" s="18" t="n">
        <x:v>17</x:v>
      </x:c>
      <x:c r="G1212" s="18" t="n">
        <x:v>3.97</x:v>
      </x:c>
      <x:c r="H1212" s="18" t="n">
        <x:v>1.95</x:v>
      </x:c>
      <x:c r="I1212" s="18" t="n">
        <x:v>22.92</x:v>
      </x:c>
      <x:c r="J1212" t="n">
        <x:f>IF(A1212=A1211,IFERROR(IF(B1212=EDATE(B1211,1),C1211,0),0),0)</x:f>
        <x:v>0</x:v>
      </x:c>
      <x:c r="K1212" t="n">
        <x:f>IF(AND(J1212=1,C1212=0),1,0)</x:f>
        <x:v>0</x:v>
      </x:c>
      <x:c r="L1212" t="str">
        <x:f>IFERROR(INDEX(Customers!$C$2:$C$451,MATCH(A1212,Customers!$A$2:$A$451,0)),"Unknown")</x:f>
        <x:v>Premium</x:v>
      </x:c>
    </x:row>
    <x:row r="1213">
      <x:c r="A1213" t="n">
        <x:v>222</x:v>
      </x:c>
      <x:c r="B1213" s="16" t="n">
        <x:v>46204</x:v>
      </x:c>
      <x:c r="C1213" t="n">
        <x:v>1</x:v>
      </x:c>
      <x:c r="D1213" t="n">
        <x:v>27</x:v>
      </x:c>
      <x:c r="E1213" s="18" t="n">
        <x:v>998.42</x:v>
      </x:c>
      <x:c r="F1213" s="18" t="n">
        <x:v>17</x:v>
      </x:c>
      <x:c r="G1213" s="18" t="n">
        <x:v>4.49</x:v>
      </x:c>
      <x:c r="H1213" s="18" t="n">
        <x:v>0.88</x:v>
      </x:c>
      <x:c r="I1213" s="18" t="n">
        <x:v>22.37</x:v>
      </x:c>
      <x:c r="J1213" t="n">
        <x:f>IF(A1213=A1212,IFERROR(IF(B1213=EDATE(B1212,1),C1212,0),0),0)</x:f>
        <x:v>1</x:v>
      </x:c>
      <x:c r="K1213" t="n">
        <x:f>IF(AND(J1213=1,C1213=0),1,0)</x:f>
        <x:v>0</x:v>
      </x:c>
      <x:c r="L1213" t="str">
        <x:f>IFERROR(INDEX(Customers!$C$2:$C$451,MATCH(A1213,Customers!$A$2:$A$451,0)),"Unknown")</x:f>
        <x:v>Premium</x:v>
      </x:c>
    </x:row>
    <x:row r="1214">
      <x:c r="A1214" t="n">
        <x:v>222</x:v>
      </x:c>
      <x:c r="B1214" s="16" t="n">
        <x:v>46235</x:v>
      </x:c>
      <x:c r="C1214" t="n">
        <x:v>1</x:v>
      </x:c>
      <x:c r="D1214" t="n">
        <x:v>18</x:v>
      </x:c>
      <x:c r="E1214" s="18" t="n">
        <x:v>1277.27</x:v>
      </x:c>
      <x:c r="F1214" s="18" t="n">
        <x:v>17</x:v>
      </x:c>
      <x:c r="G1214" s="18" t="n">
        <x:v>5.75</x:v>
      </x:c>
      <x:c r="H1214" s="18" t="n">
        <x:v>4.15</x:v>
      </x:c>
      <x:c r="I1214" s="18" t="n">
        <x:v>26.9</x:v>
      </x:c>
      <x:c r="J1214" t="n">
        <x:f>IF(A1214=A1213,IFERROR(IF(B1214=EDATE(B1213,1),C1213,0),0),0)</x:f>
        <x:v>1</x:v>
      </x:c>
      <x:c r="K1214" t="n">
        <x:f>IF(AND(J1214=1,C1214=0),1,0)</x:f>
        <x:v>0</x:v>
      </x:c>
      <x:c r="L1214" t="str">
        <x:f>IFERROR(INDEX(Customers!$C$2:$C$451,MATCH(A1214,Customers!$A$2:$A$451,0)),"Unknown")</x:f>
        <x:v>Premium</x:v>
      </x:c>
    </x:row>
    <x:row r="1215">
      <x:c r="A1215" t="n">
        <x:v>222</x:v>
      </x:c>
      <x:c r="B1215" s="16" t="n">
        <x:v>46266</x:v>
      </x:c>
      <x:c r="C1215" t="n">
        <x:v>0</x:v>
      </x:c>
      <x:c r="D1215" t="n">
        <x:v>0</x:v>
      </x:c>
      <x:c r="E1215" s="18" t="n">
        <x:v>0</x:v>
      </x:c>
      <x:c r="F1215" s="18" t="n">
        <x:v>0</x:v>
      </x:c>
      <x:c r="G1215" s="18" t="n">
        <x:v>0</x:v>
      </x:c>
      <x:c r="H1215" s="18" t="n">
        <x:v>0</x:v>
      </x:c>
      <x:c r="I1215" s="18" t="n">
        <x:v>0</x:v>
      </x:c>
      <x:c r="J1215" t="n">
        <x:f>IF(A1215=A1214,IFERROR(IF(B1215=EDATE(B1214,1),C1214,0),0),0)</x:f>
        <x:v>1</x:v>
      </x:c>
      <x:c r="K1215" t="n">
        <x:f>IF(AND(J1215=1,C1215=0),1,0)</x:f>
        <x:v>1</x:v>
      </x:c>
      <x:c r="L1215" t="str">
        <x:f>IFERROR(INDEX(Customers!$C$2:$C$451,MATCH(A1215,Customers!$A$2:$A$451,0)),"Unknown")</x:f>
        <x:v>Premium</x:v>
      </x:c>
    </x:row>
    <x:row r="1216">
      <x:c r="A1216" t="n">
        <x:v>223</x:v>
      </x:c>
      <x:c r="B1216" s="16" t="n">
        <x:v>46113</x:v>
      </x:c>
      <x:c r="C1216" t="n">
        <x:v>0</x:v>
      </x:c>
      <x:c r="D1216" t="n">
        <x:v>0</x:v>
      </x:c>
      <x:c r="E1216" s="18" t="n">
        <x:v>0</x:v>
      </x:c>
      <x:c r="F1216" s="18" t="n">
        <x:v>0</x:v>
      </x:c>
      <x:c r="G1216" s="18" t="n">
        <x:v>0</x:v>
      </x:c>
      <x:c r="H1216" s="18" t="n">
        <x:v>0</x:v>
      </x:c>
      <x:c r="I1216" s="18" t="n">
        <x:v>0</x:v>
      </x:c>
      <x:c r="J1216" t="n">
        <x:f>IF(A1216=A1215,IFERROR(IF(B1216=EDATE(B1215,1),C1215,0),0),0)</x:f>
        <x:v>0</x:v>
      </x:c>
      <x:c r="K1216" t="n">
        <x:f>IF(AND(J1216=1,C1216=0),1,0)</x:f>
        <x:v>0</x:v>
      </x:c>
      <x:c r="L1216" t="str">
        <x:f>IFERROR(INDEX(Customers!$C$2:$C$451,MATCH(A1216,Customers!$A$2:$A$451,0)),"Unknown")</x:f>
        <x:v>Plus</x:v>
      </x:c>
    </x:row>
    <x:row r="1217">
      <x:c r="A1217" t="n">
        <x:v>223</x:v>
      </x:c>
      <x:c r="B1217" s="16" t="n">
        <x:v>46143</x:v>
      </x:c>
      <x:c r="C1217" t="n">
        <x:v>1</x:v>
      </x:c>
      <x:c r="D1217" t="n">
        <x:v>10</x:v>
      </x:c>
      <x:c r="E1217" s="18" t="n">
        <x:v>1102.71</x:v>
      </x:c>
      <x:c r="F1217" s="18" t="n">
        <x:v>8</x:v>
      </x:c>
      <x:c r="G1217" s="18" t="n">
        <x:v>4.96</x:v>
      </x:c>
      <x:c r="H1217" s="18" t="n">
        <x:v>2.63</x:v>
      </x:c>
      <x:c r="I1217" s="18" t="n">
        <x:v>15.59</x:v>
      </x:c>
      <x:c r="J1217" t="n">
        <x:f>IF(A1217=A1216,IFERROR(IF(B1217=EDATE(B1216,1),C1216,0),0),0)</x:f>
        <x:v>0</x:v>
      </x:c>
      <x:c r="K1217" t="n">
        <x:f>IF(AND(J1217=1,C1217=0),1,0)</x:f>
        <x:v>0</x:v>
      </x:c>
      <x:c r="L1217" t="str">
        <x:f>IFERROR(INDEX(Customers!$C$2:$C$451,MATCH(A1217,Customers!$A$2:$A$451,0)),"Unknown")</x:f>
        <x:v>Plus</x:v>
      </x:c>
    </x:row>
    <x:row r="1218">
      <x:c r="A1218" t="n">
        <x:v>223</x:v>
      </x:c>
      <x:c r="B1218" s="16" t="n">
        <x:v>46174</x:v>
      </x:c>
      <x:c r="C1218" t="n">
        <x:v>1</x:v>
      </x:c>
      <x:c r="D1218" t="n">
        <x:v>12</x:v>
      </x:c>
      <x:c r="E1218" s="18" t="n">
        <x:v>557.63</x:v>
      </x:c>
      <x:c r="F1218" s="18" t="n">
        <x:v>8</x:v>
      </x:c>
      <x:c r="G1218" s="18" t="n">
        <x:v>2.51</x:v>
      </x:c>
      <x:c r="H1218" s="18" t="n">
        <x:v>1.73</x:v>
      </x:c>
      <x:c r="I1218" s="18" t="n">
        <x:v>12.24</x:v>
      </x:c>
      <x:c r="J1218" t="n">
        <x:f>IF(A1218=A1217,IFERROR(IF(B1218=EDATE(B1217,1),C1217,0),0),0)</x:f>
        <x:v>1</x:v>
      </x:c>
      <x:c r="K1218" t="n">
        <x:f>IF(AND(J1218=1,C1218=0),1,0)</x:f>
        <x:v>0</x:v>
      </x:c>
      <x:c r="L1218" t="str">
        <x:f>IFERROR(INDEX(Customers!$C$2:$C$451,MATCH(A1218,Customers!$A$2:$A$451,0)),"Unknown")</x:f>
        <x:v>Plus</x:v>
      </x:c>
    </x:row>
    <x:row r="1219">
      <x:c r="A1219" t="n">
        <x:v>223</x:v>
      </x:c>
      <x:c r="B1219" s="16" t="n">
        <x:v>46204</x:v>
      </x:c>
      <x:c r="C1219" t="n">
        <x:v>1</x:v>
      </x:c>
      <x:c r="D1219" t="n">
        <x:v>18</x:v>
      </x:c>
      <x:c r="E1219" s="18" t="n">
        <x:v>1741.87</x:v>
      </x:c>
      <x:c r="F1219" s="18" t="n">
        <x:v>8</x:v>
      </x:c>
      <x:c r="G1219" s="18" t="n">
        <x:v>7.84</x:v>
      </x:c>
      <x:c r="H1219" s="18" t="n">
        <x:v>4.04</x:v>
      </x:c>
      <x:c r="I1219" s="18" t="n">
        <x:v>19.88</x:v>
      </x:c>
      <x:c r="J1219" t="n">
        <x:f>IF(A1219=A1218,IFERROR(IF(B1219=EDATE(B1218,1),C1218,0),0),0)</x:f>
        <x:v>1</x:v>
      </x:c>
      <x:c r="K1219" t="n">
        <x:f>IF(AND(J1219=1,C1219=0),1,0)</x:f>
        <x:v>0</x:v>
      </x:c>
      <x:c r="L1219" t="str">
        <x:f>IFERROR(INDEX(Customers!$C$2:$C$451,MATCH(A1219,Customers!$A$2:$A$451,0)),"Unknown")</x:f>
        <x:v>Plus</x:v>
      </x:c>
    </x:row>
    <x:row r="1220">
      <x:c r="A1220" t="n">
        <x:v>223</x:v>
      </x:c>
      <x:c r="B1220" s="16" t="n">
        <x:v>46235</x:v>
      </x:c>
      <x:c r="C1220" t="n">
        <x:v>1</x:v>
      </x:c>
      <x:c r="D1220" t="n">
        <x:v>26</x:v>
      </x:c>
      <x:c r="E1220" s="18" t="n">
        <x:v>928.75</x:v>
      </x:c>
      <x:c r="F1220" s="18" t="n">
        <x:v>8</x:v>
      </x:c>
      <x:c r="G1220" s="18" t="n">
        <x:v>4.18</x:v>
      </x:c>
      <x:c r="H1220" s="18" t="n">
        <x:v>2.93</x:v>
      </x:c>
      <x:c r="I1220" s="18" t="n">
        <x:v>15.11</x:v>
      </x:c>
      <x:c r="J1220" t="n">
        <x:f>IF(A1220=A1219,IFERROR(IF(B1220=EDATE(B1219,1),C1219,0),0),0)</x:f>
        <x:v>1</x:v>
      </x:c>
      <x:c r="K1220" t="n">
        <x:f>IF(AND(J1220=1,C1220=0),1,0)</x:f>
        <x:v>0</x:v>
      </x:c>
      <x:c r="L1220" t="str">
        <x:f>IFERROR(INDEX(Customers!$C$2:$C$451,MATCH(A1220,Customers!$A$2:$A$451,0)),"Unknown")</x:f>
        <x:v>Plus</x:v>
      </x:c>
    </x:row>
    <x:row r="1221">
      <x:c r="A1221" t="n">
        <x:v>223</x:v>
      </x:c>
      <x:c r="B1221" s="16" t="n">
        <x:v>46266</x:v>
      </x:c>
      <x:c r="C1221" t="n">
        <x:v>1</x:v>
      </x:c>
      <x:c r="D1221" t="n">
        <x:v>9</x:v>
      </x:c>
      <x:c r="E1221" s="18" t="n">
        <x:v>356.92</x:v>
      </x:c>
      <x:c r="F1221" s="18" t="n">
        <x:v>8</x:v>
      </x:c>
      <x:c r="G1221" s="18" t="n">
        <x:v>1.61</x:v>
      </x:c>
      <x:c r="H1221" s="18" t="n">
        <x:v>0.85</x:v>
      </x:c>
      <x:c r="I1221" s="18" t="n">
        <x:v>10.46</x:v>
      </x:c>
      <x:c r="J1221" t="n">
        <x:f>IF(A1221=A1220,IFERROR(IF(B1221=EDATE(B1220,1),C1220,0),0),0)</x:f>
        <x:v>1</x:v>
      </x:c>
      <x:c r="K1221" t="n">
        <x:f>IF(AND(J1221=1,C1221=0),1,0)</x:f>
        <x:v>0</x:v>
      </x:c>
      <x:c r="L1221" t="str">
        <x:f>IFERROR(INDEX(Customers!$C$2:$C$451,MATCH(A1221,Customers!$A$2:$A$451,0)),"Unknown")</x:f>
        <x:v>Plus</x:v>
      </x:c>
    </x:row>
    <x:row r="1222">
      <x:c r="A1222" t="n">
        <x:v>224</x:v>
      </x:c>
      <x:c r="B1222" s="16" t="n">
        <x:v>46113</x:v>
      </x:c>
      <x:c r="C1222" t="n">
        <x:v>1</x:v>
      </x:c>
      <x:c r="D1222" t="n">
        <x:v>7</x:v>
      </x:c>
      <x:c r="E1222" s="18" t="n">
        <x:v>970.37</x:v>
      </x:c>
      <x:c r="F1222" s="18" t="n">
        <x:v>34</x:v>
      </x:c>
      <x:c r="G1222" s="18" t="n">
        <x:v>4.37</x:v>
      </x:c>
      <x:c r="H1222" s="18" t="n">
        <x:v>1.94</x:v>
      </x:c>
      <x:c r="I1222" s="18" t="n">
        <x:v>40.31</x:v>
      </x:c>
      <x:c r="J1222" t="n">
        <x:f>IF(A1222=A1221,IFERROR(IF(B1222=EDATE(B1221,1),C1221,0),0),0)</x:f>
        <x:v>0</x:v>
      </x:c>
      <x:c r="K1222" t="n">
        <x:f>IF(AND(J1222=1,C1222=0),1,0)</x:f>
        <x:v>0</x:v>
      </x:c>
      <x:c r="L1222" t="str">
        <x:f>IFERROR(INDEX(Customers!$C$2:$C$451,MATCH(A1222,Customers!$A$2:$A$451,0)),"Unknown")</x:f>
        <x:v>Metal</x:v>
      </x:c>
    </x:row>
    <x:row r="1223">
      <x:c r="A1223" t="n">
        <x:v>224</x:v>
      </x:c>
      <x:c r="B1223" s="16" t="n">
        <x:v>46143</x:v>
      </x:c>
      <x:c r="C1223" t="n">
        <x:v>0</x:v>
      </x:c>
      <x:c r="D1223" t="n">
        <x:v>0</x:v>
      </x:c>
      <x:c r="E1223" s="18" t="n">
        <x:v>0</x:v>
      </x:c>
      <x:c r="F1223" s="18" t="n">
        <x:v>0</x:v>
      </x:c>
      <x:c r="G1223" s="18" t="n">
        <x:v>0</x:v>
      </x:c>
      <x:c r="H1223" s="18" t="n">
        <x:v>0</x:v>
      </x:c>
      <x:c r="I1223" s="18" t="n">
        <x:v>0</x:v>
      </x:c>
      <x:c r="J1223" t="n">
        <x:f>IF(A1223=A1222,IFERROR(IF(B1223=EDATE(B1222,1),C1222,0),0),0)</x:f>
        <x:v>1</x:v>
      </x:c>
      <x:c r="K1223" t="n">
        <x:f>IF(AND(J1223=1,C1223=0),1,0)</x:f>
        <x:v>1</x:v>
      </x:c>
      <x:c r="L1223" t="str">
        <x:f>IFERROR(INDEX(Customers!$C$2:$C$451,MATCH(A1223,Customers!$A$2:$A$451,0)),"Unknown")</x:f>
        <x:v>Metal</x:v>
      </x:c>
    </x:row>
    <x:row r="1224">
      <x:c r="A1224" t="n">
        <x:v>224</x:v>
      </x:c>
      <x:c r="B1224" s="16" t="n">
        <x:v>46174</x:v>
      </x:c>
      <x:c r="C1224" t="n">
        <x:v>1</x:v>
      </x:c>
      <x:c r="D1224" t="n">
        <x:v>32</x:v>
      </x:c>
      <x:c r="E1224" s="18" t="n">
        <x:v>3092.54</x:v>
      </x:c>
      <x:c r="F1224" s="18" t="n">
        <x:v>34</x:v>
      </x:c>
      <x:c r="G1224" s="18" t="n">
        <x:v>13.92</x:v>
      </x:c>
      <x:c r="H1224" s="18" t="n">
        <x:v>5.9</x:v>
      </x:c>
      <x:c r="I1224" s="18" t="n">
        <x:v>53.82</x:v>
      </x:c>
      <x:c r="J1224" t="n">
        <x:f>IF(A1224=A1223,IFERROR(IF(B1224=EDATE(B1223,1),C1223,0),0),0)</x:f>
        <x:v>0</x:v>
      </x:c>
      <x:c r="K1224" t="n">
        <x:f>IF(AND(J1224=1,C1224=0),1,0)</x:f>
        <x:v>0</x:v>
      </x:c>
      <x:c r="L1224" t="str">
        <x:f>IFERROR(INDEX(Customers!$C$2:$C$451,MATCH(A1224,Customers!$A$2:$A$451,0)),"Unknown")</x:f>
        <x:v>Metal</x:v>
      </x:c>
    </x:row>
    <x:row r="1225">
      <x:c r="A1225" t="n">
        <x:v>224</x:v>
      </x:c>
      <x:c r="B1225" s="16" t="n">
        <x:v>46204</x:v>
      </x:c>
      <x:c r="C1225" t="n">
        <x:v>1</x:v>
      </x:c>
      <x:c r="D1225" t="n">
        <x:v>34</x:v>
      </x:c>
      <x:c r="E1225" s="18" t="n">
        <x:v>3618.23</x:v>
      </x:c>
      <x:c r="F1225" s="18" t="n">
        <x:v>34</x:v>
      </x:c>
      <x:c r="G1225" s="18" t="n">
        <x:v>16.28</x:v>
      </x:c>
      <x:c r="H1225" s="18" t="n">
        <x:v>5.25</x:v>
      </x:c>
      <x:c r="I1225" s="18" t="n">
        <x:v>55.53</x:v>
      </x:c>
      <x:c r="J1225" t="n">
        <x:f>IF(A1225=A1224,IFERROR(IF(B1225=EDATE(B1224,1),C1224,0),0),0)</x:f>
        <x:v>1</x:v>
      </x:c>
      <x:c r="K1225" t="n">
        <x:f>IF(AND(J1225=1,C1225=0),1,0)</x:f>
        <x:v>0</x:v>
      </x:c>
      <x:c r="L1225" t="str">
        <x:f>IFERROR(INDEX(Customers!$C$2:$C$451,MATCH(A1225,Customers!$A$2:$A$451,0)),"Unknown")</x:f>
        <x:v>Metal</x:v>
      </x:c>
    </x:row>
    <x:row r="1226">
      <x:c r="A1226" t="n">
        <x:v>224</x:v>
      </x:c>
      <x:c r="B1226" s="16" t="n">
        <x:v>46235</x:v>
      </x:c>
      <x:c r="C1226" t="n">
        <x:v>1</x:v>
      </x:c>
      <x:c r="D1226" t="n">
        <x:v>22</x:v>
      </x:c>
      <x:c r="E1226" s="18" t="n">
        <x:v>1249.41</x:v>
      </x:c>
      <x:c r="F1226" s="18" t="n">
        <x:v>34</x:v>
      </x:c>
      <x:c r="G1226" s="18" t="n">
        <x:v>5.62</x:v>
      </x:c>
      <x:c r="H1226" s="18" t="n">
        <x:v>3.15</x:v>
      </x:c>
      <x:c r="I1226" s="18" t="n">
        <x:v>42.77</x:v>
      </x:c>
      <x:c r="J1226" t="n">
        <x:f>IF(A1226=A1225,IFERROR(IF(B1226=EDATE(B1225,1),C1225,0),0),0)</x:f>
        <x:v>1</x:v>
      </x:c>
      <x:c r="K1226" t="n">
        <x:f>IF(AND(J1226=1,C1226=0),1,0)</x:f>
        <x:v>0</x:v>
      </x:c>
      <x:c r="L1226" t="str">
        <x:f>IFERROR(INDEX(Customers!$C$2:$C$451,MATCH(A1226,Customers!$A$2:$A$451,0)),"Unknown")</x:f>
        <x:v>Metal</x:v>
      </x:c>
    </x:row>
    <x:row r="1227">
      <x:c r="A1227" t="n">
        <x:v>224</x:v>
      </x:c>
      <x:c r="B1227" s="16" t="n">
        <x:v>46266</x:v>
      </x:c>
      <x:c r="C1227" t="n">
        <x:v>0</x:v>
      </x:c>
      <x:c r="D1227" t="n">
        <x:v>0</x:v>
      </x:c>
      <x:c r="E1227" s="18" t="n">
        <x:v>0</x:v>
      </x:c>
      <x:c r="F1227" s="18" t="n">
        <x:v>0</x:v>
      </x:c>
      <x:c r="G1227" s="18" t="n">
        <x:v>0</x:v>
      </x:c>
      <x:c r="H1227" s="18" t="n">
        <x:v>0</x:v>
      </x:c>
      <x:c r="I1227" s="18" t="n">
        <x:v>0</x:v>
      </x:c>
      <x:c r="J1227" t="n">
        <x:f>IF(A1227=A1226,IFERROR(IF(B1227=EDATE(B1226,1),C1226,0),0),0)</x:f>
        <x:v>1</x:v>
      </x:c>
      <x:c r="K1227" t="n">
        <x:f>IF(AND(J1227=1,C1227=0),1,0)</x:f>
        <x:v>1</x:v>
      </x:c>
      <x:c r="L1227" t="str">
        <x:f>IFERROR(INDEX(Customers!$C$2:$C$451,MATCH(A1227,Customers!$A$2:$A$451,0)),"Unknown")</x:f>
        <x:v>Metal</x:v>
      </x:c>
    </x:row>
    <x:row r="1228">
      <x:c r="A1228" t="n">
        <x:v>225</x:v>
      </x:c>
      <x:c r="B1228" s="16" t="n">
        <x:v>46113</x:v>
      </x:c>
      <x:c r="C1228" t="n">
        <x:v>0</x:v>
      </x:c>
      <x:c r="D1228" t="n">
        <x:v>0</x:v>
      </x:c>
      <x:c r="E1228" s="18" t="n">
        <x:v>0</x:v>
      </x:c>
      <x:c r="F1228" s="18" t="n">
        <x:v>0</x:v>
      </x:c>
      <x:c r="G1228" s="18" t="n">
        <x:v>0</x:v>
      </x:c>
      <x:c r="H1228" s="18" t="n">
        <x:v>0</x:v>
      </x:c>
      <x:c r="I1228" s="18" t="n">
        <x:v>0</x:v>
      </x:c>
      <x:c r="J1228" t="n">
        <x:f>IF(A1228=A1227,IFERROR(IF(B1228=EDATE(B1227,1),C1227,0),0),0)</x:f>
        <x:v>0</x:v>
      </x:c>
      <x:c r="K1228" t="n">
        <x:f>IF(AND(J1228=1,C1228=0),1,0)</x:f>
        <x:v>0</x:v>
      </x:c>
      <x:c r="L1228" t="str">
        <x:f>IFERROR(INDEX(Customers!$C$2:$C$451,MATCH(A1228,Customers!$A$2:$A$451,0)),"Unknown")</x:f>
        <x:v>Standard</x:v>
      </x:c>
    </x:row>
    <x:row r="1229">
      <x:c r="A1229" t="n">
        <x:v>225</x:v>
      </x:c>
      <x:c r="B1229" s="16" t="n">
        <x:v>46143</x:v>
      </x:c>
      <x:c r="C1229" t="n">
        <x:v>0</x:v>
      </x:c>
      <x:c r="D1229" t="n">
        <x:v>0</x:v>
      </x:c>
      <x:c r="E1229" s="18" t="n">
        <x:v>0</x:v>
      </x:c>
      <x:c r="F1229" s="18" t="n">
        <x:v>0</x:v>
      </x:c>
      <x:c r="G1229" s="18" t="n">
        <x:v>0</x:v>
      </x:c>
      <x:c r="H1229" s="18" t="n">
        <x:v>0</x:v>
      </x:c>
      <x:c r="I1229" s="18" t="n">
        <x:v>0</x:v>
      </x:c>
      <x:c r="J1229" t="n">
        <x:f>IF(A1229=A1228,IFERROR(IF(B1229=EDATE(B1228,1),C1228,0),0),0)</x:f>
        <x:v>0</x:v>
      </x:c>
      <x:c r="K1229" t="n">
        <x:f>IF(AND(J1229=1,C1229=0),1,0)</x:f>
        <x:v>0</x:v>
      </x:c>
      <x:c r="L1229" t="str">
        <x:f>IFERROR(INDEX(Customers!$C$2:$C$451,MATCH(A1229,Customers!$A$2:$A$451,0)),"Unknown")</x:f>
        <x:v>Standard</x:v>
      </x:c>
    </x:row>
    <x:row r="1230">
      <x:c r="A1230" t="n">
        <x:v>225</x:v>
      </x:c>
      <x:c r="B1230" s="16" t="n">
        <x:v>46174</x:v>
      </x:c>
      <x:c r="C1230" t="n">
        <x:v>1</x:v>
      </x:c>
      <x:c r="D1230" t="n">
        <x:v>12</x:v>
      </x:c>
      <x:c r="E1230" s="18" t="n">
        <x:v>816.65</x:v>
      </x:c>
      <x:c r="F1230" s="18" t="n">
        <x:v>0</x:v>
      </x:c>
      <x:c r="G1230" s="18" t="n">
        <x:v>3.67</x:v>
      </x:c>
      <x:c r="H1230" s="18" t="n">
        <x:v>0.86</x:v>
      </x:c>
      <x:c r="I1230" s="18" t="n">
        <x:v>4.53</x:v>
      </x:c>
      <x:c r="J1230" t="n">
        <x:f>IF(A1230=A1229,IFERROR(IF(B1230=EDATE(B1229,1),C1229,0),0),0)</x:f>
        <x:v>0</x:v>
      </x:c>
      <x:c r="K1230" t="n">
        <x:f>IF(AND(J1230=1,C1230=0),1,0)</x:f>
        <x:v>0</x:v>
      </x:c>
      <x:c r="L1230" t="str">
        <x:f>IFERROR(INDEX(Customers!$C$2:$C$451,MATCH(A1230,Customers!$A$2:$A$451,0)),"Unknown")</x:f>
        <x:v>Standard</x:v>
      </x:c>
    </x:row>
    <x:row r="1231">
      <x:c r="A1231" t="n">
        <x:v>225</x:v>
      </x:c>
      <x:c r="B1231" s="16" t="n">
        <x:v>46204</x:v>
      </x:c>
      <x:c r="C1231" t="n">
        <x:v>1</x:v>
      </x:c>
      <x:c r="D1231" t="n">
        <x:v>9</x:v>
      </x:c>
      <x:c r="E1231" s="18" t="n">
        <x:v>1191.17</x:v>
      </x:c>
      <x:c r="F1231" s="18" t="n">
        <x:v>0</x:v>
      </x:c>
      <x:c r="G1231" s="18" t="n">
        <x:v>5.36</x:v>
      </x:c>
      <x:c r="H1231" s="18" t="n">
        <x:v>1.84</x:v>
      </x:c>
      <x:c r="I1231" s="18" t="n">
        <x:v>7.2</x:v>
      </x:c>
      <x:c r="J1231" t="n">
        <x:f>IF(A1231=A1230,IFERROR(IF(B1231=EDATE(B1230,1),C1230,0),0),0)</x:f>
        <x:v>1</x:v>
      </x:c>
      <x:c r="K1231" t="n">
        <x:f>IF(AND(J1231=1,C1231=0),1,0)</x:f>
        <x:v>0</x:v>
      </x:c>
      <x:c r="L1231" t="str">
        <x:f>IFERROR(INDEX(Customers!$C$2:$C$451,MATCH(A1231,Customers!$A$2:$A$451,0)),"Unknown")</x:f>
        <x:v>Standard</x:v>
      </x:c>
    </x:row>
    <x:row r="1232">
      <x:c r="A1232" t="n">
        <x:v>225</x:v>
      </x:c>
      <x:c r="B1232" s="16" t="n">
        <x:v>46235</x:v>
      </x:c>
      <x:c r="C1232" t="n">
        <x:v>0</x:v>
      </x:c>
      <x:c r="D1232" t="n">
        <x:v>0</x:v>
      </x:c>
      <x:c r="E1232" s="18" t="n">
        <x:v>0</x:v>
      </x:c>
      <x:c r="F1232" s="18" t="n">
        <x:v>0</x:v>
      </x:c>
      <x:c r="G1232" s="18" t="n">
        <x:v>0</x:v>
      </x:c>
      <x:c r="H1232" s="18" t="n">
        <x:v>0</x:v>
      </x:c>
      <x:c r="I1232" s="18" t="n">
        <x:v>0</x:v>
      </x:c>
      <x:c r="J1232" t="n">
        <x:f>IF(A1232=A1231,IFERROR(IF(B1232=EDATE(B1231,1),C1231,0),0),0)</x:f>
        <x:v>1</x:v>
      </x:c>
      <x:c r="K1232" t="n">
        <x:f>IF(AND(J1232=1,C1232=0),1,0)</x:f>
        <x:v>1</x:v>
      </x:c>
      <x:c r="L1232" t="str">
        <x:f>IFERROR(INDEX(Customers!$C$2:$C$451,MATCH(A1232,Customers!$A$2:$A$451,0)),"Unknown")</x:f>
        <x:v>Standard</x:v>
      </x:c>
    </x:row>
    <x:row r="1233">
      <x:c r="A1233" t="n">
        <x:v>225</x:v>
      </x:c>
      <x:c r="B1233" s="16" t="n">
        <x:v>46266</x:v>
      </x:c>
      <x:c r="C1233" t="n">
        <x:v>1</x:v>
      </x:c>
      <x:c r="D1233" t="n">
        <x:v>24</x:v>
      </x:c>
      <x:c r="E1233" s="18" t="n">
        <x:v>1221.48</x:v>
      </x:c>
      <x:c r="F1233" s="18" t="n">
        <x:v>0</x:v>
      </x:c>
      <x:c r="G1233" s="18" t="n">
        <x:v>5.5</x:v>
      </x:c>
      <x:c r="H1233" s="18" t="n">
        <x:v>1.03</x:v>
      </x:c>
      <x:c r="I1233" s="18" t="n">
        <x:v>6.53</x:v>
      </x:c>
      <x:c r="J1233" t="n">
        <x:f>IF(A1233=A1232,IFERROR(IF(B1233=EDATE(B1232,1),C1232,0),0),0)</x:f>
        <x:v>0</x:v>
      </x:c>
      <x:c r="K1233" t="n">
        <x:f>IF(AND(J1233=1,C1233=0),1,0)</x:f>
        <x:v>0</x:v>
      </x:c>
      <x:c r="L1233" t="str">
        <x:f>IFERROR(INDEX(Customers!$C$2:$C$451,MATCH(A1233,Customers!$A$2:$A$451,0)),"Unknown")</x:f>
        <x:v>Standard</x:v>
      </x:c>
    </x:row>
    <x:row r="1234">
      <x:c r="A1234" t="n">
        <x:v>226</x:v>
      </x:c>
      <x:c r="B1234" s="16" t="n">
        <x:v>46113</x:v>
      </x:c>
      <x:c r="C1234" t="n">
        <x:v>1</x:v>
      </x:c>
      <x:c r="D1234" t="n">
        <x:v>31</x:v>
      </x:c>
      <x:c r="E1234" s="18" t="n">
        <x:v>3992.92</x:v>
      </x:c>
      <x:c r="F1234" s="18" t="n">
        <x:v>0</x:v>
      </x:c>
      <x:c r="G1234" s="18" t="n">
        <x:v>17.97</x:v>
      </x:c>
      <x:c r="H1234" s="18" t="n">
        <x:v>13.06</x:v>
      </x:c>
      <x:c r="I1234" s="18" t="n">
        <x:v>31.03</x:v>
      </x:c>
      <x:c r="J1234" t="n">
        <x:f>IF(A1234=A1233,IFERROR(IF(B1234=EDATE(B1233,1),C1233,0),0),0)</x:f>
        <x:v>0</x:v>
      </x:c>
      <x:c r="K1234" t="n">
        <x:f>IF(AND(J1234=1,C1234=0),1,0)</x:f>
        <x:v>0</x:v>
      </x:c>
      <x:c r="L1234" t="str">
        <x:f>IFERROR(INDEX(Customers!$C$2:$C$451,MATCH(A1234,Customers!$A$2:$A$451,0)),"Unknown")</x:f>
        <x:v>Standard</x:v>
      </x:c>
    </x:row>
    <x:row r="1235">
      <x:c r="A1235" t="n">
        <x:v>226</x:v>
      </x:c>
      <x:c r="B1235" s="16" t="n">
        <x:v>46143</x:v>
      </x:c>
      <x:c r="C1235" t="n">
        <x:v>1</x:v>
      </x:c>
      <x:c r="D1235" t="n">
        <x:v>24</x:v>
      </x:c>
      <x:c r="E1235" s="18" t="n">
        <x:v>1839.59</x:v>
      </x:c>
      <x:c r="F1235" s="18" t="n">
        <x:v>0</x:v>
      </x:c>
      <x:c r="G1235" s="18" t="n">
        <x:v>8.28</x:v>
      </x:c>
      <x:c r="H1235" s="18" t="n">
        <x:v>6.87</x:v>
      </x:c>
      <x:c r="I1235" s="18" t="n">
        <x:v>15.15</x:v>
      </x:c>
      <x:c r="J1235" t="n">
        <x:f>IF(A1235=A1234,IFERROR(IF(B1235=EDATE(B1234,1),C1234,0),0),0)</x:f>
        <x:v>1</x:v>
      </x:c>
      <x:c r="K1235" t="n">
        <x:f>IF(AND(J1235=1,C1235=0),1,0)</x:f>
        <x:v>0</x:v>
      </x:c>
      <x:c r="L1235" t="str">
        <x:f>IFERROR(INDEX(Customers!$C$2:$C$451,MATCH(A1235,Customers!$A$2:$A$451,0)),"Unknown")</x:f>
        <x:v>Standard</x:v>
      </x:c>
    </x:row>
    <x:row r="1236">
      <x:c r="A1236" t="n">
        <x:v>226</x:v>
      </x:c>
      <x:c r="B1236" s="16" t="n">
        <x:v>46174</x:v>
      </x:c>
      <x:c r="C1236" t="n">
        <x:v>1</x:v>
      </x:c>
      <x:c r="D1236" t="n">
        <x:v>10</x:v>
      </x:c>
      <x:c r="E1236" s="18" t="n">
        <x:v>486.7</x:v>
      </x:c>
      <x:c r="F1236" s="18" t="n">
        <x:v>0</x:v>
      </x:c>
      <x:c r="G1236" s="18" t="n">
        <x:v>2.19</x:v>
      </x:c>
      <x:c r="H1236" s="18" t="n">
        <x:v>0.96</x:v>
      </x:c>
      <x:c r="I1236" s="18" t="n">
        <x:v>3.15</x:v>
      </x:c>
      <x:c r="J1236" t="n">
        <x:f>IF(A1236=A1235,IFERROR(IF(B1236=EDATE(B1235,1),C1235,0),0),0)</x:f>
        <x:v>1</x:v>
      </x:c>
      <x:c r="K1236" t="n">
        <x:f>IF(AND(J1236=1,C1236=0),1,0)</x:f>
        <x:v>0</x:v>
      </x:c>
      <x:c r="L1236" t="str">
        <x:f>IFERROR(INDEX(Customers!$C$2:$C$451,MATCH(A1236,Customers!$A$2:$A$451,0)),"Unknown")</x:f>
        <x:v>Standard</x:v>
      </x:c>
    </x:row>
    <x:row r="1237">
      <x:c r="A1237" t="n">
        <x:v>226</x:v>
      </x:c>
      <x:c r="B1237" s="16" t="n">
        <x:v>46204</x:v>
      </x:c>
      <x:c r="C1237" t="n">
        <x:v>1</x:v>
      </x:c>
      <x:c r="D1237" t="n">
        <x:v>25</x:v>
      </x:c>
      <x:c r="E1237" s="18" t="n">
        <x:v>2662.52</x:v>
      </x:c>
      <x:c r="F1237" s="18" t="n">
        <x:v>0</x:v>
      </x:c>
      <x:c r="G1237" s="18" t="n">
        <x:v>11.98</x:v>
      </x:c>
      <x:c r="H1237" s="18" t="n">
        <x:v>8.13</x:v>
      </x:c>
      <x:c r="I1237" s="18" t="n">
        <x:v>20.11</x:v>
      </x:c>
      <x:c r="J1237" t="n">
        <x:f>IF(A1237=A1236,IFERROR(IF(B1237=EDATE(B1236,1),C1236,0),0),0)</x:f>
        <x:v>1</x:v>
      </x:c>
      <x:c r="K1237" t="n">
        <x:f>IF(AND(J1237=1,C1237=0),1,0)</x:f>
        <x:v>0</x:v>
      </x:c>
      <x:c r="L1237" t="str">
        <x:f>IFERROR(INDEX(Customers!$C$2:$C$451,MATCH(A1237,Customers!$A$2:$A$451,0)),"Unknown")</x:f>
        <x:v>Standard</x:v>
      </x:c>
    </x:row>
    <x:row r="1238">
      <x:c r="A1238" t="n">
        <x:v>226</x:v>
      </x:c>
      <x:c r="B1238" s="16" t="n">
        <x:v>46235</x:v>
      </x:c>
      <x:c r="C1238" t="n">
        <x:v>0</x:v>
      </x:c>
      <x:c r="D1238" t="n">
        <x:v>0</x:v>
      </x:c>
      <x:c r="E1238" s="18" t="n">
        <x:v>0</x:v>
      </x:c>
      <x:c r="F1238" s="18" t="n">
        <x:v>0</x:v>
      </x:c>
      <x:c r="G1238" s="18" t="n">
        <x:v>0</x:v>
      </x:c>
      <x:c r="H1238" s="18" t="n">
        <x:v>0</x:v>
      </x:c>
      <x:c r="I1238" s="18" t="n">
        <x:v>0</x:v>
      </x:c>
      <x:c r="J1238" t="n">
        <x:f>IF(A1238=A1237,IFERROR(IF(B1238=EDATE(B1237,1),C1237,0),0),0)</x:f>
        <x:v>1</x:v>
      </x:c>
      <x:c r="K1238" t="n">
        <x:f>IF(AND(J1238=1,C1238=0),1,0)</x:f>
        <x:v>1</x:v>
      </x:c>
      <x:c r="L1238" t="str">
        <x:f>IFERROR(INDEX(Customers!$C$2:$C$451,MATCH(A1238,Customers!$A$2:$A$451,0)),"Unknown")</x:f>
        <x:v>Standard</x:v>
      </x:c>
    </x:row>
    <x:row r="1239">
      <x:c r="A1239" t="n">
        <x:v>226</x:v>
      </x:c>
      <x:c r="B1239" s="16" t="n">
        <x:v>46266</x:v>
      </x:c>
      <x:c r="C1239" t="n">
        <x:v>0</x:v>
      </x:c>
      <x:c r="D1239" t="n">
        <x:v>0</x:v>
      </x:c>
      <x:c r="E1239" s="18" t="n">
        <x:v>0</x:v>
      </x:c>
      <x:c r="F1239" s="18" t="n">
        <x:v>0</x:v>
      </x:c>
      <x:c r="G1239" s="18" t="n">
        <x:v>0</x:v>
      </x:c>
      <x:c r="H1239" s="18" t="n">
        <x:v>0</x:v>
      </x:c>
      <x:c r="I1239" s="18" t="n">
        <x:v>0</x:v>
      </x:c>
      <x:c r="J1239" t="n">
        <x:f>IF(A1239=A1238,IFERROR(IF(B1239=EDATE(B1238,1),C1238,0),0),0)</x:f>
        <x:v>0</x:v>
      </x:c>
      <x:c r="K1239" t="n">
        <x:f>IF(AND(J1239=1,C1239=0),1,0)</x:f>
        <x:v>0</x:v>
      </x:c>
      <x:c r="L1239" t="str">
        <x:f>IFERROR(INDEX(Customers!$C$2:$C$451,MATCH(A1239,Customers!$A$2:$A$451,0)),"Unknown")</x:f>
        <x:v>Standard</x:v>
      </x:c>
    </x:row>
    <x:row r="1240">
      <x:c r="A1240" t="n">
        <x:v>227</x:v>
      </x:c>
      <x:c r="B1240" s="16" t="n">
        <x:v>46113</x:v>
      </x:c>
      <x:c r="C1240" t="n">
        <x:v>0</x:v>
      </x:c>
      <x:c r="D1240" t="n">
        <x:v>0</x:v>
      </x:c>
      <x:c r="E1240" s="18" t="n">
        <x:v>0</x:v>
      </x:c>
      <x:c r="F1240" s="18" t="n">
        <x:v>0</x:v>
      </x:c>
      <x:c r="G1240" s="18" t="n">
        <x:v>0</x:v>
      </x:c>
      <x:c r="H1240" s="18" t="n">
        <x:v>0</x:v>
      </x:c>
      <x:c r="I1240" s="18" t="n">
        <x:v>0</x:v>
      </x:c>
      <x:c r="J1240" t="n">
        <x:f>IF(A1240=A1239,IFERROR(IF(B1240=EDATE(B1239,1),C1239,0),0),0)</x:f>
        <x:v>0</x:v>
      </x:c>
      <x:c r="K1240" t="n">
        <x:f>IF(AND(J1240=1,C1240=0),1,0)</x:f>
        <x:v>0</x:v>
      </x:c>
      <x:c r="L1240" t="str">
        <x:f>IFERROR(INDEX(Customers!$C$2:$C$451,MATCH(A1240,Customers!$A$2:$A$451,0)),"Unknown")</x:f>
        <x:v>Standard</x:v>
      </x:c>
    </x:row>
    <x:row r="1241">
      <x:c r="A1241" t="n">
        <x:v>227</x:v>
      </x:c>
      <x:c r="B1241" s="16" t="n">
        <x:v>46143</x:v>
      </x:c>
      <x:c r="C1241" t="n">
        <x:v>1</x:v>
      </x:c>
      <x:c r="D1241" t="n">
        <x:v>10</x:v>
      </x:c>
      <x:c r="E1241" s="18" t="n">
        <x:v>392.1</x:v>
      </x:c>
      <x:c r="F1241" s="18" t="n">
        <x:v>0</x:v>
      </x:c>
      <x:c r="G1241" s="18" t="n">
        <x:v>1.76</x:v>
      </x:c>
      <x:c r="H1241" s="18" t="n">
        <x:v>1.28</x:v>
      </x:c>
      <x:c r="I1241" s="18" t="n">
        <x:v>3.04</x:v>
      </x:c>
      <x:c r="J1241" t="n">
        <x:f>IF(A1241=A1240,IFERROR(IF(B1241=EDATE(B1240,1),C1240,0),0),0)</x:f>
        <x:v>0</x:v>
      </x:c>
      <x:c r="K1241" t="n">
        <x:f>IF(AND(J1241=1,C1241=0),1,0)</x:f>
        <x:v>0</x:v>
      </x:c>
      <x:c r="L1241" t="str">
        <x:f>IFERROR(INDEX(Customers!$C$2:$C$451,MATCH(A1241,Customers!$A$2:$A$451,0)),"Unknown")</x:f>
        <x:v>Standard</x:v>
      </x:c>
    </x:row>
    <x:row r="1242">
      <x:c r="A1242" t="n">
        <x:v>227</x:v>
      </x:c>
      <x:c r="B1242" s="16" t="n">
        <x:v>46174</x:v>
      </x:c>
      <x:c r="C1242" t="n">
        <x:v>1</x:v>
      </x:c>
      <x:c r="D1242" t="n">
        <x:v>22</x:v>
      </x:c>
      <x:c r="E1242" s="18" t="n">
        <x:v>1863.4</x:v>
      </x:c>
      <x:c r="F1242" s="18" t="n">
        <x:v>0</x:v>
      </x:c>
      <x:c r="G1242" s="18" t="n">
        <x:v>8.39</x:v>
      </x:c>
      <x:c r="H1242" s="18" t="n">
        <x:v>3.97</x:v>
      </x:c>
      <x:c r="I1242" s="18" t="n">
        <x:v>12.36</x:v>
      </x:c>
      <x:c r="J1242" t="n">
        <x:f>IF(A1242=A1241,IFERROR(IF(B1242=EDATE(B1241,1),C1241,0),0),0)</x:f>
        <x:v>1</x:v>
      </x:c>
      <x:c r="K1242" t="n">
        <x:f>IF(AND(J1242=1,C1242=0),1,0)</x:f>
        <x:v>0</x:v>
      </x:c>
      <x:c r="L1242" t="str">
        <x:f>IFERROR(INDEX(Customers!$C$2:$C$451,MATCH(A1242,Customers!$A$2:$A$451,0)),"Unknown")</x:f>
        <x:v>Standard</x:v>
      </x:c>
    </x:row>
    <x:row r="1243">
      <x:c r="A1243" t="n">
        <x:v>227</x:v>
      </x:c>
      <x:c r="B1243" s="16" t="n">
        <x:v>46204</x:v>
      </x:c>
      <x:c r="C1243" t="n">
        <x:v>1</x:v>
      </x:c>
      <x:c r="D1243" t="n">
        <x:v>28</x:v>
      </x:c>
      <x:c r="E1243" s="18" t="n">
        <x:v>3195.78</x:v>
      </x:c>
      <x:c r="F1243" s="18" t="n">
        <x:v>0</x:v>
      </x:c>
      <x:c r="G1243" s="18" t="n">
        <x:v>14.38</x:v>
      </x:c>
      <x:c r="H1243" s="18" t="n">
        <x:v>8.76</x:v>
      </x:c>
      <x:c r="I1243" s="18" t="n">
        <x:v>23.14</x:v>
      </x:c>
      <x:c r="J1243" t="n">
        <x:f>IF(A1243=A1242,IFERROR(IF(B1243=EDATE(B1242,1),C1242,0),0),0)</x:f>
        <x:v>1</x:v>
      </x:c>
      <x:c r="K1243" t="n">
        <x:f>IF(AND(J1243=1,C1243=0),1,0)</x:f>
        <x:v>0</x:v>
      </x:c>
      <x:c r="L1243" t="str">
        <x:f>IFERROR(INDEX(Customers!$C$2:$C$451,MATCH(A1243,Customers!$A$2:$A$451,0)),"Unknown")</x:f>
        <x:v>Standard</x:v>
      </x:c>
    </x:row>
    <x:row r="1244">
      <x:c r="A1244" t="n">
        <x:v>227</x:v>
      </x:c>
      <x:c r="B1244" s="16" t="n">
        <x:v>46235</x:v>
      </x:c>
      <x:c r="C1244" t="n">
        <x:v>1</x:v>
      </x:c>
      <x:c r="D1244" t="n">
        <x:v>13</x:v>
      </x:c>
      <x:c r="E1244" s="18" t="n">
        <x:v>927.9</x:v>
      </x:c>
      <x:c r="F1244" s="18" t="n">
        <x:v>0</x:v>
      </x:c>
      <x:c r="G1244" s="18" t="n">
        <x:v>4.18</x:v>
      </x:c>
      <x:c r="H1244" s="18" t="n">
        <x:v>3.12</x:v>
      </x:c>
      <x:c r="I1244" s="18" t="n">
        <x:v>7.3</x:v>
      </x:c>
      <x:c r="J1244" t="n">
        <x:f>IF(A1244=A1243,IFERROR(IF(B1244=EDATE(B1243,1),C1243,0),0),0)</x:f>
        <x:v>1</x:v>
      </x:c>
      <x:c r="K1244" t="n">
        <x:f>IF(AND(J1244=1,C1244=0),1,0)</x:f>
        <x:v>0</x:v>
      </x:c>
      <x:c r="L1244" t="str">
        <x:f>IFERROR(INDEX(Customers!$C$2:$C$451,MATCH(A1244,Customers!$A$2:$A$451,0)),"Unknown")</x:f>
        <x:v>Standard</x:v>
      </x:c>
    </x:row>
    <x:row r="1245">
      <x:c r="A1245" t="n">
        <x:v>227</x:v>
      </x:c>
      <x:c r="B1245" s="16" t="n">
        <x:v>46266</x:v>
      </x:c>
      <x:c r="C1245" t="n">
        <x:v>1</x:v>
      </x:c>
      <x:c r="D1245" t="n">
        <x:v>14</x:v>
      </x:c>
      <x:c r="E1245" s="18" t="n">
        <x:v>1264.15</x:v>
      </x:c>
      <x:c r="F1245" s="18" t="n">
        <x:v>0</x:v>
      </x:c>
      <x:c r="G1245" s="18" t="n">
        <x:v>5.69</x:v>
      </x:c>
      <x:c r="H1245" s="18" t="n">
        <x:v>2.96</x:v>
      </x:c>
      <x:c r="I1245" s="18" t="n">
        <x:v>8.65</x:v>
      </x:c>
      <x:c r="J1245" t="n">
        <x:f>IF(A1245=A1244,IFERROR(IF(B1245=EDATE(B1244,1),C1244,0),0),0)</x:f>
        <x:v>1</x:v>
      </x:c>
      <x:c r="K1245" t="n">
        <x:f>IF(AND(J1245=1,C1245=0),1,0)</x:f>
        <x:v>0</x:v>
      </x:c>
      <x:c r="L1245" t="str">
        <x:f>IFERROR(INDEX(Customers!$C$2:$C$451,MATCH(A1245,Customers!$A$2:$A$451,0)),"Unknown")</x:f>
        <x:v>Standard</x:v>
      </x:c>
    </x:row>
    <x:row r="1246">
      <x:c r="A1246" t="n">
        <x:v>228</x:v>
      </x:c>
      <x:c r="B1246" s="16" t="n">
        <x:v>46174</x:v>
      </x:c>
      <x:c r="C1246" t="n">
        <x:v>1</x:v>
      </x:c>
      <x:c r="D1246" t="n">
        <x:v>7</x:v>
      </x:c>
      <x:c r="E1246" s="18" t="n">
        <x:v>266.42</x:v>
      </x:c>
      <x:c r="F1246" s="18" t="n">
        <x:v>8</x:v>
      </x:c>
      <x:c r="G1246" s="18" t="n">
        <x:v>1.2</x:v>
      </x:c>
      <x:c r="H1246" s="18" t="n">
        <x:v>0.81</x:v>
      </x:c>
      <x:c r="I1246" s="18" t="n">
        <x:v>10.01</x:v>
      </x:c>
      <x:c r="J1246" t="n">
        <x:f>IF(A1246=A1245,IFERROR(IF(B1246=EDATE(B1245,1),C1245,0),0),0)</x:f>
        <x:v>0</x:v>
      </x:c>
      <x:c r="K1246" t="n">
        <x:f>IF(AND(J1246=1,C1246=0),1,0)</x:f>
        <x:v>0</x:v>
      </x:c>
      <x:c r="L1246" t="str">
        <x:f>IFERROR(INDEX(Customers!$C$2:$C$451,MATCH(A1246,Customers!$A$2:$A$451,0)),"Unknown")</x:f>
        <x:v>Plus</x:v>
      </x:c>
    </x:row>
    <x:row r="1247">
      <x:c r="A1247" t="n">
        <x:v>228</x:v>
      </x:c>
      <x:c r="B1247" s="16" t="n">
        <x:v>46204</x:v>
      </x:c>
      <x:c r="C1247" t="n">
        <x:v>0</x:v>
      </x:c>
      <x:c r="D1247" t="n">
        <x:v>0</x:v>
      </x:c>
      <x:c r="E1247" s="18" t="n">
        <x:v>0</x:v>
      </x:c>
      <x:c r="F1247" s="18" t="n">
        <x:v>0</x:v>
      </x:c>
      <x:c r="G1247" s="18" t="n">
        <x:v>0</x:v>
      </x:c>
      <x:c r="H1247" s="18" t="n">
        <x:v>0</x:v>
      </x:c>
      <x:c r="I1247" s="18" t="n">
        <x:v>0</x:v>
      </x:c>
      <x:c r="J1247" t="n">
        <x:f>IF(A1247=A1246,IFERROR(IF(B1247=EDATE(B1246,1),C1246,0),0),0)</x:f>
        <x:v>1</x:v>
      </x:c>
      <x:c r="K1247" t="n">
        <x:f>IF(AND(J1247=1,C1247=0),1,0)</x:f>
        <x:v>1</x:v>
      </x:c>
      <x:c r="L1247" t="str">
        <x:f>IFERROR(INDEX(Customers!$C$2:$C$451,MATCH(A1247,Customers!$A$2:$A$451,0)),"Unknown")</x:f>
        <x:v>Plus</x:v>
      </x:c>
    </x:row>
    <x:row r="1248">
      <x:c r="A1248" t="n">
        <x:v>228</x:v>
      </x:c>
      <x:c r="B1248" s="16" t="n">
        <x:v>46235</x:v>
      </x:c>
      <x:c r="C1248" t="n">
        <x:v>0</x:v>
      </x:c>
      <x:c r="D1248" t="n">
        <x:v>0</x:v>
      </x:c>
      <x:c r="E1248" s="18" t="n">
        <x:v>0</x:v>
      </x:c>
      <x:c r="F1248" s="18" t="n">
        <x:v>0</x:v>
      </x:c>
      <x:c r="G1248" s="18" t="n">
        <x:v>0</x:v>
      </x:c>
      <x:c r="H1248" s="18" t="n">
        <x:v>0</x:v>
      </x:c>
      <x:c r="I1248" s="18" t="n">
        <x:v>0</x:v>
      </x:c>
      <x:c r="J1248" t="n">
        <x:f>IF(A1248=A1247,IFERROR(IF(B1248=EDATE(B1247,1),C1247,0),0),0)</x:f>
        <x:v>0</x:v>
      </x:c>
      <x:c r="K1248" t="n">
        <x:f>IF(AND(J1248=1,C1248=0),1,0)</x:f>
        <x:v>0</x:v>
      </x:c>
      <x:c r="L1248" t="str">
        <x:f>IFERROR(INDEX(Customers!$C$2:$C$451,MATCH(A1248,Customers!$A$2:$A$451,0)),"Unknown")</x:f>
        <x:v>Plus</x:v>
      </x:c>
    </x:row>
    <x:row r="1249">
      <x:c r="A1249" t="n">
        <x:v>228</x:v>
      </x:c>
      <x:c r="B1249" s="16" t="n">
        <x:v>46266</x:v>
      </x:c>
      <x:c r="C1249" t="n">
        <x:v>1</x:v>
      </x:c>
      <x:c r="D1249" t="n">
        <x:v>27</x:v>
      </x:c>
      <x:c r="E1249" s="18" t="n">
        <x:v>3750.71</x:v>
      </x:c>
      <x:c r="F1249" s="18" t="n">
        <x:v>8</x:v>
      </x:c>
      <x:c r="G1249" s="18" t="n">
        <x:v>16.88</x:v>
      </x:c>
      <x:c r="H1249" s="18" t="n">
        <x:v>6.32</x:v>
      </x:c>
      <x:c r="I1249" s="18" t="n">
        <x:v>31.2</x:v>
      </x:c>
      <x:c r="J1249" t="n">
        <x:f>IF(A1249=A1248,IFERROR(IF(B1249=EDATE(B1248,1),C1248,0),0),0)</x:f>
        <x:v>0</x:v>
      </x:c>
      <x:c r="K1249" t="n">
        <x:f>IF(AND(J1249=1,C1249=0),1,0)</x:f>
        <x:v>0</x:v>
      </x:c>
      <x:c r="L1249" t="str">
        <x:f>IFERROR(INDEX(Customers!$C$2:$C$451,MATCH(A1249,Customers!$A$2:$A$451,0)),"Unknown")</x:f>
        <x:v>Plus</x:v>
      </x:c>
    </x:row>
    <x:row r="1250">
      <x:c r="A1250" t="n">
        <x:v>229</x:v>
      </x:c>
      <x:c r="B1250" s="16" t="n">
        <x:v>46143</x:v>
      </x:c>
      <x:c r="C1250" t="n">
        <x:v>1</x:v>
      </x:c>
      <x:c r="D1250" t="n">
        <x:v>6</x:v>
      </x:c>
      <x:c r="E1250" s="18" t="n">
        <x:v>485.34</x:v>
      </x:c>
      <x:c r="F1250" s="18" t="n">
        <x:v>0</x:v>
      </x:c>
      <x:c r="G1250" s="18" t="n">
        <x:v>2.18</x:v>
      </x:c>
      <x:c r="H1250" s="18" t="n">
        <x:v>0.71</x:v>
      </x:c>
      <x:c r="I1250" s="18" t="n">
        <x:v>2.89</x:v>
      </x:c>
      <x:c r="J1250" t="n">
        <x:f>IF(A1250=A1249,IFERROR(IF(B1250=EDATE(B1249,1),C1249,0),0),0)</x:f>
        <x:v>0</x:v>
      </x:c>
      <x:c r="K1250" t="n">
        <x:f>IF(AND(J1250=1,C1250=0),1,0)</x:f>
        <x:v>0</x:v>
      </x:c>
      <x:c r="L1250" t="str">
        <x:f>IFERROR(INDEX(Customers!$C$2:$C$451,MATCH(A1250,Customers!$A$2:$A$451,0)),"Unknown")</x:f>
        <x:v>Standard</x:v>
      </x:c>
    </x:row>
    <x:row r="1251">
      <x:c r="A1251" t="n">
        <x:v>229</x:v>
      </x:c>
      <x:c r="B1251" s="16" t="n">
        <x:v>46174</x:v>
      </x:c>
      <x:c r="C1251" t="n">
        <x:v>1</x:v>
      </x:c>
      <x:c r="D1251" t="n">
        <x:v>8</x:v>
      </x:c>
      <x:c r="E1251" s="18" t="n">
        <x:v>751.81</x:v>
      </x:c>
      <x:c r="F1251" s="18" t="n">
        <x:v>0</x:v>
      </x:c>
      <x:c r="G1251" s="18" t="n">
        <x:v>3.38</x:v>
      </x:c>
      <x:c r="H1251" s="18" t="n">
        <x:v>1</x:v>
      </x:c>
      <x:c r="I1251" s="18" t="n">
        <x:v>4.38</x:v>
      </x:c>
      <x:c r="J1251" t="n">
        <x:f>IF(A1251=A1250,IFERROR(IF(B1251=EDATE(B1250,1),C1250,0),0),0)</x:f>
        <x:v>1</x:v>
      </x:c>
      <x:c r="K1251" t="n">
        <x:f>IF(AND(J1251=1,C1251=0),1,0)</x:f>
        <x:v>0</x:v>
      </x:c>
      <x:c r="L1251" t="str">
        <x:f>IFERROR(INDEX(Customers!$C$2:$C$451,MATCH(A1251,Customers!$A$2:$A$451,0)),"Unknown")</x:f>
        <x:v>Standard</x:v>
      </x:c>
    </x:row>
    <x:row r="1252">
      <x:c r="A1252" t="n">
        <x:v>229</x:v>
      </x:c>
      <x:c r="B1252" s="16" t="n">
        <x:v>46204</x:v>
      </x:c>
      <x:c r="C1252" t="n">
        <x:v>1</x:v>
      </x:c>
      <x:c r="D1252" t="n">
        <x:v>31</x:v>
      </x:c>
      <x:c r="E1252" s="18" t="n">
        <x:v>3615.79</x:v>
      </x:c>
      <x:c r="F1252" s="18" t="n">
        <x:v>0</x:v>
      </x:c>
      <x:c r="G1252" s="18" t="n">
        <x:v>16.27</x:v>
      </x:c>
      <x:c r="H1252" s="18" t="n">
        <x:v>6.46</x:v>
      </x:c>
      <x:c r="I1252" s="18" t="n">
        <x:v>22.73</x:v>
      </x:c>
      <x:c r="J1252" t="n">
        <x:f>IF(A1252=A1251,IFERROR(IF(B1252=EDATE(B1251,1),C1251,0),0),0)</x:f>
        <x:v>1</x:v>
      </x:c>
      <x:c r="K1252" t="n">
        <x:f>IF(AND(J1252=1,C1252=0),1,0)</x:f>
        <x:v>0</x:v>
      </x:c>
      <x:c r="L1252" t="str">
        <x:f>IFERROR(INDEX(Customers!$C$2:$C$451,MATCH(A1252,Customers!$A$2:$A$451,0)),"Unknown")</x:f>
        <x:v>Standard</x:v>
      </x:c>
    </x:row>
    <x:row r="1253">
      <x:c r="A1253" t="n">
        <x:v>229</x:v>
      </x:c>
      <x:c r="B1253" s="16" t="n">
        <x:v>46235</x:v>
      </x:c>
      <x:c r="C1253" t="n">
        <x:v>1</x:v>
      </x:c>
      <x:c r="D1253" t="n">
        <x:v>11</x:v>
      </x:c>
      <x:c r="E1253" s="18" t="n">
        <x:v>386.4</x:v>
      </x:c>
      <x:c r="F1253" s="18" t="n">
        <x:v>0</x:v>
      </x:c>
      <x:c r="G1253" s="18" t="n">
        <x:v>1.74</x:v>
      </x:c>
      <x:c r="H1253" s="18" t="n">
        <x:v>0.93</x:v>
      </x:c>
      <x:c r="I1253" s="18" t="n">
        <x:v>2.67</x:v>
      </x:c>
      <x:c r="J1253" t="n">
        <x:f>IF(A1253=A1252,IFERROR(IF(B1253=EDATE(B1252,1),C1252,0),0),0)</x:f>
        <x:v>1</x:v>
      </x:c>
      <x:c r="K1253" t="n">
        <x:f>IF(AND(J1253=1,C1253=0),1,0)</x:f>
        <x:v>0</x:v>
      </x:c>
      <x:c r="L1253" t="str">
        <x:f>IFERROR(INDEX(Customers!$C$2:$C$451,MATCH(A1253,Customers!$A$2:$A$451,0)),"Unknown")</x:f>
        <x:v>Standard</x:v>
      </x:c>
    </x:row>
    <x:row r="1254">
      <x:c r="A1254" t="n">
        <x:v>229</x:v>
      </x:c>
      <x:c r="B1254" s="16" t="n">
        <x:v>46266</x:v>
      </x:c>
      <x:c r="C1254" t="n">
        <x:v>1</x:v>
      </x:c>
      <x:c r="D1254" t="n">
        <x:v>10</x:v>
      </x:c>
      <x:c r="E1254" s="18" t="n">
        <x:v>480.19</x:v>
      </x:c>
      <x:c r="F1254" s="18" t="n">
        <x:v>0</x:v>
      </x:c>
      <x:c r="G1254" s="18" t="n">
        <x:v>2.16</x:v>
      </x:c>
      <x:c r="H1254" s="18" t="n">
        <x:v>0.84</x:v>
      </x:c>
      <x:c r="I1254" s="18" t="n">
        <x:v>3</x:v>
      </x:c>
      <x:c r="J1254" t="n">
        <x:f>IF(A1254=A1253,IFERROR(IF(B1254=EDATE(B1253,1),C1253,0),0),0)</x:f>
        <x:v>1</x:v>
      </x:c>
      <x:c r="K1254" t="n">
        <x:f>IF(AND(J1254=1,C1254=0),1,0)</x:f>
        <x:v>0</x:v>
      </x:c>
      <x:c r="L1254" t="str">
        <x:f>IFERROR(INDEX(Customers!$C$2:$C$451,MATCH(A1254,Customers!$A$2:$A$451,0)),"Unknown")</x:f>
        <x:v>Standard</x:v>
      </x:c>
    </x:row>
    <x:row r="1255">
      <x:c r="A1255" t="n">
        <x:v>230</x:v>
      </x:c>
      <x:c r="B1255" s="16" t="n">
        <x:v>46174</x:v>
      </x:c>
      <x:c r="C1255" t="n">
        <x:v>1</x:v>
      </x:c>
      <x:c r="D1255" t="n">
        <x:v>29</x:v>
      </x:c>
      <x:c r="E1255" s="18" t="n">
        <x:v>3825.94</x:v>
      </x:c>
      <x:c r="F1255" s="18" t="n">
        <x:v>0</x:v>
      </x:c>
      <x:c r="G1255" s="18" t="n">
        <x:v>17.22</x:v>
      </x:c>
      <x:c r="H1255" s="18" t="n">
        <x:v>12.02</x:v>
      </x:c>
      <x:c r="I1255" s="18" t="n">
        <x:v>29.24</x:v>
      </x:c>
      <x:c r="J1255" t="n">
        <x:f>IF(A1255=A1254,IFERROR(IF(B1255=EDATE(B1254,1),C1254,0),0),0)</x:f>
        <x:v>0</x:v>
      </x:c>
      <x:c r="K1255" t="n">
        <x:f>IF(AND(J1255=1,C1255=0),1,0)</x:f>
        <x:v>0</x:v>
      </x:c>
      <x:c r="L1255" t="str">
        <x:f>IFERROR(INDEX(Customers!$C$2:$C$451,MATCH(A1255,Customers!$A$2:$A$451,0)),"Unknown")</x:f>
        <x:v>Standard</x:v>
      </x:c>
    </x:row>
    <x:row r="1256">
      <x:c r="A1256" t="n">
        <x:v>230</x:v>
      </x:c>
      <x:c r="B1256" s="16" t="n">
        <x:v>46204</x:v>
      </x:c>
      <x:c r="C1256" t="n">
        <x:v>1</x:v>
      </x:c>
      <x:c r="D1256" t="n">
        <x:v>23</x:v>
      </x:c>
      <x:c r="E1256" s="18" t="n">
        <x:v>2905.92</x:v>
      </x:c>
      <x:c r="F1256" s="18" t="n">
        <x:v>0</x:v>
      </x:c>
      <x:c r="G1256" s="18" t="n">
        <x:v>13.08</x:v>
      </x:c>
      <x:c r="H1256" s="18" t="n">
        <x:v>9.12</x:v>
      </x:c>
      <x:c r="I1256" s="18" t="n">
        <x:v>22.2</x:v>
      </x:c>
      <x:c r="J1256" t="n">
        <x:f>IF(A1256=A1255,IFERROR(IF(B1256=EDATE(B1255,1),C1255,0),0),0)</x:f>
        <x:v>1</x:v>
      </x:c>
      <x:c r="K1256" t="n">
        <x:f>IF(AND(J1256=1,C1256=0),1,0)</x:f>
        <x:v>0</x:v>
      </x:c>
      <x:c r="L1256" t="str">
        <x:f>IFERROR(INDEX(Customers!$C$2:$C$451,MATCH(A1256,Customers!$A$2:$A$451,0)),"Unknown")</x:f>
        <x:v>Standard</x:v>
      </x:c>
    </x:row>
    <x:row r="1257">
      <x:c r="A1257" t="n">
        <x:v>230</x:v>
      </x:c>
      <x:c r="B1257" s="16" t="n">
        <x:v>46235</x:v>
      </x:c>
      <x:c r="C1257" t="n">
        <x:v>1</x:v>
      </x:c>
      <x:c r="D1257" t="n">
        <x:v>35</x:v>
      </x:c>
      <x:c r="E1257" s="18" t="n">
        <x:v>1345.82</x:v>
      </x:c>
      <x:c r="F1257" s="18" t="n">
        <x:v>0</x:v>
      </x:c>
      <x:c r="G1257" s="18" t="n">
        <x:v>6.06</x:v>
      </x:c>
      <x:c r="H1257" s="18" t="n">
        <x:v>4.22</x:v>
      </x:c>
      <x:c r="I1257" s="18" t="n">
        <x:v>10.28</x:v>
      </x:c>
      <x:c r="J1257" t="n">
        <x:f>IF(A1257=A1256,IFERROR(IF(B1257=EDATE(B1256,1),C1256,0),0),0)</x:f>
        <x:v>1</x:v>
      </x:c>
      <x:c r="K1257" t="n">
        <x:f>IF(AND(J1257=1,C1257=0),1,0)</x:f>
        <x:v>0</x:v>
      </x:c>
      <x:c r="L1257" t="str">
        <x:f>IFERROR(INDEX(Customers!$C$2:$C$451,MATCH(A1257,Customers!$A$2:$A$451,0)),"Unknown")</x:f>
        <x:v>Standard</x:v>
      </x:c>
    </x:row>
    <x:row r="1258">
      <x:c r="A1258" t="n">
        <x:v>230</x:v>
      </x:c>
      <x:c r="B1258" s="16" t="n">
        <x:v>46266</x:v>
      </x:c>
      <x:c r="C1258" t="n">
        <x:v>1</x:v>
      </x:c>
      <x:c r="D1258" t="n">
        <x:v>16</x:v>
      </x:c>
      <x:c r="E1258" s="18" t="n">
        <x:v>1873.28</x:v>
      </x:c>
      <x:c r="F1258" s="18" t="n">
        <x:v>0</x:v>
      </x:c>
      <x:c r="G1258" s="18" t="n">
        <x:v>8.43</x:v>
      </x:c>
      <x:c r="H1258" s="18" t="n">
        <x:v>7.03</x:v>
      </x:c>
      <x:c r="I1258" s="18" t="n">
        <x:v>15.46</x:v>
      </x:c>
      <x:c r="J1258" t="n">
        <x:f>IF(A1258=A1257,IFERROR(IF(B1258=EDATE(B1257,1),C1257,0),0),0)</x:f>
        <x:v>1</x:v>
      </x:c>
      <x:c r="K1258" t="n">
        <x:f>IF(AND(J1258=1,C1258=0),1,0)</x:f>
        <x:v>0</x:v>
      </x:c>
      <x:c r="L1258" t="str">
        <x:f>IFERROR(INDEX(Customers!$C$2:$C$451,MATCH(A1258,Customers!$A$2:$A$451,0)),"Unknown")</x:f>
        <x:v>Standard</x:v>
      </x:c>
    </x:row>
    <x:row r="1259">
      <x:c r="A1259" t="n">
        <x:v>231</x:v>
      </x:c>
      <x:c r="B1259" s="16" t="n">
        <x:v>46143</x:v>
      </x:c>
      <x:c r="C1259" t="n">
        <x:v>1</x:v>
      </x:c>
      <x:c r="D1259" t="n">
        <x:v>31</x:v>
      </x:c>
      <x:c r="E1259" s="18" t="n">
        <x:v>1590.33</x:v>
      </x:c>
      <x:c r="F1259" s="18" t="n">
        <x:v>0</x:v>
      </x:c>
      <x:c r="G1259" s="18" t="n">
        <x:v>7.16</x:v>
      </x:c>
      <x:c r="H1259" s="18" t="n">
        <x:v>3.28</x:v>
      </x:c>
      <x:c r="I1259" s="18" t="n">
        <x:v>10.44</x:v>
      </x:c>
      <x:c r="J1259" t="n">
        <x:f>IF(A1259=A1258,IFERROR(IF(B1259=EDATE(B1258,1),C1258,0),0),0)</x:f>
        <x:v>0</x:v>
      </x:c>
      <x:c r="K1259" t="n">
        <x:f>IF(AND(J1259=1,C1259=0),1,0)</x:f>
        <x:v>0</x:v>
      </x:c>
      <x:c r="L1259" t="str">
        <x:f>IFERROR(INDEX(Customers!$C$2:$C$451,MATCH(A1259,Customers!$A$2:$A$451,0)),"Unknown")</x:f>
        <x:v>Standard</x:v>
      </x:c>
    </x:row>
    <x:row r="1260">
      <x:c r="A1260" t="n">
        <x:v>231</x:v>
      </x:c>
      <x:c r="B1260" s="16" t="n">
        <x:v>46174</x:v>
      </x:c>
      <x:c r="C1260" t="n">
        <x:v>1</x:v>
      </x:c>
      <x:c r="D1260" t="n">
        <x:v>20</x:v>
      </x:c>
      <x:c r="E1260" s="18" t="n">
        <x:v>2104.23</x:v>
      </x:c>
      <x:c r="F1260" s="18" t="n">
        <x:v>0</x:v>
      </x:c>
      <x:c r="G1260" s="18" t="n">
        <x:v>9.47</x:v>
      </x:c>
      <x:c r="H1260" s="18" t="n">
        <x:v>2.12</x:v>
      </x:c>
      <x:c r="I1260" s="18" t="n">
        <x:v>11.59</x:v>
      </x:c>
      <x:c r="J1260" t="n">
        <x:f>IF(A1260=A1259,IFERROR(IF(B1260=EDATE(B1259,1),C1259,0),0),0)</x:f>
        <x:v>1</x:v>
      </x:c>
      <x:c r="K1260" t="n">
        <x:f>IF(AND(J1260=1,C1260=0),1,0)</x:f>
        <x:v>0</x:v>
      </x:c>
      <x:c r="L1260" t="str">
        <x:f>IFERROR(INDEX(Customers!$C$2:$C$451,MATCH(A1260,Customers!$A$2:$A$451,0)),"Unknown")</x:f>
        <x:v>Standard</x:v>
      </x:c>
    </x:row>
    <x:row r="1261">
      <x:c r="A1261" t="n">
        <x:v>231</x:v>
      </x:c>
      <x:c r="B1261" s="16" t="n">
        <x:v>46204</x:v>
      </x:c>
      <x:c r="C1261" t="n">
        <x:v>1</x:v>
      </x:c>
      <x:c r="D1261" t="n">
        <x:v>18</x:v>
      </x:c>
      <x:c r="E1261" s="18" t="n">
        <x:v>2005.71</x:v>
      </x:c>
      <x:c r="F1261" s="18" t="n">
        <x:v>0</x:v>
      </x:c>
      <x:c r="G1261" s="18" t="n">
        <x:v>9.03</x:v>
      </x:c>
      <x:c r="H1261" s="18" t="n">
        <x:v>2.35</x:v>
      </x:c>
      <x:c r="I1261" s="18" t="n">
        <x:v>11.38</x:v>
      </x:c>
      <x:c r="J1261" t="n">
        <x:f>IF(A1261=A1260,IFERROR(IF(B1261=EDATE(B1260,1),C1260,0),0),0)</x:f>
        <x:v>1</x:v>
      </x:c>
      <x:c r="K1261" t="n">
        <x:f>IF(AND(J1261=1,C1261=0),1,0)</x:f>
        <x:v>0</x:v>
      </x:c>
      <x:c r="L1261" t="str">
        <x:f>IFERROR(INDEX(Customers!$C$2:$C$451,MATCH(A1261,Customers!$A$2:$A$451,0)),"Unknown")</x:f>
        <x:v>Standard</x:v>
      </x:c>
    </x:row>
    <x:row r="1262">
      <x:c r="A1262" t="n">
        <x:v>231</x:v>
      </x:c>
      <x:c r="B1262" s="16" t="n">
        <x:v>46235</x:v>
      </x:c>
      <x:c r="C1262" t="n">
        <x:v>1</x:v>
      </x:c>
      <x:c r="D1262" t="n">
        <x:v>7</x:v>
      </x:c>
      <x:c r="E1262" s="18" t="n">
        <x:v>344.36</x:v>
      </x:c>
      <x:c r="F1262" s="18" t="n">
        <x:v>0</x:v>
      </x:c>
      <x:c r="G1262" s="18" t="n">
        <x:v>1.55</x:v>
      </x:c>
      <x:c r="H1262" s="18" t="n">
        <x:v>0.89</x:v>
      </x:c>
      <x:c r="I1262" s="18" t="n">
        <x:v>2.44</x:v>
      </x:c>
      <x:c r="J1262" t="n">
        <x:f>IF(A1262=A1261,IFERROR(IF(B1262=EDATE(B1261,1),C1261,0),0),0)</x:f>
        <x:v>1</x:v>
      </x:c>
      <x:c r="K1262" t="n">
        <x:f>IF(AND(J1262=1,C1262=0),1,0)</x:f>
        <x:v>0</x:v>
      </x:c>
      <x:c r="L1262" t="str">
        <x:f>IFERROR(INDEX(Customers!$C$2:$C$451,MATCH(A1262,Customers!$A$2:$A$451,0)),"Unknown")</x:f>
        <x:v>Standard</x:v>
      </x:c>
    </x:row>
    <x:row r="1263">
      <x:c r="A1263" t="n">
        <x:v>231</x:v>
      </x:c>
      <x:c r="B1263" s="16" t="n">
        <x:v>46266</x:v>
      </x:c>
      <x:c r="C1263" t="n">
        <x:v>1</x:v>
      </x:c>
      <x:c r="D1263" t="n">
        <x:v>30</x:v>
      </x:c>
      <x:c r="E1263" s="18" t="n">
        <x:v>3963.61</x:v>
      </x:c>
      <x:c r="F1263" s="18" t="n">
        <x:v>0</x:v>
      </x:c>
      <x:c r="G1263" s="18" t="n">
        <x:v>17.84</x:v>
      </x:c>
      <x:c r="H1263" s="18" t="n">
        <x:v>7.47</x:v>
      </x:c>
      <x:c r="I1263" s="18" t="n">
        <x:v>25.31</x:v>
      </x:c>
      <x:c r="J1263" t="n">
        <x:f>IF(A1263=A1262,IFERROR(IF(B1263=EDATE(B1262,1),C1262,0),0),0)</x:f>
        <x:v>1</x:v>
      </x:c>
      <x:c r="K1263" t="n">
        <x:f>IF(AND(J1263=1,C1263=0),1,0)</x:f>
        <x:v>0</x:v>
      </x:c>
      <x:c r="L1263" t="str">
        <x:f>IFERROR(INDEX(Customers!$C$2:$C$451,MATCH(A1263,Customers!$A$2:$A$451,0)),"Unknown")</x:f>
        <x:v>Standard</x:v>
      </x:c>
    </x:row>
    <x:row r="1264">
      <x:c r="A1264" t="n">
        <x:v>232</x:v>
      </x:c>
      <x:c r="B1264" s="16" t="n">
        <x:v>46113</x:v>
      </x:c>
      <x:c r="C1264" t="n">
        <x:v>1</x:v>
      </x:c>
      <x:c r="D1264" t="n">
        <x:v>35</x:v>
      </x:c>
      <x:c r="E1264" s="18" t="n">
        <x:v>3138.19</x:v>
      </x:c>
      <x:c r="F1264" s="18" t="n">
        <x:v>34</x:v>
      </x:c>
      <x:c r="G1264" s="18" t="n">
        <x:v>14.12</x:v>
      </x:c>
      <x:c r="H1264" s="18" t="n">
        <x:v>3.98</x:v>
      </x:c>
      <x:c r="I1264" s="18" t="n">
        <x:v>52.1</x:v>
      </x:c>
      <x:c r="J1264" t="n">
        <x:f>IF(A1264=A1263,IFERROR(IF(B1264=EDATE(B1263,1),C1263,0),0),0)</x:f>
        <x:v>0</x:v>
      </x:c>
      <x:c r="K1264" t="n">
        <x:f>IF(AND(J1264=1,C1264=0),1,0)</x:f>
        <x:v>0</x:v>
      </x:c>
      <x:c r="L1264" t="str">
        <x:f>IFERROR(INDEX(Customers!$C$2:$C$451,MATCH(A1264,Customers!$A$2:$A$451,0)),"Unknown")</x:f>
        <x:v>Metal</x:v>
      </x:c>
    </x:row>
    <x:row r="1265">
      <x:c r="A1265" t="n">
        <x:v>232</x:v>
      </x:c>
      <x:c r="B1265" s="16" t="n">
        <x:v>46143</x:v>
      </x:c>
      <x:c r="C1265" t="n">
        <x:v>1</x:v>
      </x:c>
      <x:c r="D1265" t="n">
        <x:v>6</x:v>
      </x:c>
      <x:c r="E1265" s="18" t="n">
        <x:v>489.73</x:v>
      </x:c>
      <x:c r="F1265" s="18" t="n">
        <x:v>34</x:v>
      </x:c>
      <x:c r="G1265" s="18" t="n">
        <x:v>2.2</x:v>
      </x:c>
      <x:c r="H1265" s="18" t="n">
        <x:v>1.66</x:v>
      </x:c>
      <x:c r="I1265" s="18" t="n">
        <x:v>37.86</x:v>
      </x:c>
      <x:c r="J1265" t="n">
        <x:f>IF(A1265=A1264,IFERROR(IF(B1265=EDATE(B1264,1),C1264,0),0),0)</x:f>
        <x:v>1</x:v>
      </x:c>
      <x:c r="K1265" t="n">
        <x:f>IF(AND(J1265=1,C1265=0),1,0)</x:f>
        <x:v>0</x:v>
      </x:c>
      <x:c r="L1265" t="str">
        <x:f>IFERROR(INDEX(Customers!$C$2:$C$451,MATCH(A1265,Customers!$A$2:$A$451,0)),"Unknown")</x:f>
        <x:v>Metal</x:v>
      </x:c>
    </x:row>
    <x:row r="1266">
      <x:c r="A1266" t="n">
        <x:v>232</x:v>
      </x:c>
      <x:c r="B1266" s="16" t="n">
        <x:v>46174</x:v>
      </x:c>
      <x:c r="C1266" t="n">
        <x:v>1</x:v>
      </x:c>
      <x:c r="D1266" t="n">
        <x:v>28</x:v>
      </x:c>
      <x:c r="E1266" s="18" t="n">
        <x:v>3686.85</x:v>
      </x:c>
      <x:c r="F1266" s="18" t="n">
        <x:v>34</x:v>
      </x:c>
      <x:c r="G1266" s="18" t="n">
        <x:v>16.59</x:v>
      </x:c>
      <x:c r="H1266" s="18" t="n">
        <x:v>8.66</x:v>
      </x:c>
      <x:c r="I1266" s="18" t="n">
        <x:v>59.25</x:v>
      </x:c>
      <x:c r="J1266" t="n">
        <x:f>IF(A1266=A1265,IFERROR(IF(B1266=EDATE(B1265,1),C1265,0),0),0)</x:f>
        <x:v>1</x:v>
      </x:c>
      <x:c r="K1266" t="n">
        <x:f>IF(AND(J1266=1,C1266=0),1,0)</x:f>
        <x:v>0</x:v>
      </x:c>
      <x:c r="L1266" t="str">
        <x:f>IFERROR(INDEX(Customers!$C$2:$C$451,MATCH(A1266,Customers!$A$2:$A$451,0)),"Unknown")</x:f>
        <x:v>Metal</x:v>
      </x:c>
    </x:row>
    <x:row r="1267">
      <x:c r="A1267" t="n">
        <x:v>232</x:v>
      </x:c>
      <x:c r="B1267" s="16" t="n">
        <x:v>46204</x:v>
      </x:c>
      <x:c r="C1267" t="n">
        <x:v>1</x:v>
      </x:c>
      <x:c r="D1267" t="n">
        <x:v>26</x:v>
      </x:c>
      <x:c r="E1267" s="18" t="n">
        <x:v>1547.91</x:v>
      </x:c>
      <x:c r="F1267" s="18" t="n">
        <x:v>34</x:v>
      </x:c>
      <x:c r="G1267" s="18" t="n">
        <x:v>6.97</x:v>
      </x:c>
      <x:c r="H1267" s="18" t="n">
        <x:v>1.74</x:v>
      </x:c>
      <x:c r="I1267" s="18" t="n">
        <x:v>42.71</x:v>
      </x:c>
      <x:c r="J1267" t="n">
        <x:f>IF(A1267=A1266,IFERROR(IF(B1267=EDATE(B1266,1),C1266,0),0),0)</x:f>
        <x:v>1</x:v>
      </x:c>
      <x:c r="K1267" t="n">
        <x:f>IF(AND(J1267=1,C1267=0),1,0)</x:f>
        <x:v>0</x:v>
      </x:c>
      <x:c r="L1267" t="str">
        <x:f>IFERROR(INDEX(Customers!$C$2:$C$451,MATCH(A1267,Customers!$A$2:$A$451,0)),"Unknown")</x:f>
        <x:v>Metal</x:v>
      </x:c>
    </x:row>
    <x:row r="1268">
      <x:c r="A1268" t="n">
        <x:v>232</x:v>
      </x:c>
      <x:c r="B1268" s="16" t="n">
        <x:v>46235</x:v>
      </x:c>
      <x:c r="C1268" t="n">
        <x:v>1</x:v>
      </x:c>
      <x:c r="D1268" t="n">
        <x:v>7</x:v>
      </x:c>
      <x:c r="E1268" s="18" t="n">
        <x:v>852.81</x:v>
      </x:c>
      <x:c r="F1268" s="18" t="n">
        <x:v>34</x:v>
      </x:c>
      <x:c r="G1268" s="18" t="n">
        <x:v>3.84</x:v>
      </x:c>
      <x:c r="H1268" s="18" t="n">
        <x:v>1.39</x:v>
      </x:c>
      <x:c r="I1268" s="18" t="n">
        <x:v>39.23</x:v>
      </x:c>
      <x:c r="J1268" t="n">
        <x:f>IF(A1268=A1267,IFERROR(IF(B1268=EDATE(B1267,1),C1267,0),0),0)</x:f>
        <x:v>1</x:v>
      </x:c>
      <x:c r="K1268" t="n">
        <x:f>IF(AND(J1268=1,C1268=0),1,0)</x:f>
        <x:v>0</x:v>
      </x:c>
      <x:c r="L1268" t="str">
        <x:f>IFERROR(INDEX(Customers!$C$2:$C$451,MATCH(A1268,Customers!$A$2:$A$451,0)),"Unknown")</x:f>
        <x:v>Metal</x:v>
      </x:c>
    </x:row>
    <x:row r="1269">
      <x:c r="A1269" t="n">
        <x:v>232</x:v>
      </x:c>
      <x:c r="B1269" s="16" t="n">
        <x:v>46266</x:v>
      </x:c>
      <x:c r="C1269" t="n">
        <x:v>1</x:v>
      </x:c>
      <x:c r="D1269" t="n">
        <x:v>26</x:v>
      </x:c>
      <x:c r="E1269" s="18" t="n">
        <x:v>2332.67</x:v>
      </x:c>
      <x:c r="F1269" s="18" t="n">
        <x:v>34</x:v>
      </x:c>
      <x:c r="G1269" s="18" t="n">
        <x:v>10.5</x:v>
      </x:c>
      <x:c r="H1269" s="18" t="n">
        <x:v>3.77</x:v>
      </x:c>
      <x:c r="I1269" s="18" t="n">
        <x:v>48.27</x:v>
      </x:c>
      <x:c r="J1269" t="n">
        <x:f>IF(A1269=A1268,IFERROR(IF(B1269=EDATE(B1268,1),C1268,0),0),0)</x:f>
        <x:v>1</x:v>
      </x:c>
      <x:c r="K1269" t="n">
        <x:f>IF(AND(J1269=1,C1269=0),1,0)</x:f>
        <x:v>0</x:v>
      </x:c>
      <x:c r="L1269" t="str">
        <x:f>IFERROR(INDEX(Customers!$C$2:$C$451,MATCH(A1269,Customers!$A$2:$A$451,0)),"Unknown")</x:f>
        <x:v>Metal</x:v>
      </x:c>
    </x:row>
    <x:row r="1270">
      <x:c r="A1270" t="n">
        <x:v>233</x:v>
      </x:c>
      <x:c r="B1270" s="16" t="n">
        <x:v>46113</x:v>
      </x:c>
      <x:c r="C1270" t="n">
        <x:v>0</x:v>
      </x:c>
      <x:c r="D1270" t="n">
        <x:v>0</x:v>
      </x:c>
      <x:c r="E1270" s="18" t="n">
        <x:v>0</x:v>
      </x:c>
      <x:c r="F1270" s="18" t="n">
        <x:v>0</x:v>
      </x:c>
      <x:c r="G1270" s="18" t="n">
        <x:v>0</x:v>
      </x:c>
      <x:c r="H1270" s="18" t="n">
        <x:v>0</x:v>
      </x:c>
      <x:c r="I1270" s="18" t="n">
        <x:v>0</x:v>
      </x:c>
      <x:c r="J1270" t="n">
        <x:f>IF(A1270=A1269,IFERROR(IF(B1270=EDATE(B1269,1),C1269,0),0),0)</x:f>
        <x:v>0</x:v>
      </x:c>
      <x:c r="K1270" t="n">
        <x:f>IF(AND(J1270=1,C1270=0),1,0)</x:f>
        <x:v>0</x:v>
      </x:c>
      <x:c r="L1270" t="str">
        <x:f>IFERROR(INDEX(Customers!$C$2:$C$451,MATCH(A1270,Customers!$A$2:$A$451,0)),"Unknown")</x:f>
        <x:v>Premium</x:v>
      </x:c>
    </x:row>
    <x:row r="1271">
      <x:c r="A1271" t="n">
        <x:v>233</x:v>
      </x:c>
      <x:c r="B1271" s="16" t="n">
        <x:v>46143</x:v>
      </x:c>
      <x:c r="C1271" t="n">
        <x:v>1</x:v>
      </x:c>
      <x:c r="D1271" t="n">
        <x:v>18</x:v>
      </x:c>
      <x:c r="E1271" s="18" t="n">
        <x:v>650.5</x:v>
      </x:c>
      <x:c r="F1271" s="18" t="n">
        <x:v>17</x:v>
      </x:c>
      <x:c r="G1271" s="18" t="n">
        <x:v>2.93</x:v>
      </x:c>
      <x:c r="H1271" s="18" t="n">
        <x:v>1.97</x:v>
      </x:c>
      <x:c r="I1271" s="18" t="n">
        <x:v>21.9</x:v>
      </x:c>
      <x:c r="J1271" t="n">
        <x:f>IF(A1271=A1270,IFERROR(IF(B1271=EDATE(B1270,1),C1270,0),0),0)</x:f>
        <x:v>0</x:v>
      </x:c>
      <x:c r="K1271" t="n">
        <x:f>IF(AND(J1271=1,C1271=0),1,0)</x:f>
        <x:v>0</x:v>
      </x:c>
      <x:c r="L1271" t="str">
        <x:f>IFERROR(INDEX(Customers!$C$2:$C$451,MATCH(A1271,Customers!$A$2:$A$451,0)),"Unknown")</x:f>
        <x:v>Premium</x:v>
      </x:c>
    </x:row>
    <x:row r="1272">
      <x:c r="A1272" t="n">
        <x:v>233</x:v>
      </x:c>
      <x:c r="B1272" s="16" t="n">
        <x:v>46174</x:v>
      </x:c>
      <x:c r="C1272" t="n">
        <x:v>1</x:v>
      </x:c>
      <x:c r="D1272" t="n">
        <x:v>12</x:v>
      </x:c>
      <x:c r="E1272" s="18" t="n">
        <x:v>1219.06</x:v>
      </x:c>
      <x:c r="F1272" s="18" t="n">
        <x:v>17</x:v>
      </x:c>
      <x:c r="G1272" s="18" t="n">
        <x:v>5.49</x:v>
      </x:c>
      <x:c r="H1272" s="18" t="n">
        <x:v>4.04</x:v>
      </x:c>
      <x:c r="I1272" s="18" t="n">
        <x:v>26.53</x:v>
      </x:c>
      <x:c r="J1272" t="n">
        <x:f>IF(A1272=A1271,IFERROR(IF(B1272=EDATE(B1271,1),C1271,0),0),0)</x:f>
        <x:v>1</x:v>
      </x:c>
      <x:c r="K1272" t="n">
        <x:f>IF(AND(J1272=1,C1272=0),1,0)</x:f>
        <x:v>0</x:v>
      </x:c>
      <x:c r="L1272" t="str">
        <x:f>IFERROR(INDEX(Customers!$C$2:$C$451,MATCH(A1272,Customers!$A$2:$A$451,0)),"Unknown")</x:f>
        <x:v>Premium</x:v>
      </x:c>
    </x:row>
    <x:row r="1273">
      <x:c r="A1273" t="n">
        <x:v>233</x:v>
      </x:c>
      <x:c r="B1273" s="16" t="n">
        <x:v>46204</x:v>
      </x:c>
      <x:c r="C1273" t="n">
        <x:v>0</x:v>
      </x:c>
      <x:c r="D1273" t="n">
        <x:v>0</x:v>
      </x:c>
      <x:c r="E1273" s="18" t="n">
        <x:v>0</x:v>
      </x:c>
      <x:c r="F1273" s="18" t="n">
        <x:v>0</x:v>
      </x:c>
      <x:c r="G1273" s="18" t="n">
        <x:v>0</x:v>
      </x:c>
      <x:c r="H1273" s="18" t="n">
        <x:v>0</x:v>
      </x:c>
      <x:c r="I1273" s="18" t="n">
        <x:v>0</x:v>
      </x:c>
      <x:c r="J1273" t="n">
        <x:f>IF(A1273=A1272,IFERROR(IF(B1273=EDATE(B1272,1),C1272,0),0),0)</x:f>
        <x:v>1</x:v>
      </x:c>
      <x:c r="K1273" t="n">
        <x:f>IF(AND(J1273=1,C1273=0),1,0)</x:f>
        <x:v>1</x:v>
      </x:c>
      <x:c r="L1273" t="str">
        <x:f>IFERROR(INDEX(Customers!$C$2:$C$451,MATCH(A1273,Customers!$A$2:$A$451,0)),"Unknown")</x:f>
        <x:v>Premium</x:v>
      </x:c>
    </x:row>
    <x:row r="1274">
      <x:c r="A1274" t="n">
        <x:v>233</x:v>
      </x:c>
      <x:c r="B1274" s="16" t="n">
        <x:v>46235</x:v>
      </x:c>
      <x:c r="C1274" t="n">
        <x:v>1</x:v>
      </x:c>
      <x:c r="D1274" t="n">
        <x:v>25</x:v>
      </x:c>
      <x:c r="E1274" s="18" t="n">
        <x:v>3073.81</x:v>
      </x:c>
      <x:c r="F1274" s="18" t="n">
        <x:v>17</x:v>
      </x:c>
      <x:c r="G1274" s="18" t="n">
        <x:v>13.83</x:v>
      </x:c>
      <x:c r="H1274" s="18" t="n">
        <x:v>7.24</x:v>
      </x:c>
      <x:c r="I1274" s="18" t="n">
        <x:v>38.07</x:v>
      </x:c>
      <x:c r="J1274" t="n">
        <x:f>IF(A1274=A1273,IFERROR(IF(B1274=EDATE(B1273,1),C1273,0),0),0)</x:f>
        <x:v>0</x:v>
      </x:c>
      <x:c r="K1274" t="n">
        <x:f>IF(AND(J1274=1,C1274=0),1,0)</x:f>
        <x:v>0</x:v>
      </x:c>
      <x:c r="L1274" t="str">
        <x:f>IFERROR(INDEX(Customers!$C$2:$C$451,MATCH(A1274,Customers!$A$2:$A$451,0)),"Unknown")</x:f>
        <x:v>Premium</x:v>
      </x:c>
    </x:row>
    <x:row r="1275">
      <x:c r="A1275" t="n">
        <x:v>233</x:v>
      </x:c>
      <x:c r="B1275" s="16" t="n">
        <x:v>46266</x:v>
      </x:c>
      <x:c r="C1275" t="n">
        <x:v>1</x:v>
      </x:c>
      <x:c r="D1275" t="n">
        <x:v>6</x:v>
      </x:c>
      <x:c r="E1275" s="18" t="n">
        <x:v>364.34</x:v>
      </x:c>
      <x:c r="F1275" s="18" t="n">
        <x:v>17</x:v>
      </x:c>
      <x:c r="G1275" s="18" t="n">
        <x:v>1.64</x:v>
      </x:c>
      <x:c r="H1275" s="18" t="n">
        <x:v>1.04</x:v>
      </x:c>
      <x:c r="I1275" s="18" t="n">
        <x:v>19.68</x:v>
      </x:c>
      <x:c r="J1275" t="n">
        <x:f>IF(A1275=A1274,IFERROR(IF(B1275=EDATE(B1274,1),C1274,0),0),0)</x:f>
        <x:v>1</x:v>
      </x:c>
      <x:c r="K1275" t="n">
        <x:f>IF(AND(J1275=1,C1275=0),1,0)</x:f>
        <x:v>0</x:v>
      </x:c>
      <x:c r="L1275" t="str">
        <x:f>IFERROR(INDEX(Customers!$C$2:$C$451,MATCH(A1275,Customers!$A$2:$A$451,0)),"Unknown")</x:f>
        <x:v>Premium</x:v>
      </x:c>
    </x:row>
    <x:row r="1276">
      <x:c r="A1276" t="n">
        <x:v>234</x:v>
      </x:c>
      <x:c r="B1276" s="16" t="n">
        <x:v>46113</x:v>
      </x:c>
      <x:c r="C1276" t="n">
        <x:v>1</x:v>
      </x:c>
      <x:c r="D1276" t="n">
        <x:v>28</x:v>
      </x:c>
      <x:c r="E1276" s="18" t="n">
        <x:v>1827.68</x:v>
      </x:c>
      <x:c r="F1276" s="18" t="n">
        <x:v>17</x:v>
      </x:c>
      <x:c r="G1276" s="18" t="n">
        <x:v>8.22</x:v>
      </x:c>
      <x:c r="H1276" s="18" t="n">
        <x:v>2.21</x:v>
      </x:c>
      <x:c r="I1276" s="18" t="n">
        <x:v>27.43</x:v>
      </x:c>
      <x:c r="J1276" t="n">
        <x:f>IF(A1276=A1275,IFERROR(IF(B1276=EDATE(B1275,1),C1275,0),0),0)</x:f>
        <x:v>0</x:v>
      </x:c>
      <x:c r="K1276" t="n">
        <x:f>IF(AND(J1276=1,C1276=0),1,0)</x:f>
        <x:v>0</x:v>
      </x:c>
      <x:c r="L1276" t="str">
        <x:f>IFERROR(INDEX(Customers!$C$2:$C$451,MATCH(A1276,Customers!$A$2:$A$451,0)),"Unknown")</x:f>
        <x:v>Premium</x:v>
      </x:c>
    </x:row>
    <x:row r="1277">
      <x:c r="A1277" t="n">
        <x:v>234</x:v>
      </x:c>
      <x:c r="B1277" s="16" t="n">
        <x:v>46143</x:v>
      </x:c>
      <x:c r="C1277" t="n">
        <x:v>1</x:v>
      </x:c>
      <x:c r="D1277" t="n">
        <x:v>30</x:v>
      </x:c>
      <x:c r="E1277" s="18" t="n">
        <x:v>3517.31</x:v>
      </x:c>
      <x:c r="F1277" s="18" t="n">
        <x:v>17</x:v>
      </x:c>
      <x:c r="G1277" s="18" t="n">
        <x:v>15.83</x:v>
      </x:c>
      <x:c r="H1277" s="18" t="n">
        <x:v>11.48</x:v>
      </x:c>
      <x:c r="I1277" s="18" t="n">
        <x:v>44.31</x:v>
      </x:c>
      <x:c r="J1277" t="n">
        <x:f>IF(A1277=A1276,IFERROR(IF(B1277=EDATE(B1276,1),C1276,0),0),0)</x:f>
        <x:v>1</x:v>
      </x:c>
      <x:c r="K1277" t="n">
        <x:f>IF(AND(J1277=1,C1277=0),1,0)</x:f>
        <x:v>0</x:v>
      </x:c>
      <x:c r="L1277" t="str">
        <x:f>IFERROR(INDEX(Customers!$C$2:$C$451,MATCH(A1277,Customers!$A$2:$A$451,0)),"Unknown")</x:f>
        <x:v>Premium</x:v>
      </x:c>
    </x:row>
    <x:row r="1278">
      <x:c r="A1278" t="n">
        <x:v>234</x:v>
      </x:c>
      <x:c r="B1278" s="16" t="n">
        <x:v>46174</x:v>
      </x:c>
      <x:c r="C1278" t="n">
        <x:v>0</x:v>
      </x:c>
      <x:c r="D1278" t="n">
        <x:v>0</x:v>
      </x:c>
      <x:c r="E1278" s="18" t="n">
        <x:v>0</x:v>
      </x:c>
      <x:c r="F1278" s="18" t="n">
        <x:v>0</x:v>
      </x:c>
      <x:c r="G1278" s="18" t="n">
        <x:v>0</x:v>
      </x:c>
      <x:c r="H1278" s="18" t="n">
        <x:v>0</x:v>
      </x:c>
      <x:c r="I1278" s="18" t="n">
        <x:v>0</x:v>
      </x:c>
      <x:c r="J1278" t="n">
        <x:f>IF(A1278=A1277,IFERROR(IF(B1278=EDATE(B1277,1),C1277,0),0),0)</x:f>
        <x:v>1</x:v>
      </x:c>
      <x:c r="K1278" t="n">
        <x:f>IF(AND(J1278=1,C1278=0),1,0)</x:f>
        <x:v>1</x:v>
      </x:c>
      <x:c r="L1278" t="str">
        <x:f>IFERROR(INDEX(Customers!$C$2:$C$451,MATCH(A1278,Customers!$A$2:$A$451,0)),"Unknown")</x:f>
        <x:v>Premium</x:v>
      </x:c>
    </x:row>
    <x:row r="1279">
      <x:c r="A1279" t="n">
        <x:v>234</x:v>
      </x:c>
      <x:c r="B1279" s="16" t="n">
        <x:v>46204</x:v>
      </x:c>
      <x:c r="C1279" t="n">
        <x:v>0</x:v>
      </x:c>
      <x:c r="D1279" t="n">
        <x:v>0</x:v>
      </x:c>
      <x:c r="E1279" s="18" t="n">
        <x:v>0</x:v>
      </x:c>
      <x:c r="F1279" s="18" t="n">
        <x:v>0</x:v>
      </x:c>
      <x:c r="G1279" s="18" t="n">
        <x:v>0</x:v>
      </x:c>
      <x:c r="H1279" s="18" t="n">
        <x:v>0</x:v>
      </x:c>
      <x:c r="I1279" s="18" t="n">
        <x:v>0</x:v>
      </x:c>
      <x:c r="J1279" t="n">
        <x:f>IF(A1279=A1278,IFERROR(IF(B1279=EDATE(B1278,1),C1278,0),0),0)</x:f>
        <x:v>0</x:v>
      </x:c>
      <x:c r="K1279" t="n">
        <x:f>IF(AND(J1279=1,C1279=0),1,0)</x:f>
        <x:v>0</x:v>
      </x:c>
      <x:c r="L1279" t="str">
        <x:f>IFERROR(INDEX(Customers!$C$2:$C$451,MATCH(A1279,Customers!$A$2:$A$451,0)),"Unknown")</x:f>
        <x:v>Premium</x:v>
      </x:c>
    </x:row>
    <x:row r="1280">
      <x:c r="A1280" t="n">
        <x:v>234</x:v>
      </x:c>
      <x:c r="B1280" s="16" t="n">
        <x:v>46235</x:v>
      </x:c>
      <x:c r="C1280" t="n">
        <x:v>1</x:v>
      </x:c>
      <x:c r="D1280" t="n">
        <x:v>12</x:v>
      </x:c>
      <x:c r="E1280" s="18" t="n">
        <x:v>1339.45</x:v>
      </x:c>
      <x:c r="F1280" s="18" t="n">
        <x:v>17</x:v>
      </x:c>
      <x:c r="G1280" s="18" t="n">
        <x:v>6.03</x:v>
      </x:c>
      <x:c r="H1280" s="18" t="n">
        <x:v>2.1</x:v>
      </x:c>
      <x:c r="I1280" s="18" t="n">
        <x:v>25.13</x:v>
      </x:c>
      <x:c r="J1280" t="n">
        <x:f>IF(A1280=A1279,IFERROR(IF(B1280=EDATE(B1279,1),C1279,0),0),0)</x:f>
        <x:v>0</x:v>
      </x:c>
      <x:c r="K1280" t="n">
        <x:f>IF(AND(J1280=1,C1280=0),1,0)</x:f>
        <x:v>0</x:v>
      </x:c>
      <x:c r="L1280" t="str">
        <x:f>IFERROR(INDEX(Customers!$C$2:$C$451,MATCH(A1280,Customers!$A$2:$A$451,0)),"Unknown")</x:f>
        <x:v>Premium</x:v>
      </x:c>
    </x:row>
    <x:row r="1281">
      <x:c r="A1281" t="n">
        <x:v>234</x:v>
      </x:c>
      <x:c r="B1281" s="16" t="n">
        <x:v>46266</x:v>
      </x:c>
      <x:c r="C1281" t="n">
        <x:v>1</x:v>
      </x:c>
      <x:c r="D1281" t="n">
        <x:v>6</x:v>
      </x:c>
      <x:c r="E1281" s="18" t="n">
        <x:v>709.01</x:v>
      </x:c>
      <x:c r="F1281" s="18" t="n">
        <x:v>17</x:v>
      </x:c>
      <x:c r="G1281" s="18" t="n">
        <x:v>3.19</x:v>
      </x:c>
      <x:c r="H1281" s="18" t="n">
        <x:v>2.06</x:v>
      </x:c>
      <x:c r="I1281" s="18" t="n">
        <x:v>22.25</x:v>
      </x:c>
      <x:c r="J1281" t="n">
        <x:f>IF(A1281=A1280,IFERROR(IF(B1281=EDATE(B1280,1),C1280,0),0),0)</x:f>
        <x:v>1</x:v>
      </x:c>
      <x:c r="K1281" t="n">
        <x:f>IF(AND(J1281=1,C1281=0),1,0)</x:f>
        <x:v>0</x:v>
      </x:c>
      <x:c r="L1281" t="str">
        <x:f>IFERROR(INDEX(Customers!$C$2:$C$451,MATCH(A1281,Customers!$A$2:$A$451,0)),"Unknown")</x:f>
        <x:v>Premium</x:v>
      </x:c>
    </x:row>
    <x:row r="1282">
      <x:c r="A1282" t="n">
        <x:v>235</x:v>
      </x:c>
      <x:c r="B1282" s="16" t="n">
        <x:v>46174</x:v>
      </x:c>
      <x:c r="C1282" t="n">
        <x:v>0</x:v>
      </x:c>
      <x:c r="D1282" t="n">
        <x:v>0</x:v>
      </x:c>
      <x:c r="E1282" s="18" t="n">
        <x:v>0</x:v>
      </x:c>
      <x:c r="F1282" s="18" t="n">
        <x:v>0</x:v>
      </x:c>
      <x:c r="G1282" s="18" t="n">
        <x:v>0</x:v>
      </x:c>
      <x:c r="H1282" s="18" t="n">
        <x:v>0</x:v>
      </x:c>
      <x:c r="I1282" s="18" t="n">
        <x:v>0</x:v>
      </x:c>
      <x:c r="J1282" t="n">
        <x:f>IF(A1282=A1281,IFERROR(IF(B1282=EDATE(B1281,1),C1281,0),0),0)</x:f>
        <x:v>0</x:v>
      </x:c>
      <x:c r="K1282" t="n">
        <x:f>IF(AND(J1282=1,C1282=0),1,0)</x:f>
        <x:v>0</x:v>
      </x:c>
      <x:c r="L1282" t="str">
        <x:f>IFERROR(INDEX(Customers!$C$2:$C$451,MATCH(A1282,Customers!$A$2:$A$451,0)),"Unknown")</x:f>
        <x:v>Premium</x:v>
      </x:c>
    </x:row>
    <x:row r="1283">
      <x:c r="A1283" t="n">
        <x:v>235</x:v>
      </x:c>
      <x:c r="B1283" s="16" t="n">
        <x:v>46204</x:v>
      </x:c>
      <x:c r="C1283" t="n">
        <x:v>1</x:v>
      </x:c>
      <x:c r="D1283" t="n">
        <x:v>11</x:v>
      </x:c>
      <x:c r="E1283" s="18" t="n">
        <x:v>752.91</x:v>
      </x:c>
      <x:c r="F1283" s="18" t="n">
        <x:v>17</x:v>
      </x:c>
      <x:c r="G1283" s="18" t="n">
        <x:v>3.39</x:v>
      </x:c>
      <x:c r="H1283" s="18" t="n">
        <x:v>0.74</x:v>
      </x:c>
      <x:c r="I1283" s="18" t="n">
        <x:v>21.13</x:v>
      </x:c>
      <x:c r="J1283" t="n">
        <x:f>IF(A1283=A1282,IFERROR(IF(B1283=EDATE(B1282,1),C1282,0),0),0)</x:f>
        <x:v>0</x:v>
      </x:c>
      <x:c r="K1283" t="n">
        <x:f>IF(AND(J1283=1,C1283=0),1,0)</x:f>
        <x:v>0</x:v>
      </x:c>
      <x:c r="L1283" t="str">
        <x:f>IFERROR(INDEX(Customers!$C$2:$C$451,MATCH(A1283,Customers!$A$2:$A$451,0)),"Unknown")</x:f>
        <x:v>Premium</x:v>
      </x:c>
    </x:row>
    <x:row r="1284">
      <x:c r="A1284" t="n">
        <x:v>235</x:v>
      </x:c>
      <x:c r="B1284" s="16" t="n">
        <x:v>46235</x:v>
      </x:c>
      <x:c r="C1284" t="n">
        <x:v>1</x:v>
      </x:c>
      <x:c r="D1284" t="n">
        <x:v>33</x:v>
      </x:c>
      <x:c r="E1284" s="18" t="n">
        <x:v>1267.14</x:v>
      </x:c>
      <x:c r="F1284" s="18" t="n">
        <x:v>17</x:v>
      </x:c>
      <x:c r="G1284" s="18" t="n">
        <x:v>5.7</x:v>
      </x:c>
      <x:c r="H1284" s="18" t="n">
        <x:v>1.81</x:v>
      </x:c>
      <x:c r="I1284" s="18" t="n">
        <x:v>24.51</x:v>
      </x:c>
      <x:c r="J1284" t="n">
        <x:f>IF(A1284=A1283,IFERROR(IF(B1284=EDATE(B1283,1),C1283,0),0),0)</x:f>
        <x:v>1</x:v>
      </x:c>
      <x:c r="K1284" t="n">
        <x:f>IF(AND(J1284=1,C1284=0),1,0)</x:f>
        <x:v>0</x:v>
      </x:c>
      <x:c r="L1284" t="str">
        <x:f>IFERROR(INDEX(Customers!$C$2:$C$451,MATCH(A1284,Customers!$A$2:$A$451,0)),"Unknown")</x:f>
        <x:v>Premium</x:v>
      </x:c>
    </x:row>
    <x:row r="1285">
      <x:c r="A1285" t="n">
        <x:v>235</x:v>
      </x:c>
      <x:c r="B1285" s="16" t="n">
        <x:v>46266</x:v>
      </x:c>
      <x:c r="C1285" t="n">
        <x:v>1</x:v>
      </x:c>
      <x:c r="D1285" t="n">
        <x:v>14</x:v>
      </x:c>
      <x:c r="E1285" s="18" t="n">
        <x:v>1360.7</x:v>
      </x:c>
      <x:c r="F1285" s="18" t="n">
        <x:v>17</x:v>
      </x:c>
      <x:c r="G1285" s="18" t="n">
        <x:v>6.12</x:v>
      </x:c>
      <x:c r="H1285" s="18" t="n">
        <x:v>4.82</x:v>
      </x:c>
      <x:c r="I1285" s="18" t="n">
        <x:v>27.94</x:v>
      </x:c>
      <x:c r="J1285" t="n">
        <x:f>IF(A1285=A1284,IFERROR(IF(B1285=EDATE(B1284,1),C1284,0),0),0)</x:f>
        <x:v>1</x:v>
      </x:c>
      <x:c r="K1285" t="n">
        <x:f>IF(AND(J1285=1,C1285=0),1,0)</x:f>
        <x:v>0</x:v>
      </x:c>
      <x:c r="L1285" t="str">
        <x:f>IFERROR(INDEX(Customers!$C$2:$C$451,MATCH(A1285,Customers!$A$2:$A$451,0)),"Unknown")</x:f>
        <x:v>Premium</x:v>
      </x:c>
    </x:row>
    <x:row r="1286">
      <x:c r="A1286" t="n">
        <x:v>236</x:v>
      </x:c>
      <x:c r="B1286" s="16" t="n">
        <x:v>46174</x:v>
      </x:c>
      <x:c r="C1286" t="n">
        <x:v>1</x:v>
      </x:c>
      <x:c r="D1286" t="n">
        <x:v>28</x:v>
      </x:c>
      <x:c r="E1286" s="18" t="n">
        <x:v>3688.4</x:v>
      </x:c>
      <x:c r="F1286" s="18" t="n">
        <x:v>17</x:v>
      </x:c>
      <x:c r="G1286" s="18" t="n">
        <x:v>16.6</x:v>
      </x:c>
      <x:c r="H1286" s="18" t="n">
        <x:v>9.26</x:v>
      </x:c>
      <x:c r="I1286" s="18" t="n">
        <x:v>42.86</x:v>
      </x:c>
      <x:c r="J1286" t="n">
        <x:f>IF(A1286=A1285,IFERROR(IF(B1286=EDATE(B1285,1),C1285,0),0),0)</x:f>
        <x:v>0</x:v>
      </x:c>
      <x:c r="K1286" t="n">
        <x:f>IF(AND(J1286=1,C1286=0),1,0)</x:f>
        <x:v>0</x:v>
      </x:c>
      <x:c r="L1286" t="str">
        <x:f>IFERROR(INDEX(Customers!$C$2:$C$451,MATCH(A1286,Customers!$A$2:$A$451,0)),"Unknown")</x:f>
        <x:v>Premium</x:v>
      </x:c>
    </x:row>
    <x:row r="1287">
      <x:c r="A1287" t="n">
        <x:v>236</x:v>
      </x:c>
      <x:c r="B1287" s="16" t="n">
        <x:v>46204</x:v>
      </x:c>
      <x:c r="C1287" t="n">
        <x:v>1</x:v>
      </x:c>
      <x:c r="D1287" t="n">
        <x:v>33</x:v>
      </x:c>
      <x:c r="E1287" s="18" t="n">
        <x:v>1838.46</x:v>
      </x:c>
      <x:c r="F1287" s="18" t="n">
        <x:v>17</x:v>
      </x:c>
      <x:c r="G1287" s="18" t="n">
        <x:v>8.27</x:v>
      </x:c>
      <x:c r="H1287" s="18" t="n">
        <x:v>5.89</x:v>
      </x:c>
      <x:c r="I1287" s="18" t="n">
        <x:v>31.16</x:v>
      </x:c>
      <x:c r="J1287" t="n">
        <x:f>IF(A1287=A1286,IFERROR(IF(B1287=EDATE(B1286,1),C1286,0),0),0)</x:f>
        <x:v>1</x:v>
      </x:c>
      <x:c r="K1287" t="n">
        <x:f>IF(AND(J1287=1,C1287=0),1,0)</x:f>
        <x:v>0</x:v>
      </x:c>
      <x:c r="L1287" t="str">
        <x:f>IFERROR(INDEX(Customers!$C$2:$C$451,MATCH(A1287,Customers!$A$2:$A$451,0)),"Unknown")</x:f>
        <x:v>Premium</x:v>
      </x:c>
    </x:row>
    <x:row r="1288">
      <x:c r="A1288" t="n">
        <x:v>236</x:v>
      </x:c>
      <x:c r="B1288" s="16" t="n">
        <x:v>46235</x:v>
      </x:c>
      <x:c r="C1288" t="n">
        <x:v>0</x:v>
      </x:c>
      <x:c r="D1288" t="n">
        <x:v>0</x:v>
      </x:c>
      <x:c r="E1288" s="18" t="n">
        <x:v>0</x:v>
      </x:c>
      <x:c r="F1288" s="18" t="n">
        <x:v>0</x:v>
      </x:c>
      <x:c r="G1288" s="18" t="n">
        <x:v>0</x:v>
      </x:c>
      <x:c r="H1288" s="18" t="n">
        <x:v>0</x:v>
      </x:c>
      <x:c r="I1288" s="18" t="n">
        <x:v>0</x:v>
      </x:c>
      <x:c r="J1288" t="n">
        <x:f>IF(A1288=A1287,IFERROR(IF(B1288=EDATE(B1287,1),C1287,0),0),0)</x:f>
        <x:v>1</x:v>
      </x:c>
      <x:c r="K1288" t="n">
        <x:f>IF(AND(J1288=1,C1288=0),1,0)</x:f>
        <x:v>1</x:v>
      </x:c>
      <x:c r="L1288" t="str">
        <x:f>IFERROR(INDEX(Customers!$C$2:$C$451,MATCH(A1288,Customers!$A$2:$A$451,0)),"Unknown")</x:f>
        <x:v>Premium</x:v>
      </x:c>
    </x:row>
    <x:row r="1289">
      <x:c r="A1289" t="n">
        <x:v>236</x:v>
      </x:c>
      <x:c r="B1289" s="16" t="n">
        <x:v>46266</x:v>
      </x:c>
      <x:c r="C1289" t="n">
        <x:v>0</x:v>
      </x:c>
      <x:c r="D1289" t="n">
        <x:v>0</x:v>
      </x:c>
      <x:c r="E1289" s="18" t="n">
        <x:v>0</x:v>
      </x:c>
      <x:c r="F1289" s="18" t="n">
        <x:v>0</x:v>
      </x:c>
      <x:c r="G1289" s="18" t="n">
        <x:v>0</x:v>
      </x:c>
      <x:c r="H1289" s="18" t="n">
        <x:v>0</x:v>
      </x:c>
      <x:c r="I1289" s="18" t="n">
        <x:v>0</x:v>
      </x:c>
      <x:c r="J1289" t="n">
        <x:f>IF(A1289=A1288,IFERROR(IF(B1289=EDATE(B1288,1),C1288,0),0),0)</x:f>
        <x:v>0</x:v>
      </x:c>
      <x:c r="K1289" t="n">
        <x:f>IF(AND(J1289=1,C1289=0),1,0)</x:f>
        <x:v>0</x:v>
      </x:c>
      <x:c r="L1289" t="str">
        <x:f>IFERROR(INDEX(Customers!$C$2:$C$451,MATCH(A1289,Customers!$A$2:$A$451,0)),"Unknown")</x:f>
        <x:v>Premium</x:v>
      </x:c>
    </x:row>
    <x:row r="1290">
      <x:c r="A1290" t="n">
        <x:v>237</x:v>
      </x:c>
      <x:c r="B1290" s="16" t="n">
        <x:v>46143</x:v>
      </x:c>
      <x:c r="C1290" t="n">
        <x:v>0</x:v>
      </x:c>
      <x:c r="D1290" t="n">
        <x:v>0</x:v>
      </x:c>
      <x:c r="E1290" s="18" t="n">
        <x:v>0</x:v>
      </x:c>
      <x:c r="F1290" s="18" t="n">
        <x:v>0</x:v>
      </x:c>
      <x:c r="G1290" s="18" t="n">
        <x:v>0</x:v>
      </x:c>
      <x:c r="H1290" s="18" t="n">
        <x:v>0</x:v>
      </x:c>
      <x:c r="I1290" s="18" t="n">
        <x:v>0</x:v>
      </x:c>
      <x:c r="J1290" t="n">
        <x:f>IF(A1290=A1289,IFERROR(IF(B1290=EDATE(B1289,1),C1289,0),0),0)</x:f>
        <x:v>0</x:v>
      </x:c>
      <x:c r="K1290" t="n">
        <x:f>IF(AND(J1290=1,C1290=0),1,0)</x:f>
        <x:v>0</x:v>
      </x:c>
      <x:c r="L1290" t="str">
        <x:f>IFERROR(INDEX(Customers!$C$2:$C$451,MATCH(A1290,Customers!$A$2:$A$451,0)),"Unknown")</x:f>
        <x:v>Metal</x:v>
      </x:c>
    </x:row>
    <x:row r="1291">
      <x:c r="A1291" t="n">
        <x:v>237</x:v>
      </x:c>
      <x:c r="B1291" s="16" t="n">
        <x:v>46174</x:v>
      </x:c>
      <x:c r="C1291" t="n">
        <x:v>1</x:v>
      </x:c>
      <x:c r="D1291" t="n">
        <x:v>22</x:v>
      </x:c>
      <x:c r="E1291" s="18" t="n">
        <x:v>1940.17</x:v>
      </x:c>
      <x:c r="F1291" s="18" t="n">
        <x:v>34</x:v>
      </x:c>
      <x:c r="G1291" s="18" t="n">
        <x:v>8.73</x:v>
      </x:c>
      <x:c r="H1291" s="18" t="n">
        <x:v>7.08</x:v>
      </x:c>
      <x:c r="I1291" s="18" t="n">
        <x:v>49.81</x:v>
      </x:c>
      <x:c r="J1291" t="n">
        <x:f>IF(A1291=A1290,IFERROR(IF(B1291=EDATE(B1290,1),C1290,0),0),0)</x:f>
        <x:v>0</x:v>
      </x:c>
      <x:c r="K1291" t="n">
        <x:f>IF(AND(J1291=1,C1291=0),1,0)</x:f>
        <x:v>0</x:v>
      </x:c>
      <x:c r="L1291" t="str">
        <x:f>IFERROR(INDEX(Customers!$C$2:$C$451,MATCH(A1291,Customers!$A$2:$A$451,0)),"Unknown")</x:f>
        <x:v>Metal</x:v>
      </x:c>
    </x:row>
    <x:row r="1292">
      <x:c r="A1292" t="n">
        <x:v>237</x:v>
      </x:c>
      <x:c r="B1292" s="16" t="n">
        <x:v>46204</x:v>
      </x:c>
      <x:c r="C1292" t="n">
        <x:v>0</x:v>
      </x:c>
      <x:c r="D1292" t="n">
        <x:v>0</x:v>
      </x:c>
      <x:c r="E1292" s="18" t="n">
        <x:v>0</x:v>
      </x:c>
      <x:c r="F1292" s="18" t="n">
        <x:v>0</x:v>
      </x:c>
      <x:c r="G1292" s="18" t="n">
        <x:v>0</x:v>
      </x:c>
      <x:c r="H1292" s="18" t="n">
        <x:v>0</x:v>
      </x:c>
      <x:c r="I1292" s="18" t="n">
        <x:v>0</x:v>
      </x:c>
      <x:c r="J1292" t="n">
        <x:f>IF(A1292=A1291,IFERROR(IF(B1292=EDATE(B1291,1),C1291,0),0),0)</x:f>
        <x:v>1</x:v>
      </x:c>
      <x:c r="K1292" t="n">
        <x:f>IF(AND(J1292=1,C1292=0),1,0)</x:f>
        <x:v>1</x:v>
      </x:c>
      <x:c r="L1292" t="str">
        <x:f>IFERROR(INDEX(Customers!$C$2:$C$451,MATCH(A1292,Customers!$A$2:$A$451,0)),"Unknown")</x:f>
        <x:v>Metal</x:v>
      </x:c>
    </x:row>
    <x:row r="1293">
      <x:c r="A1293" t="n">
        <x:v>237</x:v>
      </x:c>
      <x:c r="B1293" s="16" t="n">
        <x:v>46235</x:v>
      </x:c>
      <x:c r="C1293" t="n">
        <x:v>1</x:v>
      </x:c>
      <x:c r="D1293" t="n">
        <x:v>14</x:v>
      </x:c>
      <x:c r="E1293" s="18" t="n">
        <x:v>594.88</x:v>
      </x:c>
      <x:c r="F1293" s="18" t="n">
        <x:v>34</x:v>
      </x:c>
      <x:c r="G1293" s="18" t="n">
        <x:v>2.68</x:v>
      </x:c>
      <x:c r="H1293" s="18" t="n">
        <x:v>1.62</x:v>
      </x:c>
      <x:c r="I1293" s="18" t="n">
        <x:v>38.3</x:v>
      </x:c>
      <x:c r="J1293" t="n">
        <x:f>IF(A1293=A1292,IFERROR(IF(B1293=EDATE(B1292,1),C1292,0),0),0)</x:f>
        <x:v>0</x:v>
      </x:c>
      <x:c r="K1293" t="n">
        <x:f>IF(AND(J1293=1,C1293=0),1,0)</x:f>
        <x:v>0</x:v>
      </x:c>
      <x:c r="L1293" t="str">
        <x:f>IFERROR(INDEX(Customers!$C$2:$C$451,MATCH(A1293,Customers!$A$2:$A$451,0)),"Unknown")</x:f>
        <x:v>Metal</x:v>
      </x:c>
    </x:row>
    <x:row r="1294">
      <x:c r="A1294" t="n">
        <x:v>237</x:v>
      </x:c>
      <x:c r="B1294" s="16" t="n">
        <x:v>46266</x:v>
      </x:c>
      <x:c r="C1294" t="n">
        <x:v>1</x:v>
      </x:c>
      <x:c r="D1294" t="n">
        <x:v>8</x:v>
      </x:c>
      <x:c r="E1294" s="18" t="n">
        <x:v>343.26</x:v>
      </x:c>
      <x:c r="F1294" s="18" t="n">
        <x:v>34</x:v>
      </x:c>
      <x:c r="G1294" s="18" t="n">
        <x:v>1.54</x:v>
      </x:c>
      <x:c r="H1294" s="18" t="n">
        <x:v>0.77</x:v>
      </x:c>
      <x:c r="I1294" s="18" t="n">
        <x:v>36.31</x:v>
      </x:c>
      <x:c r="J1294" t="n">
        <x:f>IF(A1294=A1293,IFERROR(IF(B1294=EDATE(B1293,1),C1293,0),0),0)</x:f>
        <x:v>1</x:v>
      </x:c>
      <x:c r="K1294" t="n">
        <x:f>IF(AND(J1294=1,C1294=0),1,0)</x:f>
        <x:v>0</x:v>
      </x:c>
      <x:c r="L1294" t="str">
        <x:f>IFERROR(INDEX(Customers!$C$2:$C$451,MATCH(A1294,Customers!$A$2:$A$451,0)),"Unknown")</x:f>
        <x:v>Metal</x:v>
      </x:c>
    </x:row>
    <x:row r="1295">
      <x:c r="A1295" t="n">
        <x:v>238</x:v>
      </x:c>
      <x:c r="B1295" s="16" t="n">
        <x:v>46113</x:v>
      </x:c>
      <x:c r="C1295" t="n">
        <x:v>1</x:v>
      </x:c>
      <x:c r="D1295" t="n">
        <x:v>11</x:v>
      </x:c>
      <x:c r="E1295" s="18" t="n">
        <x:v>1279.15</x:v>
      </x:c>
      <x:c r="F1295" s="18" t="n">
        <x:v>0</x:v>
      </x:c>
      <x:c r="G1295" s="18" t="n">
        <x:v>5.76</x:v>
      </x:c>
      <x:c r="H1295" s="18" t="n">
        <x:v>3.99</x:v>
      </x:c>
      <x:c r="I1295" s="18" t="n">
        <x:v>9.75</x:v>
      </x:c>
      <x:c r="J1295" t="n">
        <x:f>IF(A1295=A1294,IFERROR(IF(B1295=EDATE(B1294,1),C1294,0),0),0)</x:f>
        <x:v>0</x:v>
      </x:c>
      <x:c r="K1295" t="n">
        <x:f>IF(AND(J1295=1,C1295=0),1,0)</x:f>
        <x:v>0</x:v>
      </x:c>
      <x:c r="L1295" t="str">
        <x:f>IFERROR(INDEX(Customers!$C$2:$C$451,MATCH(A1295,Customers!$A$2:$A$451,0)),"Unknown")</x:f>
        <x:v>Standard</x:v>
      </x:c>
    </x:row>
    <x:row r="1296">
      <x:c r="A1296" t="n">
        <x:v>238</x:v>
      </x:c>
      <x:c r="B1296" s="16" t="n">
        <x:v>46143</x:v>
      </x:c>
      <x:c r="C1296" t="n">
        <x:v>0</x:v>
      </x:c>
      <x:c r="D1296" t="n">
        <x:v>0</x:v>
      </x:c>
      <x:c r="E1296" s="18" t="n">
        <x:v>0</x:v>
      </x:c>
      <x:c r="F1296" s="18" t="n">
        <x:v>0</x:v>
      </x:c>
      <x:c r="G1296" s="18" t="n">
        <x:v>0</x:v>
      </x:c>
      <x:c r="H1296" s="18" t="n">
        <x:v>0</x:v>
      </x:c>
      <x:c r="I1296" s="18" t="n">
        <x:v>0</x:v>
      </x:c>
      <x:c r="J1296" t="n">
        <x:f>IF(A1296=A1295,IFERROR(IF(B1296=EDATE(B1295,1),C1295,0),0),0)</x:f>
        <x:v>1</x:v>
      </x:c>
      <x:c r="K1296" t="n">
        <x:f>IF(AND(J1296=1,C1296=0),1,0)</x:f>
        <x:v>1</x:v>
      </x:c>
      <x:c r="L1296" t="str">
        <x:f>IFERROR(INDEX(Customers!$C$2:$C$451,MATCH(A1296,Customers!$A$2:$A$451,0)),"Unknown")</x:f>
        <x:v>Standard</x:v>
      </x:c>
    </x:row>
    <x:row r="1297">
      <x:c r="A1297" t="n">
        <x:v>238</x:v>
      </x:c>
      <x:c r="B1297" s="16" t="n">
        <x:v>46174</x:v>
      </x:c>
      <x:c r="C1297" t="n">
        <x:v>1</x:v>
      </x:c>
      <x:c r="D1297" t="n">
        <x:v>9</x:v>
      </x:c>
      <x:c r="E1297" s="18" t="n">
        <x:v>1038.11</x:v>
      </x:c>
      <x:c r="F1297" s="18" t="n">
        <x:v>0</x:v>
      </x:c>
      <x:c r="G1297" s="18" t="n">
        <x:v>4.67</x:v>
      </x:c>
      <x:c r="H1297" s="18" t="n">
        <x:v>2.24</x:v>
      </x:c>
      <x:c r="I1297" s="18" t="n">
        <x:v>6.91</x:v>
      </x:c>
      <x:c r="J1297" t="n">
        <x:f>IF(A1297=A1296,IFERROR(IF(B1297=EDATE(B1296,1),C1296,0),0),0)</x:f>
        <x:v>0</x:v>
      </x:c>
      <x:c r="K1297" t="n">
        <x:f>IF(AND(J1297=1,C1297=0),1,0)</x:f>
        <x:v>0</x:v>
      </x:c>
      <x:c r="L1297" t="str">
        <x:f>IFERROR(INDEX(Customers!$C$2:$C$451,MATCH(A1297,Customers!$A$2:$A$451,0)),"Unknown")</x:f>
        <x:v>Standard</x:v>
      </x:c>
    </x:row>
    <x:row r="1298">
      <x:c r="A1298" t="n">
        <x:v>238</x:v>
      </x:c>
      <x:c r="B1298" s="16" t="n">
        <x:v>46204</x:v>
      </x:c>
      <x:c r="C1298" t="n">
        <x:v>1</x:v>
      </x:c>
      <x:c r="D1298" t="n">
        <x:v>7</x:v>
      </x:c>
      <x:c r="E1298" s="18" t="n">
        <x:v>508.2</x:v>
      </x:c>
      <x:c r="F1298" s="18" t="n">
        <x:v>0</x:v>
      </x:c>
      <x:c r="G1298" s="18" t="n">
        <x:v>2.29</x:v>
      </x:c>
      <x:c r="H1298" s="18" t="n">
        <x:v>0.71</x:v>
      </x:c>
      <x:c r="I1298" s="18" t="n">
        <x:v>3</x:v>
      </x:c>
      <x:c r="J1298" t="n">
        <x:f>IF(A1298=A1297,IFERROR(IF(B1298=EDATE(B1297,1),C1297,0),0),0)</x:f>
        <x:v>1</x:v>
      </x:c>
      <x:c r="K1298" t="n">
        <x:f>IF(AND(J1298=1,C1298=0),1,0)</x:f>
        <x:v>0</x:v>
      </x:c>
      <x:c r="L1298" t="str">
        <x:f>IFERROR(INDEX(Customers!$C$2:$C$451,MATCH(A1298,Customers!$A$2:$A$451,0)),"Unknown")</x:f>
        <x:v>Standard</x:v>
      </x:c>
    </x:row>
    <x:row r="1299">
      <x:c r="A1299" t="n">
        <x:v>238</x:v>
      </x:c>
      <x:c r="B1299" s="16" t="n">
        <x:v>46235</x:v>
      </x:c>
      <x:c r="C1299" t="n">
        <x:v>1</x:v>
      </x:c>
      <x:c r="D1299" t="n">
        <x:v>14</x:v>
      </x:c>
      <x:c r="E1299" s="18" t="n">
        <x:v>1795.16</x:v>
      </x:c>
      <x:c r="F1299" s="18" t="n">
        <x:v>0</x:v>
      </x:c>
      <x:c r="G1299" s="18" t="n">
        <x:v>8.08</x:v>
      </x:c>
      <x:c r="H1299" s="18" t="n">
        <x:v>5.26</x:v>
      </x:c>
      <x:c r="I1299" s="18" t="n">
        <x:v>13.34</x:v>
      </x:c>
      <x:c r="J1299" t="n">
        <x:f>IF(A1299=A1298,IFERROR(IF(B1299=EDATE(B1298,1),C1298,0),0),0)</x:f>
        <x:v>1</x:v>
      </x:c>
      <x:c r="K1299" t="n">
        <x:f>IF(AND(J1299=1,C1299=0),1,0)</x:f>
        <x:v>0</x:v>
      </x:c>
      <x:c r="L1299" t="str">
        <x:f>IFERROR(INDEX(Customers!$C$2:$C$451,MATCH(A1299,Customers!$A$2:$A$451,0)),"Unknown")</x:f>
        <x:v>Standard</x:v>
      </x:c>
    </x:row>
    <x:row r="1300">
      <x:c r="A1300" t="n">
        <x:v>238</x:v>
      </x:c>
      <x:c r="B1300" s="16" t="n">
        <x:v>46266</x:v>
      </x:c>
      <x:c r="C1300" t="n">
        <x:v>1</x:v>
      </x:c>
      <x:c r="D1300" t="n">
        <x:v>33</x:v>
      </x:c>
      <x:c r="E1300" s="18" t="n">
        <x:v>2472.38</x:v>
      </x:c>
      <x:c r="F1300" s="18" t="n">
        <x:v>0</x:v>
      </x:c>
      <x:c r="G1300" s="18" t="n">
        <x:v>11.13</x:v>
      </x:c>
      <x:c r="H1300" s="18" t="n">
        <x:v>1.99</x:v>
      </x:c>
      <x:c r="I1300" s="18" t="n">
        <x:v>13.12</x:v>
      </x:c>
      <x:c r="J1300" t="n">
        <x:f>IF(A1300=A1299,IFERROR(IF(B1300=EDATE(B1299,1),C1299,0),0),0)</x:f>
        <x:v>1</x:v>
      </x:c>
      <x:c r="K1300" t="n">
        <x:f>IF(AND(J1300=1,C1300=0),1,0)</x:f>
        <x:v>0</x:v>
      </x:c>
      <x:c r="L1300" t="str">
        <x:f>IFERROR(INDEX(Customers!$C$2:$C$451,MATCH(A1300,Customers!$A$2:$A$451,0)),"Unknown")</x:f>
        <x:v>Standard</x:v>
      </x:c>
    </x:row>
    <x:row r="1301">
      <x:c r="A1301" t="n">
        <x:v>239</x:v>
      </x:c>
      <x:c r="B1301" s="16" t="n">
        <x:v>46113</x:v>
      </x:c>
      <x:c r="C1301" t="n">
        <x:v>1</x:v>
      </x:c>
      <x:c r="D1301" t="n">
        <x:v>10</x:v>
      </x:c>
      <x:c r="E1301" s="18" t="n">
        <x:v>463.87</x:v>
      </x:c>
      <x:c r="F1301" s="18" t="n">
        <x:v>0</x:v>
      </x:c>
      <x:c r="G1301" s="18" t="n">
        <x:v>2.09</x:v>
      </x:c>
      <x:c r="H1301" s="18" t="n">
        <x:v>0.48</x:v>
      </x:c>
      <x:c r="I1301" s="18" t="n">
        <x:v>2.57</x:v>
      </x:c>
      <x:c r="J1301" t="n">
        <x:f>IF(A1301=A1300,IFERROR(IF(B1301=EDATE(B1300,1),C1300,0),0),0)</x:f>
        <x:v>0</x:v>
      </x:c>
      <x:c r="K1301" t="n">
        <x:f>IF(AND(J1301=1,C1301=0),1,0)</x:f>
        <x:v>0</x:v>
      </x:c>
      <x:c r="L1301" t="str">
        <x:f>IFERROR(INDEX(Customers!$C$2:$C$451,MATCH(A1301,Customers!$A$2:$A$451,0)),"Unknown")</x:f>
        <x:v>Standard</x:v>
      </x:c>
    </x:row>
    <x:row r="1302">
      <x:c r="A1302" t="n">
        <x:v>239</x:v>
      </x:c>
      <x:c r="B1302" s="16" t="n">
        <x:v>46143</x:v>
      </x:c>
      <x:c r="C1302" t="n">
        <x:v>1</x:v>
      </x:c>
      <x:c r="D1302" t="n">
        <x:v>19</x:v>
      </x:c>
      <x:c r="E1302" s="18" t="n">
        <x:v>1172.89</x:v>
      </x:c>
      <x:c r="F1302" s="18" t="n">
        <x:v>0</x:v>
      </x:c>
      <x:c r="G1302" s="18" t="n">
        <x:v>5.28</x:v>
      </x:c>
      <x:c r="H1302" s="18" t="n">
        <x:v>3.27</x:v>
      </x:c>
      <x:c r="I1302" s="18" t="n">
        <x:v>8.55</x:v>
      </x:c>
      <x:c r="J1302" t="n">
        <x:f>IF(A1302=A1301,IFERROR(IF(B1302=EDATE(B1301,1),C1301,0),0),0)</x:f>
        <x:v>1</x:v>
      </x:c>
      <x:c r="K1302" t="n">
        <x:f>IF(AND(J1302=1,C1302=0),1,0)</x:f>
        <x:v>0</x:v>
      </x:c>
      <x:c r="L1302" t="str">
        <x:f>IFERROR(INDEX(Customers!$C$2:$C$451,MATCH(A1302,Customers!$A$2:$A$451,0)),"Unknown")</x:f>
        <x:v>Standard</x:v>
      </x:c>
    </x:row>
    <x:row r="1303">
      <x:c r="A1303" t="n">
        <x:v>239</x:v>
      </x:c>
      <x:c r="B1303" s="16" t="n">
        <x:v>46174</x:v>
      </x:c>
      <x:c r="C1303" t="n">
        <x:v>1</x:v>
      </x:c>
      <x:c r="D1303" t="n">
        <x:v>10</x:v>
      </x:c>
      <x:c r="E1303" s="18" t="n">
        <x:v>718.66</x:v>
      </x:c>
      <x:c r="F1303" s="18" t="n">
        <x:v>0</x:v>
      </x:c>
      <x:c r="G1303" s="18" t="n">
        <x:v>3.23</x:v>
      </x:c>
      <x:c r="H1303" s="18" t="n">
        <x:v>1.33</x:v>
      </x:c>
      <x:c r="I1303" s="18" t="n">
        <x:v>4.56</x:v>
      </x:c>
      <x:c r="J1303" t="n">
        <x:f>IF(A1303=A1302,IFERROR(IF(B1303=EDATE(B1302,1),C1302,0),0),0)</x:f>
        <x:v>1</x:v>
      </x:c>
      <x:c r="K1303" t="n">
        <x:f>IF(AND(J1303=1,C1303=0),1,0)</x:f>
        <x:v>0</x:v>
      </x:c>
      <x:c r="L1303" t="str">
        <x:f>IFERROR(INDEX(Customers!$C$2:$C$451,MATCH(A1303,Customers!$A$2:$A$451,0)),"Unknown")</x:f>
        <x:v>Standard</x:v>
      </x:c>
    </x:row>
    <x:row r="1304">
      <x:c r="A1304" t="n">
        <x:v>239</x:v>
      </x:c>
      <x:c r="B1304" s="16" t="n">
        <x:v>46204</x:v>
      </x:c>
      <x:c r="C1304" t="n">
        <x:v>1</x:v>
      </x:c>
      <x:c r="D1304" t="n">
        <x:v>7</x:v>
      </x:c>
      <x:c r="E1304" s="18" t="n">
        <x:v>255.47</x:v>
      </x:c>
      <x:c r="F1304" s="18" t="n">
        <x:v>0</x:v>
      </x:c>
      <x:c r="G1304" s="18" t="n">
        <x:v>1.15</x:v>
      </x:c>
      <x:c r="H1304" s="18" t="n">
        <x:v>0.9</x:v>
      </x:c>
      <x:c r="I1304" s="18" t="n">
        <x:v>2.05</x:v>
      </x:c>
      <x:c r="J1304" t="n">
        <x:f>IF(A1304=A1303,IFERROR(IF(B1304=EDATE(B1303,1),C1303,0),0),0)</x:f>
        <x:v>1</x:v>
      </x:c>
      <x:c r="K1304" t="n">
        <x:f>IF(AND(J1304=1,C1304=0),1,0)</x:f>
        <x:v>0</x:v>
      </x:c>
      <x:c r="L1304" t="str">
        <x:f>IFERROR(INDEX(Customers!$C$2:$C$451,MATCH(A1304,Customers!$A$2:$A$451,0)),"Unknown")</x:f>
        <x:v>Standard</x:v>
      </x:c>
    </x:row>
    <x:row r="1305">
      <x:c r="A1305" t="n">
        <x:v>239</x:v>
      </x:c>
      <x:c r="B1305" s="16" t="n">
        <x:v>46235</x:v>
      </x:c>
      <x:c r="C1305" t="n">
        <x:v>1</x:v>
      </x:c>
      <x:c r="D1305" t="n">
        <x:v>8</x:v>
      </x:c>
      <x:c r="E1305" s="18" t="n">
        <x:v>459.42</x:v>
      </x:c>
      <x:c r="F1305" s="18" t="n">
        <x:v>0</x:v>
      </x:c>
      <x:c r="G1305" s="18" t="n">
        <x:v>2.07</x:v>
      </x:c>
      <x:c r="H1305" s="18" t="n">
        <x:v>0.86</x:v>
      </x:c>
      <x:c r="I1305" s="18" t="n">
        <x:v>2.93</x:v>
      </x:c>
      <x:c r="J1305" t="n">
        <x:f>IF(A1305=A1304,IFERROR(IF(B1305=EDATE(B1304,1),C1304,0),0),0)</x:f>
        <x:v>1</x:v>
      </x:c>
      <x:c r="K1305" t="n">
        <x:f>IF(AND(J1305=1,C1305=0),1,0)</x:f>
        <x:v>0</x:v>
      </x:c>
      <x:c r="L1305" t="str">
        <x:f>IFERROR(INDEX(Customers!$C$2:$C$451,MATCH(A1305,Customers!$A$2:$A$451,0)),"Unknown")</x:f>
        <x:v>Standard</x:v>
      </x:c>
    </x:row>
    <x:row r="1306">
      <x:c r="A1306" t="n">
        <x:v>239</x:v>
      </x:c>
      <x:c r="B1306" s="16" t="n">
        <x:v>46266</x:v>
      </x:c>
      <x:c r="C1306" t="n">
        <x:v>0</x:v>
      </x:c>
      <x:c r="D1306" t="n">
        <x:v>0</x:v>
      </x:c>
      <x:c r="E1306" s="18" t="n">
        <x:v>0</x:v>
      </x:c>
      <x:c r="F1306" s="18" t="n">
        <x:v>0</x:v>
      </x:c>
      <x:c r="G1306" s="18" t="n">
        <x:v>0</x:v>
      </x:c>
      <x:c r="H1306" s="18" t="n">
        <x:v>0</x:v>
      </x:c>
      <x:c r="I1306" s="18" t="n">
        <x:v>0</x:v>
      </x:c>
      <x:c r="J1306" t="n">
        <x:f>IF(A1306=A1305,IFERROR(IF(B1306=EDATE(B1305,1),C1305,0),0),0)</x:f>
        <x:v>1</x:v>
      </x:c>
      <x:c r="K1306" t="n">
        <x:f>IF(AND(J1306=1,C1306=0),1,0)</x:f>
        <x:v>1</x:v>
      </x:c>
      <x:c r="L1306" t="str">
        <x:f>IFERROR(INDEX(Customers!$C$2:$C$451,MATCH(A1306,Customers!$A$2:$A$451,0)),"Unknown")</x:f>
        <x:v>Standard</x:v>
      </x:c>
    </x:row>
    <x:row r="1307">
      <x:c r="A1307" t="n">
        <x:v>240</x:v>
      </x:c>
      <x:c r="B1307" s="16" t="n">
        <x:v>46113</x:v>
      </x:c>
      <x:c r="C1307" t="n">
        <x:v>0</x:v>
      </x:c>
      <x:c r="D1307" t="n">
        <x:v>0</x:v>
      </x:c>
      <x:c r="E1307" s="18" t="n">
        <x:v>0</x:v>
      </x:c>
      <x:c r="F1307" s="18" t="n">
        <x:v>0</x:v>
      </x:c>
      <x:c r="G1307" s="18" t="n">
        <x:v>0</x:v>
      </x:c>
      <x:c r="H1307" s="18" t="n">
        <x:v>0</x:v>
      </x:c>
      <x:c r="I1307" s="18" t="n">
        <x:v>0</x:v>
      </x:c>
      <x:c r="J1307" t="n">
        <x:f>IF(A1307=A1306,IFERROR(IF(B1307=EDATE(B1306,1),C1306,0),0),0)</x:f>
        <x:v>0</x:v>
      </x:c>
      <x:c r="K1307" t="n">
        <x:f>IF(AND(J1307=1,C1307=0),1,0)</x:f>
        <x:v>0</x:v>
      </x:c>
      <x:c r="L1307" t="str">
        <x:f>IFERROR(INDEX(Customers!$C$2:$C$451,MATCH(A1307,Customers!$A$2:$A$451,0)),"Unknown")</x:f>
        <x:v>Premium</x:v>
      </x:c>
    </x:row>
    <x:row r="1308">
      <x:c r="A1308" t="n">
        <x:v>240</x:v>
      </x:c>
      <x:c r="B1308" s="16" t="n">
        <x:v>46143</x:v>
      </x:c>
      <x:c r="C1308" t="n">
        <x:v>1</x:v>
      </x:c>
      <x:c r="D1308" t="n">
        <x:v>9</x:v>
      </x:c>
      <x:c r="E1308" s="18" t="n">
        <x:v>423.16</x:v>
      </x:c>
      <x:c r="F1308" s="18" t="n">
        <x:v>17</x:v>
      </x:c>
      <x:c r="G1308" s="18" t="n">
        <x:v>1.9</x:v>
      </x:c>
      <x:c r="H1308" s="18" t="n">
        <x:v>1.58</x:v>
      </x:c>
      <x:c r="I1308" s="18" t="n">
        <x:v>20.48</x:v>
      </x:c>
      <x:c r="J1308" t="n">
        <x:f>IF(A1308=A1307,IFERROR(IF(B1308=EDATE(B1307,1),C1307,0),0),0)</x:f>
        <x:v>0</x:v>
      </x:c>
      <x:c r="K1308" t="n">
        <x:f>IF(AND(J1308=1,C1308=0),1,0)</x:f>
        <x:v>0</x:v>
      </x:c>
      <x:c r="L1308" t="str">
        <x:f>IFERROR(INDEX(Customers!$C$2:$C$451,MATCH(A1308,Customers!$A$2:$A$451,0)),"Unknown")</x:f>
        <x:v>Premium</x:v>
      </x:c>
    </x:row>
    <x:row r="1309">
      <x:c r="A1309" t="n">
        <x:v>240</x:v>
      </x:c>
      <x:c r="B1309" s="16" t="n">
        <x:v>46174</x:v>
      </x:c>
      <x:c r="C1309" t="n">
        <x:v>1</x:v>
      </x:c>
      <x:c r="D1309" t="n">
        <x:v>29</x:v>
      </x:c>
      <x:c r="E1309" s="18" t="n">
        <x:v>3814.86</x:v>
      </x:c>
      <x:c r="F1309" s="18" t="n">
        <x:v>17</x:v>
      </x:c>
      <x:c r="G1309" s="18" t="n">
        <x:v>17.17</x:v>
      </x:c>
      <x:c r="H1309" s="18" t="n">
        <x:v>10.05</x:v>
      </x:c>
      <x:c r="I1309" s="18" t="n">
        <x:v>44.22</x:v>
      </x:c>
      <x:c r="J1309" t="n">
        <x:f>IF(A1309=A1308,IFERROR(IF(B1309=EDATE(B1308,1),C1308,0),0),0)</x:f>
        <x:v>1</x:v>
      </x:c>
      <x:c r="K1309" t="n">
        <x:f>IF(AND(J1309=1,C1309=0),1,0)</x:f>
        <x:v>0</x:v>
      </x:c>
      <x:c r="L1309" t="str">
        <x:f>IFERROR(INDEX(Customers!$C$2:$C$451,MATCH(A1309,Customers!$A$2:$A$451,0)),"Unknown")</x:f>
        <x:v>Premium</x:v>
      </x:c>
    </x:row>
    <x:row r="1310">
      <x:c r="A1310" t="n">
        <x:v>240</x:v>
      </x:c>
      <x:c r="B1310" s="16" t="n">
        <x:v>46204</x:v>
      </x:c>
      <x:c r="C1310" t="n">
        <x:v>1</x:v>
      </x:c>
      <x:c r="D1310" t="n">
        <x:v>4</x:v>
      </x:c>
      <x:c r="E1310" s="18" t="n">
        <x:v>425.17</x:v>
      </x:c>
      <x:c r="F1310" s="18" t="n">
        <x:v>17</x:v>
      </x:c>
      <x:c r="G1310" s="18" t="n">
        <x:v>1.91</x:v>
      </x:c>
      <x:c r="H1310" s="18" t="n">
        <x:v>0.4</x:v>
      </x:c>
      <x:c r="I1310" s="18" t="n">
        <x:v>19.31</x:v>
      </x:c>
      <x:c r="J1310" t="n">
        <x:f>IF(A1310=A1309,IFERROR(IF(B1310=EDATE(B1309,1),C1309,0),0),0)</x:f>
        <x:v>1</x:v>
      </x:c>
      <x:c r="K1310" t="n">
        <x:f>IF(AND(J1310=1,C1310=0),1,0)</x:f>
        <x:v>0</x:v>
      </x:c>
      <x:c r="L1310" t="str">
        <x:f>IFERROR(INDEX(Customers!$C$2:$C$451,MATCH(A1310,Customers!$A$2:$A$451,0)),"Unknown")</x:f>
        <x:v>Premium</x:v>
      </x:c>
    </x:row>
    <x:row r="1311">
      <x:c r="A1311" t="n">
        <x:v>240</x:v>
      </x:c>
      <x:c r="B1311" s="16" t="n">
        <x:v>46235</x:v>
      </x:c>
      <x:c r="C1311" t="n">
        <x:v>1</x:v>
      </x:c>
      <x:c r="D1311" t="n">
        <x:v>10</x:v>
      </x:c>
      <x:c r="E1311" s="18" t="n">
        <x:v>967.89</x:v>
      </x:c>
      <x:c r="F1311" s="18" t="n">
        <x:v>17</x:v>
      </x:c>
      <x:c r="G1311" s="18" t="n">
        <x:v>4.36</x:v>
      </x:c>
      <x:c r="H1311" s="18" t="n">
        <x:v>1.1</x:v>
      </x:c>
      <x:c r="I1311" s="18" t="n">
        <x:v>22.46</x:v>
      </x:c>
      <x:c r="J1311" t="n">
        <x:f>IF(A1311=A1310,IFERROR(IF(B1311=EDATE(B1310,1),C1310,0),0),0)</x:f>
        <x:v>1</x:v>
      </x:c>
      <x:c r="K1311" t="n">
        <x:f>IF(AND(J1311=1,C1311=0),1,0)</x:f>
        <x:v>0</x:v>
      </x:c>
      <x:c r="L1311" t="str">
        <x:f>IFERROR(INDEX(Customers!$C$2:$C$451,MATCH(A1311,Customers!$A$2:$A$451,0)),"Unknown")</x:f>
        <x:v>Premium</x:v>
      </x:c>
    </x:row>
    <x:row r="1312">
      <x:c r="A1312" t="n">
        <x:v>240</x:v>
      </x:c>
      <x:c r="B1312" s="16" t="n">
        <x:v>46266</x:v>
      </x:c>
      <x:c r="C1312" t="n">
        <x:v>1</x:v>
      </x:c>
      <x:c r="D1312" t="n">
        <x:v>33</x:v>
      </x:c>
      <x:c r="E1312" s="18" t="n">
        <x:v>3110.24</x:v>
      </x:c>
      <x:c r="F1312" s="18" t="n">
        <x:v>17</x:v>
      </x:c>
      <x:c r="G1312" s="18" t="n">
        <x:v>14</x:v>
      </x:c>
      <x:c r="H1312" s="18" t="n">
        <x:v>7.68</x:v>
      </x:c>
      <x:c r="I1312" s="18" t="n">
        <x:v>38.68</x:v>
      </x:c>
      <x:c r="J1312" t="n">
        <x:f>IF(A1312=A1311,IFERROR(IF(B1312=EDATE(B1311,1),C1311,0),0),0)</x:f>
        <x:v>1</x:v>
      </x:c>
      <x:c r="K1312" t="n">
        <x:f>IF(AND(J1312=1,C1312=0),1,0)</x:f>
        <x:v>0</x:v>
      </x:c>
      <x:c r="L1312" t="str">
        <x:f>IFERROR(INDEX(Customers!$C$2:$C$451,MATCH(A1312,Customers!$A$2:$A$451,0)),"Unknown")</x:f>
        <x:v>Premium</x:v>
      </x:c>
    </x:row>
    <x:row r="1313">
      <x:c r="A1313" t="n">
        <x:v>241</x:v>
      </x:c>
      <x:c r="B1313" s="16" t="n">
        <x:v>46113</x:v>
      </x:c>
      <x:c r="C1313" t="n">
        <x:v>0</x:v>
      </x:c>
      <x:c r="D1313" t="n">
        <x:v>0</x:v>
      </x:c>
      <x:c r="E1313" s="18" t="n">
        <x:v>0</x:v>
      </x:c>
      <x:c r="F1313" s="18" t="n">
        <x:v>0</x:v>
      </x:c>
      <x:c r="G1313" s="18" t="n">
        <x:v>0</x:v>
      </x:c>
      <x:c r="H1313" s="18" t="n">
        <x:v>0</x:v>
      </x:c>
      <x:c r="I1313" s="18" t="n">
        <x:v>0</x:v>
      </x:c>
      <x:c r="J1313" t="n">
        <x:f>IF(A1313=A1312,IFERROR(IF(B1313=EDATE(B1312,1),C1312,0),0),0)</x:f>
        <x:v>0</x:v>
      </x:c>
      <x:c r="K1313" t="n">
        <x:f>IF(AND(J1313=1,C1313=0),1,0)</x:f>
        <x:v>0</x:v>
      </x:c>
      <x:c r="L1313" t="str">
        <x:f>IFERROR(INDEX(Customers!$C$2:$C$451,MATCH(A1313,Customers!$A$2:$A$451,0)),"Unknown")</x:f>
        <x:v>Plus</x:v>
      </x:c>
    </x:row>
    <x:row r="1314">
      <x:c r="A1314" t="n">
        <x:v>241</x:v>
      </x:c>
      <x:c r="B1314" s="16" t="n">
        <x:v>46143</x:v>
      </x:c>
      <x:c r="C1314" t="n">
        <x:v>0</x:v>
      </x:c>
      <x:c r="D1314" t="n">
        <x:v>0</x:v>
      </x:c>
      <x:c r="E1314" s="18" t="n">
        <x:v>0</x:v>
      </x:c>
      <x:c r="F1314" s="18" t="n">
        <x:v>0</x:v>
      </x:c>
      <x:c r="G1314" s="18" t="n">
        <x:v>0</x:v>
      </x:c>
      <x:c r="H1314" s="18" t="n">
        <x:v>0</x:v>
      </x:c>
      <x:c r="I1314" s="18" t="n">
        <x:v>0</x:v>
      </x:c>
      <x:c r="J1314" t="n">
        <x:f>IF(A1314=A1313,IFERROR(IF(B1314=EDATE(B1313,1),C1313,0),0),0)</x:f>
        <x:v>0</x:v>
      </x:c>
      <x:c r="K1314" t="n">
        <x:f>IF(AND(J1314=1,C1314=0),1,0)</x:f>
        <x:v>0</x:v>
      </x:c>
      <x:c r="L1314" t="str">
        <x:f>IFERROR(INDEX(Customers!$C$2:$C$451,MATCH(A1314,Customers!$A$2:$A$451,0)),"Unknown")</x:f>
        <x:v>Plus</x:v>
      </x:c>
    </x:row>
    <x:row r="1315">
      <x:c r="A1315" t="n">
        <x:v>241</x:v>
      </x:c>
      <x:c r="B1315" s="16" t="n">
        <x:v>46174</x:v>
      </x:c>
      <x:c r="C1315" t="n">
        <x:v>1</x:v>
      </x:c>
      <x:c r="D1315" t="n">
        <x:v>14</x:v>
      </x:c>
      <x:c r="E1315" s="18" t="n">
        <x:v>1342.11</x:v>
      </x:c>
      <x:c r="F1315" s="18" t="n">
        <x:v>8</x:v>
      </x:c>
      <x:c r="G1315" s="18" t="n">
        <x:v>6.04</x:v>
      </x:c>
      <x:c r="H1315" s="18" t="n">
        <x:v>2.53</x:v>
      </x:c>
      <x:c r="I1315" s="18" t="n">
        <x:v>16.57</x:v>
      </x:c>
      <x:c r="J1315" t="n">
        <x:f>IF(A1315=A1314,IFERROR(IF(B1315=EDATE(B1314,1),C1314,0),0),0)</x:f>
        <x:v>0</x:v>
      </x:c>
      <x:c r="K1315" t="n">
        <x:f>IF(AND(J1315=1,C1315=0),1,0)</x:f>
        <x:v>0</x:v>
      </x:c>
      <x:c r="L1315" t="str">
        <x:f>IFERROR(INDEX(Customers!$C$2:$C$451,MATCH(A1315,Customers!$A$2:$A$451,0)),"Unknown")</x:f>
        <x:v>Plus</x:v>
      </x:c>
    </x:row>
    <x:row r="1316">
      <x:c r="A1316" t="n">
        <x:v>241</x:v>
      </x:c>
      <x:c r="B1316" s="16" t="n">
        <x:v>46204</x:v>
      </x:c>
      <x:c r="C1316" t="n">
        <x:v>0</x:v>
      </x:c>
      <x:c r="D1316" t="n">
        <x:v>0</x:v>
      </x:c>
      <x:c r="E1316" s="18" t="n">
        <x:v>0</x:v>
      </x:c>
      <x:c r="F1316" s="18" t="n">
        <x:v>0</x:v>
      </x:c>
      <x:c r="G1316" s="18" t="n">
        <x:v>0</x:v>
      </x:c>
      <x:c r="H1316" s="18" t="n">
        <x:v>0</x:v>
      </x:c>
      <x:c r="I1316" s="18" t="n">
        <x:v>0</x:v>
      </x:c>
      <x:c r="J1316" t="n">
        <x:f>IF(A1316=A1315,IFERROR(IF(B1316=EDATE(B1315,1),C1315,0),0),0)</x:f>
        <x:v>1</x:v>
      </x:c>
      <x:c r="K1316" t="n">
        <x:f>IF(AND(J1316=1,C1316=0),1,0)</x:f>
        <x:v>1</x:v>
      </x:c>
      <x:c r="L1316" t="str">
        <x:f>IFERROR(INDEX(Customers!$C$2:$C$451,MATCH(A1316,Customers!$A$2:$A$451,0)),"Unknown")</x:f>
        <x:v>Plus</x:v>
      </x:c>
    </x:row>
    <x:row r="1317">
      <x:c r="A1317" t="n">
        <x:v>241</x:v>
      </x:c>
      <x:c r="B1317" s="16" t="n">
        <x:v>46235</x:v>
      </x:c>
      <x:c r="C1317" t="n">
        <x:v>1</x:v>
      </x:c>
      <x:c r="D1317" t="n">
        <x:v>26</x:v>
      </x:c>
      <x:c r="E1317" s="18" t="n">
        <x:v>1340.29</x:v>
      </x:c>
      <x:c r="F1317" s="18" t="n">
        <x:v>8</x:v>
      </x:c>
      <x:c r="G1317" s="18" t="n">
        <x:v>6.03</x:v>
      </x:c>
      <x:c r="H1317" s="18" t="n">
        <x:v>4.87</x:v>
      </x:c>
      <x:c r="I1317" s="18" t="n">
        <x:v>18.9</x:v>
      </x:c>
      <x:c r="J1317" t="n">
        <x:f>IF(A1317=A1316,IFERROR(IF(B1317=EDATE(B1316,1),C1316,0),0),0)</x:f>
        <x:v>0</x:v>
      </x:c>
      <x:c r="K1317" t="n">
        <x:f>IF(AND(J1317=1,C1317=0),1,0)</x:f>
        <x:v>0</x:v>
      </x:c>
      <x:c r="L1317" t="str">
        <x:f>IFERROR(INDEX(Customers!$C$2:$C$451,MATCH(A1317,Customers!$A$2:$A$451,0)),"Unknown")</x:f>
        <x:v>Plus</x:v>
      </x:c>
    </x:row>
    <x:row r="1318">
      <x:c r="A1318" t="n">
        <x:v>241</x:v>
      </x:c>
      <x:c r="B1318" s="16" t="n">
        <x:v>46266</x:v>
      </x:c>
      <x:c r="C1318" t="n">
        <x:v>1</x:v>
      </x:c>
      <x:c r="D1318" t="n">
        <x:v>36</x:v>
      </x:c>
      <x:c r="E1318" s="18" t="n">
        <x:v>4762.75</x:v>
      </x:c>
      <x:c r="F1318" s="18" t="n">
        <x:v>8</x:v>
      </x:c>
      <x:c r="G1318" s="18" t="n">
        <x:v>21.43</x:v>
      </x:c>
      <x:c r="H1318" s="18" t="n">
        <x:v>11.95</x:v>
      </x:c>
      <x:c r="I1318" s="18" t="n">
        <x:v>41.38</x:v>
      </x:c>
      <x:c r="J1318" t="n">
        <x:f>IF(A1318=A1317,IFERROR(IF(B1318=EDATE(B1317,1),C1317,0),0),0)</x:f>
        <x:v>1</x:v>
      </x:c>
      <x:c r="K1318" t="n">
        <x:f>IF(AND(J1318=1,C1318=0),1,0)</x:f>
        <x:v>0</x:v>
      </x:c>
      <x:c r="L1318" t="str">
        <x:f>IFERROR(INDEX(Customers!$C$2:$C$451,MATCH(A1318,Customers!$A$2:$A$451,0)),"Unknown")</x:f>
        <x:v>Plus</x:v>
      </x:c>
    </x:row>
    <x:row r="1319">
      <x:c r="A1319" t="n">
        <x:v>242</x:v>
      </x:c>
      <x:c r="B1319" s="16" t="n">
        <x:v>46113</x:v>
      </x:c>
      <x:c r="C1319" t="n">
        <x:v>0</x:v>
      </x:c>
      <x:c r="D1319" t="n">
        <x:v>0</x:v>
      </x:c>
      <x:c r="E1319" s="18" t="n">
        <x:v>0</x:v>
      </x:c>
      <x:c r="F1319" s="18" t="n">
        <x:v>0</x:v>
      </x:c>
      <x:c r="G1319" s="18" t="n">
        <x:v>0</x:v>
      </x:c>
      <x:c r="H1319" s="18" t="n">
        <x:v>0</x:v>
      </x:c>
      <x:c r="I1319" s="18" t="n">
        <x:v>0</x:v>
      </x:c>
      <x:c r="J1319" t="n">
        <x:f>IF(A1319=A1318,IFERROR(IF(B1319=EDATE(B1318,1),C1318,0),0),0)</x:f>
        <x:v>0</x:v>
      </x:c>
      <x:c r="K1319" t="n">
        <x:f>IF(AND(J1319=1,C1319=0),1,0)</x:f>
        <x:v>0</x:v>
      </x:c>
      <x:c r="L1319" t="str">
        <x:f>IFERROR(INDEX(Customers!$C$2:$C$451,MATCH(A1319,Customers!$A$2:$A$451,0)),"Unknown")</x:f>
        <x:v>Premium</x:v>
      </x:c>
    </x:row>
    <x:row r="1320">
      <x:c r="A1320" t="n">
        <x:v>242</x:v>
      </x:c>
      <x:c r="B1320" s="16" t="n">
        <x:v>46143</x:v>
      </x:c>
      <x:c r="C1320" t="n">
        <x:v>1</x:v>
      </x:c>
      <x:c r="D1320" t="n">
        <x:v>29</x:v>
      </x:c>
      <x:c r="E1320" s="18" t="n">
        <x:v>2746.32</x:v>
      </x:c>
      <x:c r="F1320" s="18" t="n">
        <x:v>17</x:v>
      </x:c>
      <x:c r="G1320" s="18" t="n">
        <x:v>12.36</x:v>
      </x:c>
      <x:c r="H1320" s="18" t="n">
        <x:v>4.39</x:v>
      </x:c>
      <x:c r="I1320" s="18" t="n">
        <x:v>33.75</x:v>
      </x:c>
      <x:c r="J1320" t="n">
        <x:f>IF(A1320=A1319,IFERROR(IF(B1320=EDATE(B1319,1),C1319,0),0),0)</x:f>
        <x:v>0</x:v>
      </x:c>
      <x:c r="K1320" t="n">
        <x:f>IF(AND(J1320=1,C1320=0),1,0)</x:f>
        <x:v>0</x:v>
      </x:c>
      <x:c r="L1320" t="str">
        <x:f>IFERROR(INDEX(Customers!$C$2:$C$451,MATCH(A1320,Customers!$A$2:$A$451,0)),"Unknown")</x:f>
        <x:v>Premium</x:v>
      </x:c>
    </x:row>
    <x:row r="1321">
      <x:c r="A1321" t="n">
        <x:v>242</x:v>
      </x:c>
      <x:c r="B1321" s="16" t="n">
        <x:v>46174</x:v>
      </x:c>
      <x:c r="C1321" t="n">
        <x:v>1</x:v>
      </x:c>
      <x:c r="D1321" t="n">
        <x:v>29</x:v>
      </x:c>
      <x:c r="E1321" s="18" t="n">
        <x:v>2586.1</x:v>
      </x:c>
      <x:c r="F1321" s="18" t="n">
        <x:v>17</x:v>
      </x:c>
      <x:c r="G1321" s="18" t="n">
        <x:v>11.64</x:v>
      </x:c>
      <x:c r="H1321" s="18" t="n">
        <x:v>9.71</x:v>
      </x:c>
      <x:c r="I1321" s="18" t="n">
        <x:v>38.35</x:v>
      </x:c>
      <x:c r="J1321" t="n">
        <x:f>IF(A1321=A1320,IFERROR(IF(B1321=EDATE(B1320,1),C1320,0),0),0)</x:f>
        <x:v>1</x:v>
      </x:c>
      <x:c r="K1321" t="n">
        <x:f>IF(AND(J1321=1,C1321=0),1,0)</x:f>
        <x:v>0</x:v>
      </x:c>
      <x:c r="L1321" t="str">
        <x:f>IFERROR(INDEX(Customers!$C$2:$C$451,MATCH(A1321,Customers!$A$2:$A$451,0)),"Unknown")</x:f>
        <x:v>Premium</x:v>
      </x:c>
    </x:row>
    <x:row r="1322">
      <x:c r="A1322" t="n">
        <x:v>242</x:v>
      </x:c>
      <x:c r="B1322" s="16" t="n">
        <x:v>46204</x:v>
      </x:c>
      <x:c r="C1322" t="n">
        <x:v>1</x:v>
      </x:c>
      <x:c r="D1322" t="n">
        <x:v>16</x:v>
      </x:c>
      <x:c r="E1322" s="18" t="n">
        <x:v>1601.38</x:v>
      </x:c>
      <x:c r="F1322" s="18" t="n">
        <x:v>17</x:v>
      </x:c>
      <x:c r="G1322" s="18" t="n">
        <x:v>7.21</x:v>
      </x:c>
      <x:c r="H1322" s="18" t="n">
        <x:v>3.36</x:v>
      </x:c>
      <x:c r="I1322" s="18" t="n">
        <x:v>27.57</x:v>
      </x:c>
      <x:c r="J1322" t="n">
        <x:f>IF(A1322=A1321,IFERROR(IF(B1322=EDATE(B1321,1),C1321,0),0),0)</x:f>
        <x:v>1</x:v>
      </x:c>
      <x:c r="K1322" t="n">
        <x:f>IF(AND(J1322=1,C1322=0),1,0)</x:f>
        <x:v>0</x:v>
      </x:c>
      <x:c r="L1322" t="str">
        <x:f>IFERROR(INDEX(Customers!$C$2:$C$451,MATCH(A1322,Customers!$A$2:$A$451,0)),"Unknown")</x:f>
        <x:v>Premium</x:v>
      </x:c>
    </x:row>
    <x:row r="1323">
      <x:c r="A1323" t="n">
        <x:v>242</x:v>
      </x:c>
      <x:c r="B1323" s="16" t="n">
        <x:v>46235</x:v>
      </x:c>
      <x:c r="C1323" t="n">
        <x:v>1</x:v>
      </x:c>
      <x:c r="D1323" t="n">
        <x:v>10</x:v>
      </x:c>
      <x:c r="E1323" s="18" t="n">
        <x:v>1011.72</x:v>
      </x:c>
      <x:c r="F1323" s="18" t="n">
        <x:v>17</x:v>
      </x:c>
      <x:c r="G1323" s="18" t="n">
        <x:v>4.55</x:v>
      </x:c>
      <x:c r="H1323" s="18" t="n">
        <x:v>2.66</x:v>
      </x:c>
      <x:c r="I1323" s="18" t="n">
        <x:v>24.21</x:v>
      </x:c>
      <x:c r="J1323" t="n">
        <x:f>IF(A1323=A1322,IFERROR(IF(B1323=EDATE(B1322,1),C1322,0),0),0)</x:f>
        <x:v>1</x:v>
      </x:c>
      <x:c r="K1323" t="n">
        <x:f>IF(AND(J1323=1,C1323=0),1,0)</x:f>
        <x:v>0</x:v>
      </x:c>
      <x:c r="L1323" t="str">
        <x:f>IFERROR(INDEX(Customers!$C$2:$C$451,MATCH(A1323,Customers!$A$2:$A$451,0)),"Unknown")</x:f>
        <x:v>Premium</x:v>
      </x:c>
    </x:row>
    <x:row r="1324">
      <x:c r="A1324" t="n">
        <x:v>242</x:v>
      </x:c>
      <x:c r="B1324" s="16" t="n">
        <x:v>46266</x:v>
      </x:c>
      <x:c r="C1324" t="n">
        <x:v>0</x:v>
      </x:c>
      <x:c r="D1324" t="n">
        <x:v>0</x:v>
      </x:c>
      <x:c r="E1324" s="18" t="n">
        <x:v>0</x:v>
      </x:c>
      <x:c r="F1324" s="18" t="n">
        <x:v>0</x:v>
      </x:c>
      <x:c r="G1324" s="18" t="n">
        <x:v>0</x:v>
      </x:c>
      <x:c r="H1324" s="18" t="n">
        <x:v>0</x:v>
      </x:c>
      <x:c r="I1324" s="18" t="n">
        <x:v>0</x:v>
      </x:c>
      <x:c r="J1324" t="n">
        <x:f>IF(A1324=A1323,IFERROR(IF(B1324=EDATE(B1323,1),C1323,0),0),0)</x:f>
        <x:v>1</x:v>
      </x:c>
      <x:c r="K1324" t="n">
        <x:f>IF(AND(J1324=1,C1324=0),1,0)</x:f>
        <x:v>1</x:v>
      </x:c>
      <x:c r="L1324" t="str">
        <x:f>IFERROR(INDEX(Customers!$C$2:$C$451,MATCH(A1324,Customers!$A$2:$A$451,0)),"Unknown")</x:f>
        <x:v>Premium</x:v>
      </x:c>
    </x:row>
    <x:row r="1325">
      <x:c r="A1325" t="n">
        <x:v>243</x:v>
      </x:c>
      <x:c r="B1325" s="16" t="n">
        <x:v>46143</x:v>
      </x:c>
      <x:c r="C1325" t="n">
        <x:v>1</x:v>
      </x:c>
      <x:c r="D1325" t="n">
        <x:v>21</x:v>
      </x:c>
      <x:c r="E1325" s="18" t="n">
        <x:v>964.67</x:v>
      </x:c>
      <x:c r="F1325" s="18" t="n">
        <x:v>0</x:v>
      </x:c>
      <x:c r="G1325" s="18" t="n">
        <x:v>4.34</x:v>
      </x:c>
      <x:c r="H1325" s="18" t="n">
        <x:v>2.45</x:v>
      </x:c>
      <x:c r="I1325" s="18" t="n">
        <x:v>6.79</x:v>
      </x:c>
      <x:c r="J1325" t="n">
        <x:f>IF(A1325=A1324,IFERROR(IF(B1325=EDATE(B1324,1),C1324,0),0),0)</x:f>
        <x:v>0</x:v>
      </x:c>
      <x:c r="K1325" t="n">
        <x:f>IF(AND(J1325=1,C1325=0),1,0)</x:f>
        <x:v>0</x:v>
      </x:c>
      <x:c r="L1325" t="str">
        <x:f>IFERROR(INDEX(Customers!$C$2:$C$451,MATCH(A1325,Customers!$A$2:$A$451,0)),"Unknown")</x:f>
        <x:v>Standard</x:v>
      </x:c>
    </x:row>
    <x:row r="1326">
      <x:c r="A1326" t="n">
        <x:v>243</x:v>
      </x:c>
      <x:c r="B1326" s="16" t="n">
        <x:v>46174</x:v>
      </x:c>
      <x:c r="C1326" t="n">
        <x:v>1</x:v>
      </x:c>
      <x:c r="D1326" t="n">
        <x:v>34</x:v>
      </x:c>
      <x:c r="E1326" s="18" t="n">
        <x:v>2699.33</x:v>
      </x:c>
      <x:c r="F1326" s="18" t="n">
        <x:v>0</x:v>
      </x:c>
      <x:c r="G1326" s="18" t="n">
        <x:v>12.15</x:v>
      </x:c>
      <x:c r="H1326" s="18" t="n">
        <x:v>2.68</x:v>
      </x:c>
      <x:c r="I1326" s="18" t="n">
        <x:v>14.83</x:v>
      </x:c>
      <x:c r="J1326" t="n">
        <x:f>IF(A1326=A1325,IFERROR(IF(B1326=EDATE(B1325,1),C1325,0),0),0)</x:f>
        <x:v>1</x:v>
      </x:c>
      <x:c r="K1326" t="n">
        <x:f>IF(AND(J1326=1,C1326=0),1,0)</x:f>
        <x:v>0</x:v>
      </x:c>
      <x:c r="L1326" t="str">
        <x:f>IFERROR(INDEX(Customers!$C$2:$C$451,MATCH(A1326,Customers!$A$2:$A$451,0)),"Unknown")</x:f>
        <x:v>Standard</x:v>
      </x:c>
    </x:row>
    <x:row r="1327">
      <x:c r="A1327" t="n">
        <x:v>243</x:v>
      </x:c>
      <x:c r="B1327" s="16" t="n">
        <x:v>46204</x:v>
      </x:c>
      <x:c r="C1327" t="n">
        <x:v>0</x:v>
      </x:c>
      <x:c r="D1327" t="n">
        <x:v>0</x:v>
      </x:c>
      <x:c r="E1327" s="18" t="n">
        <x:v>0</x:v>
      </x:c>
      <x:c r="F1327" s="18" t="n">
        <x:v>0</x:v>
      </x:c>
      <x:c r="G1327" s="18" t="n">
        <x:v>0</x:v>
      </x:c>
      <x:c r="H1327" s="18" t="n">
        <x:v>0</x:v>
      </x:c>
      <x:c r="I1327" s="18" t="n">
        <x:v>0</x:v>
      </x:c>
      <x:c r="J1327" t="n">
        <x:f>IF(A1327=A1326,IFERROR(IF(B1327=EDATE(B1326,1),C1326,0),0),0)</x:f>
        <x:v>1</x:v>
      </x:c>
      <x:c r="K1327" t="n">
        <x:f>IF(AND(J1327=1,C1327=0),1,0)</x:f>
        <x:v>1</x:v>
      </x:c>
      <x:c r="L1327" t="str">
        <x:f>IFERROR(INDEX(Customers!$C$2:$C$451,MATCH(A1327,Customers!$A$2:$A$451,0)),"Unknown")</x:f>
        <x:v>Standard</x:v>
      </x:c>
    </x:row>
    <x:row r="1328">
      <x:c r="A1328" t="n">
        <x:v>243</x:v>
      </x:c>
      <x:c r="B1328" s="16" t="n">
        <x:v>46235</x:v>
      </x:c>
      <x:c r="C1328" t="n">
        <x:v>1</x:v>
      </x:c>
      <x:c r="D1328" t="n">
        <x:v>26</x:v>
      </x:c>
      <x:c r="E1328" s="18" t="n">
        <x:v>1776.61</x:v>
      </x:c>
      <x:c r="F1328" s="18" t="n">
        <x:v>0</x:v>
      </x:c>
      <x:c r="G1328" s="18" t="n">
        <x:v>7.99</x:v>
      </x:c>
      <x:c r="H1328" s="18" t="n">
        <x:v>3.94</x:v>
      </x:c>
      <x:c r="I1328" s="18" t="n">
        <x:v>11.93</x:v>
      </x:c>
      <x:c r="J1328" t="n">
        <x:f>IF(A1328=A1327,IFERROR(IF(B1328=EDATE(B1327,1),C1327,0),0),0)</x:f>
        <x:v>0</x:v>
      </x:c>
      <x:c r="K1328" t="n">
        <x:f>IF(AND(J1328=1,C1328=0),1,0)</x:f>
        <x:v>0</x:v>
      </x:c>
      <x:c r="L1328" t="str">
        <x:f>IFERROR(INDEX(Customers!$C$2:$C$451,MATCH(A1328,Customers!$A$2:$A$451,0)),"Unknown")</x:f>
        <x:v>Standard</x:v>
      </x:c>
    </x:row>
    <x:row r="1329">
      <x:c r="A1329" t="n">
        <x:v>243</x:v>
      </x:c>
      <x:c r="B1329" s="16" t="n">
        <x:v>46266</x:v>
      </x:c>
      <x:c r="C1329" t="n">
        <x:v>1</x:v>
      </x:c>
      <x:c r="D1329" t="n">
        <x:v>25</x:v>
      </x:c>
      <x:c r="E1329" s="18" t="n">
        <x:v>3342.47</x:v>
      </x:c>
      <x:c r="F1329" s="18" t="n">
        <x:v>0</x:v>
      </x:c>
      <x:c r="G1329" s="18" t="n">
        <x:v>15.04</x:v>
      </x:c>
      <x:c r="H1329" s="18" t="n">
        <x:v>10.8</x:v>
      </x:c>
      <x:c r="I1329" s="18" t="n">
        <x:v>25.84</x:v>
      </x:c>
      <x:c r="J1329" t="n">
        <x:f>IF(A1329=A1328,IFERROR(IF(B1329=EDATE(B1328,1),C1328,0),0),0)</x:f>
        <x:v>1</x:v>
      </x:c>
      <x:c r="K1329" t="n">
        <x:f>IF(AND(J1329=1,C1329=0),1,0)</x:f>
        <x:v>0</x:v>
      </x:c>
      <x:c r="L1329" t="str">
        <x:f>IFERROR(INDEX(Customers!$C$2:$C$451,MATCH(A1329,Customers!$A$2:$A$451,0)),"Unknown")</x:f>
        <x:v>Standard</x:v>
      </x:c>
    </x:row>
    <x:row r="1330">
      <x:c r="A1330" t="n">
        <x:v>244</x:v>
      </x:c>
      <x:c r="B1330" s="16" t="n">
        <x:v>46143</x:v>
      </x:c>
      <x:c r="C1330" t="n">
        <x:v>1</x:v>
      </x:c>
      <x:c r="D1330" t="n">
        <x:v>26</x:v>
      </x:c>
      <x:c r="E1330" s="18" t="n">
        <x:v>2045.53</x:v>
      </x:c>
      <x:c r="F1330" s="18" t="n">
        <x:v>0</x:v>
      </x:c>
      <x:c r="G1330" s="18" t="n">
        <x:v>9.2</x:v>
      </x:c>
      <x:c r="H1330" s="18" t="n">
        <x:v>5.27</x:v>
      </x:c>
      <x:c r="I1330" s="18" t="n">
        <x:v>14.47</x:v>
      </x:c>
      <x:c r="J1330" t="n">
        <x:f>IF(A1330=A1329,IFERROR(IF(B1330=EDATE(B1329,1),C1329,0),0),0)</x:f>
        <x:v>0</x:v>
      </x:c>
      <x:c r="K1330" t="n">
        <x:f>IF(AND(J1330=1,C1330=0),1,0)</x:f>
        <x:v>0</x:v>
      </x:c>
      <x:c r="L1330" t="str">
        <x:f>IFERROR(INDEX(Customers!$C$2:$C$451,MATCH(A1330,Customers!$A$2:$A$451,0)),"Unknown")</x:f>
        <x:v>Standard</x:v>
      </x:c>
    </x:row>
    <x:row r="1331">
      <x:c r="A1331" t="n">
        <x:v>244</x:v>
      </x:c>
      <x:c r="B1331" s="16" t="n">
        <x:v>46174</x:v>
      </x:c>
      <x:c r="C1331" t="n">
        <x:v>1</x:v>
      </x:c>
      <x:c r="D1331" t="n">
        <x:v>28</x:v>
      </x:c>
      <x:c r="E1331" s="18" t="n">
        <x:v>2959.57</x:v>
      </x:c>
      <x:c r="F1331" s="18" t="n">
        <x:v>0</x:v>
      </x:c>
      <x:c r="G1331" s="18" t="n">
        <x:v>13.32</x:v>
      </x:c>
      <x:c r="H1331" s="18" t="n">
        <x:v>10.37</x:v>
      </x:c>
      <x:c r="I1331" s="18" t="n">
        <x:v>23.69</x:v>
      </x:c>
      <x:c r="J1331" t="n">
        <x:f>IF(A1331=A1330,IFERROR(IF(B1331=EDATE(B1330,1),C1330,0),0),0)</x:f>
        <x:v>1</x:v>
      </x:c>
      <x:c r="K1331" t="n">
        <x:f>IF(AND(J1331=1,C1331=0),1,0)</x:f>
        <x:v>0</x:v>
      </x:c>
      <x:c r="L1331" t="str">
        <x:f>IFERROR(INDEX(Customers!$C$2:$C$451,MATCH(A1331,Customers!$A$2:$A$451,0)),"Unknown")</x:f>
        <x:v>Standard</x:v>
      </x:c>
    </x:row>
    <x:row r="1332">
      <x:c r="A1332" t="n">
        <x:v>244</x:v>
      </x:c>
      <x:c r="B1332" s="16" t="n">
        <x:v>46204</x:v>
      </x:c>
      <x:c r="C1332" t="n">
        <x:v>1</x:v>
      </x:c>
      <x:c r="D1332" t="n">
        <x:v>32</x:v>
      </x:c>
      <x:c r="E1332" s="18" t="n">
        <x:v>3837.44</x:v>
      </x:c>
      <x:c r="F1332" s="18" t="n">
        <x:v>0</x:v>
      </x:c>
      <x:c r="G1332" s="18" t="n">
        <x:v>17.27</x:v>
      </x:c>
      <x:c r="H1332" s="18" t="n">
        <x:v>8.44</x:v>
      </x:c>
      <x:c r="I1332" s="18" t="n">
        <x:v>25.71</x:v>
      </x:c>
      <x:c r="J1332" t="n">
        <x:f>IF(A1332=A1331,IFERROR(IF(B1332=EDATE(B1331,1),C1331,0),0),0)</x:f>
        <x:v>1</x:v>
      </x:c>
      <x:c r="K1332" t="n">
        <x:f>IF(AND(J1332=1,C1332=0),1,0)</x:f>
        <x:v>0</x:v>
      </x:c>
      <x:c r="L1332" t="str">
        <x:f>IFERROR(INDEX(Customers!$C$2:$C$451,MATCH(A1332,Customers!$A$2:$A$451,0)),"Unknown")</x:f>
        <x:v>Standard</x:v>
      </x:c>
    </x:row>
    <x:row r="1333">
      <x:c r="A1333" t="n">
        <x:v>244</x:v>
      </x:c>
      <x:c r="B1333" s="16" t="n">
        <x:v>46235</x:v>
      </x:c>
      <x:c r="C1333" t="n">
        <x:v>1</x:v>
      </x:c>
      <x:c r="D1333" t="n">
        <x:v>33</x:v>
      </x:c>
      <x:c r="E1333" s="18" t="n">
        <x:v>1523.24</x:v>
      </x:c>
      <x:c r="F1333" s="18" t="n">
        <x:v>0</x:v>
      </x:c>
      <x:c r="G1333" s="18" t="n">
        <x:v>6.85</x:v>
      </x:c>
      <x:c r="H1333" s="18" t="n">
        <x:v>5.25</x:v>
      </x:c>
      <x:c r="I1333" s="18" t="n">
        <x:v>12.1</x:v>
      </x:c>
      <x:c r="J1333" t="n">
        <x:f>IF(A1333=A1332,IFERROR(IF(B1333=EDATE(B1332,1),C1332,0),0),0)</x:f>
        <x:v>1</x:v>
      </x:c>
      <x:c r="K1333" t="n">
        <x:f>IF(AND(J1333=1,C1333=0),1,0)</x:f>
        <x:v>0</x:v>
      </x:c>
      <x:c r="L1333" t="str">
        <x:f>IFERROR(INDEX(Customers!$C$2:$C$451,MATCH(A1333,Customers!$A$2:$A$451,0)),"Unknown")</x:f>
        <x:v>Standard</x:v>
      </x:c>
    </x:row>
    <x:row r="1334">
      <x:c r="A1334" t="n">
        <x:v>244</x:v>
      </x:c>
      <x:c r="B1334" s="16" t="n">
        <x:v>46266</x:v>
      </x:c>
      <x:c r="C1334" t="n">
        <x:v>1</x:v>
      </x:c>
      <x:c r="D1334" t="n">
        <x:v>36</x:v>
      </x:c>
      <x:c r="E1334" s="18" t="n">
        <x:v>1341.09</x:v>
      </x:c>
      <x:c r="F1334" s="18" t="n">
        <x:v>0</x:v>
      </x:c>
      <x:c r="G1334" s="18" t="n">
        <x:v>6.03</x:v>
      </x:c>
      <x:c r="H1334" s="18" t="n">
        <x:v>2.29</x:v>
      </x:c>
      <x:c r="I1334" s="18" t="n">
        <x:v>8.32</x:v>
      </x:c>
      <x:c r="J1334" t="n">
        <x:f>IF(A1334=A1333,IFERROR(IF(B1334=EDATE(B1333,1),C1333,0),0),0)</x:f>
        <x:v>1</x:v>
      </x:c>
      <x:c r="K1334" t="n">
        <x:f>IF(AND(J1334=1,C1334=0),1,0)</x:f>
        <x:v>0</x:v>
      </x:c>
      <x:c r="L1334" t="str">
        <x:f>IFERROR(INDEX(Customers!$C$2:$C$451,MATCH(A1334,Customers!$A$2:$A$451,0)),"Unknown")</x:f>
        <x:v>Standard</x:v>
      </x:c>
    </x:row>
    <x:row r="1335">
      <x:c r="A1335" t="n">
        <x:v>245</x:v>
      </x:c>
      <x:c r="B1335" s="16" t="n">
        <x:v>46113</x:v>
      </x:c>
      <x:c r="C1335" t="n">
        <x:v>0</x:v>
      </x:c>
      <x:c r="D1335" t="n">
        <x:v>0</x:v>
      </x:c>
      <x:c r="E1335" s="18" t="n">
        <x:v>0</x:v>
      </x:c>
      <x:c r="F1335" s="18" t="n">
        <x:v>0</x:v>
      </x:c>
      <x:c r="G1335" s="18" t="n">
        <x:v>0</x:v>
      </x:c>
      <x:c r="H1335" s="18" t="n">
        <x:v>0</x:v>
      </x:c>
      <x:c r="I1335" s="18" t="n">
        <x:v>0</x:v>
      </x:c>
      <x:c r="J1335" t="n">
        <x:f>IF(A1335=A1334,IFERROR(IF(B1335=EDATE(B1334,1),C1334,0),0),0)</x:f>
        <x:v>0</x:v>
      </x:c>
      <x:c r="K1335" t="n">
        <x:f>IF(AND(J1335=1,C1335=0),1,0)</x:f>
        <x:v>0</x:v>
      </x:c>
      <x:c r="L1335" t="str">
        <x:f>IFERROR(INDEX(Customers!$C$2:$C$451,MATCH(A1335,Customers!$A$2:$A$451,0)),"Unknown")</x:f>
        <x:v>Plus</x:v>
      </x:c>
    </x:row>
    <x:row r="1336">
      <x:c r="A1336" t="n">
        <x:v>245</x:v>
      </x:c>
      <x:c r="B1336" s="16" t="n">
        <x:v>46143</x:v>
      </x:c>
      <x:c r="C1336" t="n">
        <x:v>1</x:v>
      </x:c>
      <x:c r="D1336" t="n">
        <x:v>29</x:v>
      </x:c>
      <x:c r="E1336" s="18" t="n">
        <x:v>3045.56</x:v>
      </x:c>
      <x:c r="F1336" s="18" t="n">
        <x:v>8</x:v>
      </x:c>
      <x:c r="G1336" s="18" t="n">
        <x:v>13.71</x:v>
      </x:c>
      <x:c r="H1336" s="18" t="n">
        <x:v>4.59</x:v>
      </x:c>
      <x:c r="I1336" s="18" t="n">
        <x:v>26.3</x:v>
      </x:c>
      <x:c r="J1336" t="n">
        <x:f>IF(A1336=A1335,IFERROR(IF(B1336=EDATE(B1335,1),C1335,0),0),0)</x:f>
        <x:v>0</x:v>
      </x:c>
      <x:c r="K1336" t="n">
        <x:f>IF(AND(J1336=1,C1336=0),1,0)</x:f>
        <x:v>0</x:v>
      </x:c>
      <x:c r="L1336" t="str">
        <x:f>IFERROR(INDEX(Customers!$C$2:$C$451,MATCH(A1336,Customers!$A$2:$A$451,0)),"Unknown")</x:f>
        <x:v>Plus</x:v>
      </x:c>
    </x:row>
    <x:row r="1337">
      <x:c r="A1337" t="n">
        <x:v>245</x:v>
      </x:c>
      <x:c r="B1337" s="16" t="n">
        <x:v>46174</x:v>
      </x:c>
      <x:c r="C1337" t="n">
        <x:v>1</x:v>
      </x:c>
      <x:c r="D1337" t="n">
        <x:v>22</x:v>
      </x:c>
      <x:c r="E1337" s="18" t="n">
        <x:v>914.22</x:v>
      </x:c>
      <x:c r="F1337" s="18" t="n">
        <x:v>8</x:v>
      </x:c>
      <x:c r="G1337" s="18" t="n">
        <x:v>4.11</x:v>
      </x:c>
      <x:c r="H1337" s="18" t="n">
        <x:v>1.06</x:v>
      </x:c>
      <x:c r="I1337" s="18" t="n">
        <x:v>13.17</x:v>
      </x:c>
      <x:c r="J1337" t="n">
        <x:f>IF(A1337=A1336,IFERROR(IF(B1337=EDATE(B1336,1),C1336,0),0),0)</x:f>
        <x:v>1</x:v>
      </x:c>
      <x:c r="K1337" t="n">
        <x:f>IF(AND(J1337=1,C1337=0),1,0)</x:f>
        <x:v>0</x:v>
      </x:c>
      <x:c r="L1337" t="str">
        <x:f>IFERROR(INDEX(Customers!$C$2:$C$451,MATCH(A1337,Customers!$A$2:$A$451,0)),"Unknown")</x:f>
        <x:v>Plus</x:v>
      </x:c>
    </x:row>
    <x:row r="1338">
      <x:c r="A1338" t="n">
        <x:v>245</x:v>
      </x:c>
      <x:c r="B1338" s="16" t="n">
        <x:v>46204</x:v>
      </x:c>
      <x:c r="C1338" t="n">
        <x:v>1</x:v>
      </x:c>
      <x:c r="D1338" t="n">
        <x:v>26</x:v>
      </x:c>
      <x:c r="E1338" s="18" t="n">
        <x:v>3508.62</x:v>
      </x:c>
      <x:c r="F1338" s="18" t="n">
        <x:v>8</x:v>
      </x:c>
      <x:c r="G1338" s="18" t="n">
        <x:v>15.79</x:v>
      </x:c>
      <x:c r="H1338" s="18" t="n">
        <x:v>5.12</x:v>
      </x:c>
      <x:c r="I1338" s="18" t="n">
        <x:v>28.91</x:v>
      </x:c>
      <x:c r="J1338" t="n">
        <x:f>IF(A1338=A1337,IFERROR(IF(B1338=EDATE(B1337,1),C1337,0),0),0)</x:f>
        <x:v>1</x:v>
      </x:c>
      <x:c r="K1338" t="n">
        <x:f>IF(AND(J1338=1,C1338=0),1,0)</x:f>
        <x:v>0</x:v>
      </x:c>
      <x:c r="L1338" t="str">
        <x:f>IFERROR(INDEX(Customers!$C$2:$C$451,MATCH(A1338,Customers!$A$2:$A$451,0)),"Unknown")</x:f>
        <x:v>Plus</x:v>
      </x:c>
    </x:row>
    <x:row r="1339">
      <x:c r="A1339" t="n">
        <x:v>245</x:v>
      </x:c>
      <x:c r="B1339" s="16" t="n">
        <x:v>46235</x:v>
      </x:c>
      <x:c r="C1339" t="n">
        <x:v>1</x:v>
      </x:c>
      <x:c r="D1339" t="n">
        <x:v>13</x:v>
      </x:c>
      <x:c r="E1339" s="18" t="n">
        <x:v>625.66</x:v>
      </x:c>
      <x:c r="F1339" s="18" t="n">
        <x:v>8</x:v>
      </x:c>
      <x:c r="G1339" s="18" t="n">
        <x:v>2.82</x:v>
      </x:c>
      <x:c r="H1339" s="18" t="n">
        <x:v>1.27</x:v>
      </x:c>
      <x:c r="I1339" s="18" t="n">
        <x:v>12.09</x:v>
      </x:c>
      <x:c r="J1339" t="n">
        <x:f>IF(A1339=A1338,IFERROR(IF(B1339=EDATE(B1338,1),C1338,0),0),0)</x:f>
        <x:v>1</x:v>
      </x:c>
      <x:c r="K1339" t="n">
        <x:f>IF(AND(J1339=1,C1339=0),1,0)</x:f>
        <x:v>0</x:v>
      </x:c>
      <x:c r="L1339" t="str">
        <x:f>IFERROR(INDEX(Customers!$C$2:$C$451,MATCH(A1339,Customers!$A$2:$A$451,0)),"Unknown")</x:f>
        <x:v>Plus</x:v>
      </x:c>
    </x:row>
    <x:row r="1340">
      <x:c r="A1340" t="n">
        <x:v>245</x:v>
      </x:c>
      <x:c r="B1340" s="16" t="n">
        <x:v>46266</x:v>
      </x:c>
      <x:c r="C1340" t="n">
        <x:v>0</x:v>
      </x:c>
      <x:c r="D1340" t="n">
        <x:v>0</x:v>
      </x:c>
      <x:c r="E1340" s="18" t="n">
        <x:v>0</x:v>
      </x:c>
      <x:c r="F1340" s="18" t="n">
        <x:v>0</x:v>
      </x:c>
      <x:c r="G1340" s="18" t="n">
        <x:v>0</x:v>
      </x:c>
      <x:c r="H1340" s="18" t="n">
        <x:v>0</x:v>
      </x:c>
      <x:c r="I1340" s="18" t="n">
        <x:v>0</x:v>
      </x:c>
      <x:c r="J1340" t="n">
        <x:f>IF(A1340=A1339,IFERROR(IF(B1340=EDATE(B1339,1),C1339,0),0),0)</x:f>
        <x:v>1</x:v>
      </x:c>
      <x:c r="K1340" t="n">
        <x:f>IF(AND(J1340=1,C1340=0),1,0)</x:f>
        <x:v>1</x:v>
      </x:c>
      <x:c r="L1340" t="str">
        <x:f>IFERROR(INDEX(Customers!$C$2:$C$451,MATCH(A1340,Customers!$A$2:$A$451,0)),"Unknown")</x:f>
        <x:v>Plus</x:v>
      </x:c>
    </x:row>
    <x:row r="1341">
      <x:c r="A1341" t="n">
        <x:v>246</x:v>
      </x:c>
      <x:c r="B1341" s="16" t="n">
        <x:v>46113</x:v>
      </x:c>
      <x:c r="C1341" t="n">
        <x:v>1</x:v>
      </x:c>
      <x:c r="D1341" t="n">
        <x:v>4</x:v>
      </x:c>
      <x:c r="E1341" s="18" t="n">
        <x:v>259.08</x:v>
      </x:c>
      <x:c r="F1341" s="18" t="n">
        <x:v>0</x:v>
      </x:c>
      <x:c r="G1341" s="18" t="n">
        <x:v>1.17</x:v>
      </x:c>
      <x:c r="H1341" s="18" t="n">
        <x:v>0.69</x:v>
      </x:c>
      <x:c r="I1341" s="18" t="n">
        <x:v>1.86</x:v>
      </x:c>
      <x:c r="J1341" t="n">
        <x:f>IF(A1341=A1340,IFERROR(IF(B1341=EDATE(B1340,1),C1340,0),0),0)</x:f>
        <x:v>0</x:v>
      </x:c>
      <x:c r="K1341" t="n">
        <x:f>IF(AND(J1341=1,C1341=0),1,0)</x:f>
        <x:v>0</x:v>
      </x:c>
      <x:c r="L1341" t="str">
        <x:f>IFERROR(INDEX(Customers!$C$2:$C$451,MATCH(A1341,Customers!$A$2:$A$451,0)),"Unknown")</x:f>
        <x:v>Standard</x:v>
      </x:c>
    </x:row>
    <x:row r="1342">
      <x:c r="A1342" t="n">
        <x:v>246</x:v>
      </x:c>
      <x:c r="B1342" s="16" t="n">
        <x:v>46143</x:v>
      </x:c>
      <x:c r="C1342" t="n">
        <x:v>1</x:v>
      </x:c>
      <x:c r="D1342" t="n">
        <x:v>4</x:v>
      </x:c>
      <x:c r="E1342" s="18" t="n">
        <x:v>466.86</x:v>
      </x:c>
      <x:c r="F1342" s="18" t="n">
        <x:v>0</x:v>
      </x:c>
      <x:c r="G1342" s="18" t="n">
        <x:v>2.1</x:v>
      </x:c>
      <x:c r="H1342" s="18" t="n">
        <x:v>0.85</x:v>
      </x:c>
      <x:c r="I1342" s="18" t="n">
        <x:v>2.95</x:v>
      </x:c>
      <x:c r="J1342" t="n">
        <x:f>IF(A1342=A1341,IFERROR(IF(B1342=EDATE(B1341,1),C1341,0),0),0)</x:f>
        <x:v>1</x:v>
      </x:c>
      <x:c r="K1342" t="n">
        <x:f>IF(AND(J1342=1,C1342=0),1,0)</x:f>
        <x:v>0</x:v>
      </x:c>
      <x:c r="L1342" t="str">
        <x:f>IFERROR(INDEX(Customers!$C$2:$C$451,MATCH(A1342,Customers!$A$2:$A$451,0)),"Unknown")</x:f>
        <x:v>Standard</x:v>
      </x:c>
    </x:row>
    <x:row r="1343">
      <x:c r="A1343" t="n">
        <x:v>246</x:v>
      </x:c>
      <x:c r="B1343" s="16" t="n">
        <x:v>46174</x:v>
      </x:c>
      <x:c r="C1343" t="n">
        <x:v>1</x:v>
      </x:c>
      <x:c r="D1343" t="n">
        <x:v>18</x:v>
      </x:c>
      <x:c r="E1343" s="18" t="n">
        <x:v>2006.71</x:v>
      </x:c>
      <x:c r="F1343" s="18" t="n">
        <x:v>0</x:v>
      </x:c>
      <x:c r="G1343" s="18" t="n">
        <x:v>9.03</x:v>
      </x:c>
      <x:c r="H1343" s="18" t="n">
        <x:v>4.42</x:v>
      </x:c>
      <x:c r="I1343" s="18" t="n">
        <x:v>13.45</x:v>
      </x:c>
      <x:c r="J1343" t="n">
        <x:f>IF(A1343=A1342,IFERROR(IF(B1343=EDATE(B1342,1),C1342,0),0),0)</x:f>
        <x:v>1</x:v>
      </x:c>
      <x:c r="K1343" t="n">
        <x:f>IF(AND(J1343=1,C1343=0),1,0)</x:f>
        <x:v>0</x:v>
      </x:c>
      <x:c r="L1343" t="str">
        <x:f>IFERROR(INDEX(Customers!$C$2:$C$451,MATCH(A1343,Customers!$A$2:$A$451,0)),"Unknown")</x:f>
        <x:v>Standard</x:v>
      </x:c>
    </x:row>
    <x:row r="1344">
      <x:c r="A1344" t="n">
        <x:v>246</x:v>
      </x:c>
      <x:c r="B1344" s="16" t="n">
        <x:v>46204</x:v>
      </x:c>
      <x:c r="C1344" t="n">
        <x:v>1</x:v>
      </x:c>
      <x:c r="D1344" t="n">
        <x:v>24</x:v>
      </x:c>
      <x:c r="E1344" s="18" t="n">
        <x:v>1209.21</x:v>
      </x:c>
      <x:c r="F1344" s="18" t="n">
        <x:v>0</x:v>
      </x:c>
      <x:c r="G1344" s="18" t="n">
        <x:v>5.44</x:v>
      </x:c>
      <x:c r="H1344" s="18" t="n">
        <x:v>3.06</x:v>
      </x:c>
      <x:c r="I1344" s="18" t="n">
        <x:v>8.5</x:v>
      </x:c>
      <x:c r="J1344" t="n">
        <x:f>IF(A1344=A1343,IFERROR(IF(B1344=EDATE(B1343,1),C1343,0),0),0)</x:f>
        <x:v>1</x:v>
      </x:c>
      <x:c r="K1344" t="n">
        <x:f>IF(AND(J1344=1,C1344=0),1,0)</x:f>
        <x:v>0</x:v>
      </x:c>
      <x:c r="L1344" t="str">
        <x:f>IFERROR(INDEX(Customers!$C$2:$C$451,MATCH(A1344,Customers!$A$2:$A$451,0)),"Unknown")</x:f>
        <x:v>Standard</x:v>
      </x:c>
    </x:row>
    <x:row r="1345">
      <x:c r="A1345" t="n">
        <x:v>246</x:v>
      </x:c>
      <x:c r="B1345" s="16" t="n">
        <x:v>46235</x:v>
      </x:c>
      <x:c r="C1345" t="n">
        <x:v>1</x:v>
      </x:c>
      <x:c r="D1345" t="n">
        <x:v>4</x:v>
      </x:c>
      <x:c r="E1345" s="18" t="n">
        <x:v>511.35</x:v>
      </x:c>
      <x:c r="F1345" s="18" t="n">
        <x:v>0</x:v>
      </x:c>
      <x:c r="G1345" s="18" t="n">
        <x:v>2.3</x:v>
      </x:c>
      <x:c r="H1345" s="18" t="n">
        <x:v>1.44</x:v>
      </x:c>
      <x:c r="I1345" s="18" t="n">
        <x:v>3.74</x:v>
      </x:c>
      <x:c r="J1345" t="n">
        <x:f>IF(A1345=A1344,IFERROR(IF(B1345=EDATE(B1344,1),C1344,0),0),0)</x:f>
        <x:v>1</x:v>
      </x:c>
      <x:c r="K1345" t="n">
        <x:f>IF(AND(J1345=1,C1345=0),1,0)</x:f>
        <x:v>0</x:v>
      </x:c>
      <x:c r="L1345" t="str">
        <x:f>IFERROR(INDEX(Customers!$C$2:$C$451,MATCH(A1345,Customers!$A$2:$A$451,0)),"Unknown")</x:f>
        <x:v>Standard</x:v>
      </x:c>
    </x:row>
    <x:row r="1346">
      <x:c r="A1346" t="n">
        <x:v>246</x:v>
      </x:c>
      <x:c r="B1346" s="16" t="n">
        <x:v>46266</x:v>
      </x:c>
      <x:c r="C1346" t="n">
        <x:v>1</x:v>
      </x:c>
      <x:c r="D1346" t="n">
        <x:v>17</x:v>
      </x:c>
      <x:c r="E1346" s="18" t="n">
        <x:v>820.89</x:v>
      </x:c>
      <x:c r="F1346" s="18" t="n">
        <x:v>0</x:v>
      </x:c>
      <x:c r="G1346" s="18" t="n">
        <x:v>3.69</x:v>
      </x:c>
      <x:c r="H1346" s="18" t="n">
        <x:v>0.72</x:v>
      </x:c>
      <x:c r="I1346" s="18" t="n">
        <x:v>4.41</x:v>
      </x:c>
      <x:c r="J1346" t="n">
        <x:f>IF(A1346=A1345,IFERROR(IF(B1346=EDATE(B1345,1),C1345,0),0),0)</x:f>
        <x:v>1</x:v>
      </x:c>
      <x:c r="K1346" t="n">
        <x:f>IF(AND(J1346=1,C1346=0),1,0)</x:f>
        <x:v>0</x:v>
      </x:c>
      <x:c r="L1346" t="str">
        <x:f>IFERROR(INDEX(Customers!$C$2:$C$451,MATCH(A1346,Customers!$A$2:$A$451,0)),"Unknown")</x:f>
        <x:v>Standard</x:v>
      </x:c>
    </x:row>
    <x:row r="1347">
      <x:c r="A1347" t="n">
        <x:v>247</x:v>
      </x:c>
      <x:c r="B1347" s="16" t="n">
        <x:v>46143</x:v>
      </x:c>
      <x:c r="C1347" t="n">
        <x:v>1</x:v>
      </x:c>
      <x:c r="D1347" t="n">
        <x:v>27</x:v>
      </x:c>
      <x:c r="E1347" s="18" t="n">
        <x:v>3398.77</x:v>
      </x:c>
      <x:c r="F1347" s="18" t="n">
        <x:v>0</x:v>
      </x:c>
      <x:c r="G1347" s="18" t="n">
        <x:v>15.29</x:v>
      </x:c>
      <x:c r="H1347" s="18" t="n">
        <x:v>5.8</x:v>
      </x:c>
      <x:c r="I1347" s="18" t="n">
        <x:v>21.09</x:v>
      </x:c>
      <x:c r="J1347" t="n">
        <x:f>IF(A1347=A1346,IFERROR(IF(B1347=EDATE(B1346,1),C1346,0),0),0)</x:f>
        <x:v>0</x:v>
      </x:c>
      <x:c r="K1347" t="n">
        <x:f>IF(AND(J1347=1,C1347=0),1,0)</x:f>
        <x:v>0</x:v>
      </x:c>
      <x:c r="L1347" t="str">
        <x:f>IFERROR(INDEX(Customers!$C$2:$C$451,MATCH(A1347,Customers!$A$2:$A$451,0)),"Unknown")</x:f>
        <x:v>Standard</x:v>
      </x:c>
    </x:row>
    <x:row r="1348">
      <x:c r="A1348" t="n">
        <x:v>247</x:v>
      </x:c>
      <x:c r="B1348" s="16" t="n">
        <x:v>46174</x:v>
      </x:c>
      <x:c r="C1348" t="n">
        <x:v>1</x:v>
      </x:c>
      <x:c r="D1348" t="n">
        <x:v>22</x:v>
      </x:c>
      <x:c r="E1348" s="18" t="n">
        <x:v>2841.87</x:v>
      </x:c>
      <x:c r="F1348" s="18" t="n">
        <x:v>0</x:v>
      </x:c>
      <x:c r="G1348" s="18" t="n">
        <x:v>12.79</x:v>
      </x:c>
      <x:c r="H1348" s="18" t="n">
        <x:v>7.68</x:v>
      </x:c>
      <x:c r="I1348" s="18" t="n">
        <x:v>20.47</x:v>
      </x:c>
      <x:c r="J1348" t="n">
        <x:f>IF(A1348=A1347,IFERROR(IF(B1348=EDATE(B1347,1),C1347,0),0),0)</x:f>
        <x:v>1</x:v>
      </x:c>
      <x:c r="K1348" t="n">
        <x:f>IF(AND(J1348=1,C1348=0),1,0)</x:f>
        <x:v>0</x:v>
      </x:c>
      <x:c r="L1348" t="str">
        <x:f>IFERROR(INDEX(Customers!$C$2:$C$451,MATCH(A1348,Customers!$A$2:$A$451,0)),"Unknown")</x:f>
        <x:v>Standard</x:v>
      </x:c>
    </x:row>
    <x:row r="1349">
      <x:c r="A1349" t="n">
        <x:v>247</x:v>
      </x:c>
      <x:c r="B1349" s="16" t="n">
        <x:v>46204</x:v>
      </x:c>
      <x:c r="C1349" t="n">
        <x:v>1</x:v>
      </x:c>
      <x:c r="D1349" t="n">
        <x:v>10</x:v>
      </x:c>
      <x:c r="E1349" s="18" t="n">
        <x:v>908.13</x:v>
      </x:c>
      <x:c r="F1349" s="18" t="n">
        <x:v>0</x:v>
      </x:c>
      <x:c r="G1349" s="18" t="n">
        <x:v>4.09</x:v>
      </x:c>
      <x:c r="H1349" s="18" t="n">
        <x:v>2.86</x:v>
      </x:c>
      <x:c r="I1349" s="18" t="n">
        <x:v>6.95</x:v>
      </x:c>
      <x:c r="J1349" t="n">
        <x:f>IF(A1349=A1348,IFERROR(IF(B1349=EDATE(B1348,1),C1348,0),0),0)</x:f>
        <x:v>1</x:v>
      </x:c>
      <x:c r="K1349" t="n">
        <x:f>IF(AND(J1349=1,C1349=0),1,0)</x:f>
        <x:v>0</x:v>
      </x:c>
      <x:c r="L1349" t="str">
        <x:f>IFERROR(INDEX(Customers!$C$2:$C$451,MATCH(A1349,Customers!$A$2:$A$451,0)),"Unknown")</x:f>
        <x:v>Standard</x:v>
      </x:c>
    </x:row>
    <x:row r="1350">
      <x:c r="A1350" t="n">
        <x:v>247</x:v>
      </x:c>
      <x:c r="B1350" s="16" t="n">
        <x:v>46235</x:v>
      </x:c>
      <x:c r="C1350" t="n">
        <x:v>1</x:v>
      </x:c>
      <x:c r="D1350" t="n">
        <x:v>18</x:v>
      </x:c>
      <x:c r="E1350" s="18" t="n">
        <x:v>1376.35</x:v>
      </x:c>
      <x:c r="F1350" s="18" t="n">
        <x:v>0</x:v>
      </x:c>
      <x:c r="G1350" s="18" t="n">
        <x:v>6.19</x:v>
      </x:c>
      <x:c r="H1350" s="18" t="n">
        <x:v>1.97</x:v>
      </x:c>
      <x:c r="I1350" s="18" t="n">
        <x:v>8.16</x:v>
      </x:c>
      <x:c r="J1350" t="n">
        <x:f>IF(A1350=A1349,IFERROR(IF(B1350=EDATE(B1349,1),C1349,0),0),0)</x:f>
        <x:v>1</x:v>
      </x:c>
      <x:c r="K1350" t="n">
        <x:f>IF(AND(J1350=1,C1350=0),1,0)</x:f>
        <x:v>0</x:v>
      </x:c>
      <x:c r="L1350" t="str">
        <x:f>IFERROR(INDEX(Customers!$C$2:$C$451,MATCH(A1350,Customers!$A$2:$A$451,0)),"Unknown")</x:f>
        <x:v>Standard</x:v>
      </x:c>
    </x:row>
    <x:row r="1351">
      <x:c r="A1351" t="n">
        <x:v>247</x:v>
      </x:c>
      <x:c r="B1351" s="16" t="n">
        <x:v>46266</x:v>
      </x:c>
      <x:c r="C1351" t="n">
        <x:v>1</x:v>
      </x:c>
      <x:c r="D1351" t="n">
        <x:v>31</x:v>
      </x:c>
      <x:c r="E1351" s="18" t="n">
        <x:v>1221.38</x:v>
      </x:c>
      <x:c r="F1351" s="18" t="n">
        <x:v>0</x:v>
      </x:c>
      <x:c r="G1351" s="18" t="n">
        <x:v>5.5</x:v>
      </x:c>
      <x:c r="H1351" s="18" t="n">
        <x:v>2.92</x:v>
      </x:c>
      <x:c r="I1351" s="18" t="n">
        <x:v>8.42</x:v>
      </x:c>
      <x:c r="J1351" t="n">
        <x:f>IF(A1351=A1350,IFERROR(IF(B1351=EDATE(B1350,1),C1350,0),0),0)</x:f>
        <x:v>1</x:v>
      </x:c>
      <x:c r="K1351" t="n">
        <x:f>IF(AND(J1351=1,C1351=0),1,0)</x:f>
        <x:v>0</x:v>
      </x:c>
      <x:c r="L1351" t="str">
        <x:f>IFERROR(INDEX(Customers!$C$2:$C$451,MATCH(A1351,Customers!$A$2:$A$451,0)),"Unknown")</x:f>
        <x:v>Standard</x:v>
      </x:c>
    </x:row>
    <x:row r="1352">
      <x:c r="A1352" t="n">
        <x:v>248</x:v>
      </x:c>
      <x:c r="B1352" s="16" t="n">
        <x:v>46143</x:v>
      </x:c>
      <x:c r="C1352" t="n">
        <x:v>1</x:v>
      </x:c>
      <x:c r="D1352" t="n">
        <x:v>35</x:v>
      </x:c>
      <x:c r="E1352" s="18" t="n">
        <x:v>1373.12</x:v>
      </x:c>
      <x:c r="F1352" s="18" t="n">
        <x:v>0</x:v>
      </x:c>
      <x:c r="G1352" s="18" t="n">
        <x:v>6.18</x:v>
      </x:c>
      <x:c r="H1352" s="18" t="n">
        <x:v>1.83</x:v>
      </x:c>
      <x:c r="I1352" s="18" t="n">
        <x:v>8.01</x:v>
      </x:c>
      <x:c r="J1352" t="n">
        <x:f>IF(A1352=A1351,IFERROR(IF(B1352=EDATE(B1351,1),C1351,0),0),0)</x:f>
        <x:v>0</x:v>
      </x:c>
      <x:c r="K1352" t="n">
        <x:f>IF(AND(J1352=1,C1352=0),1,0)</x:f>
        <x:v>0</x:v>
      </x:c>
      <x:c r="L1352" t="str">
        <x:f>IFERROR(INDEX(Customers!$C$2:$C$451,MATCH(A1352,Customers!$A$2:$A$451,0)),"Unknown")</x:f>
        <x:v>Standard</x:v>
      </x:c>
    </x:row>
    <x:row r="1353">
      <x:c r="A1353" t="n">
        <x:v>248</x:v>
      </x:c>
      <x:c r="B1353" s="16" t="n">
        <x:v>46174</x:v>
      </x:c>
      <x:c r="C1353" t="n">
        <x:v>1</x:v>
      </x:c>
      <x:c r="D1353" t="n">
        <x:v>12</x:v>
      </x:c>
      <x:c r="E1353" s="18" t="n">
        <x:v>1267.91</x:v>
      </x:c>
      <x:c r="F1353" s="18" t="n">
        <x:v>0</x:v>
      </x:c>
      <x:c r="G1353" s="18" t="n">
        <x:v>5.71</x:v>
      </x:c>
      <x:c r="H1353" s="18" t="n">
        <x:v>3.41</x:v>
      </x:c>
      <x:c r="I1353" s="18" t="n">
        <x:v>9.12</x:v>
      </x:c>
      <x:c r="J1353" t="n">
        <x:f>IF(A1353=A1352,IFERROR(IF(B1353=EDATE(B1352,1),C1352,0),0),0)</x:f>
        <x:v>1</x:v>
      </x:c>
      <x:c r="K1353" t="n">
        <x:f>IF(AND(J1353=1,C1353=0),1,0)</x:f>
        <x:v>0</x:v>
      </x:c>
      <x:c r="L1353" t="str">
        <x:f>IFERROR(INDEX(Customers!$C$2:$C$451,MATCH(A1353,Customers!$A$2:$A$451,0)),"Unknown")</x:f>
        <x:v>Standard</x:v>
      </x:c>
    </x:row>
    <x:row r="1354">
      <x:c r="A1354" t="n">
        <x:v>248</x:v>
      </x:c>
      <x:c r="B1354" s="16" t="n">
        <x:v>46204</x:v>
      </x:c>
      <x:c r="C1354" t="n">
        <x:v>1</x:v>
      </x:c>
      <x:c r="D1354" t="n">
        <x:v>20</x:v>
      </x:c>
      <x:c r="E1354" s="18" t="n">
        <x:v>2048.89</x:v>
      </x:c>
      <x:c r="F1354" s="18" t="n">
        <x:v>0</x:v>
      </x:c>
      <x:c r="G1354" s="18" t="n">
        <x:v>9.22</x:v>
      </x:c>
      <x:c r="H1354" s="18" t="n">
        <x:v>4.84</x:v>
      </x:c>
      <x:c r="I1354" s="18" t="n">
        <x:v>14.06</x:v>
      </x:c>
      <x:c r="J1354" t="n">
        <x:f>IF(A1354=A1353,IFERROR(IF(B1354=EDATE(B1353,1),C1353,0),0),0)</x:f>
        <x:v>1</x:v>
      </x:c>
      <x:c r="K1354" t="n">
        <x:f>IF(AND(J1354=1,C1354=0),1,0)</x:f>
        <x:v>0</x:v>
      </x:c>
      <x:c r="L1354" t="str">
        <x:f>IFERROR(INDEX(Customers!$C$2:$C$451,MATCH(A1354,Customers!$A$2:$A$451,0)),"Unknown")</x:f>
        <x:v>Standard</x:v>
      </x:c>
    </x:row>
    <x:row r="1355">
      <x:c r="A1355" t="n">
        <x:v>248</x:v>
      </x:c>
      <x:c r="B1355" s="16" t="n">
        <x:v>46235</x:v>
      </x:c>
      <x:c r="C1355" t="n">
        <x:v>1</x:v>
      </x:c>
      <x:c r="D1355" t="n">
        <x:v>12</x:v>
      </x:c>
      <x:c r="E1355" s="18" t="n">
        <x:v>1078.91</x:v>
      </x:c>
      <x:c r="F1355" s="18" t="n">
        <x:v>0</x:v>
      </x:c>
      <x:c r="G1355" s="18" t="n">
        <x:v>4.86</x:v>
      </x:c>
      <x:c r="H1355" s="18" t="n">
        <x:v>2.9</x:v>
      </x:c>
      <x:c r="I1355" s="18" t="n">
        <x:v>7.76</x:v>
      </x:c>
      <x:c r="J1355" t="n">
        <x:f>IF(A1355=A1354,IFERROR(IF(B1355=EDATE(B1354,1),C1354,0),0),0)</x:f>
        <x:v>1</x:v>
      </x:c>
      <x:c r="K1355" t="n">
        <x:f>IF(AND(J1355=1,C1355=0),1,0)</x:f>
        <x:v>0</x:v>
      </x:c>
      <x:c r="L1355" t="str">
        <x:f>IFERROR(INDEX(Customers!$C$2:$C$451,MATCH(A1355,Customers!$A$2:$A$451,0)),"Unknown")</x:f>
        <x:v>Standard</x:v>
      </x:c>
    </x:row>
    <x:row r="1356">
      <x:c r="A1356" t="n">
        <x:v>248</x:v>
      </x:c>
      <x:c r="B1356" s="16" t="n">
        <x:v>46266</x:v>
      </x:c>
      <x:c r="C1356" t="n">
        <x:v>1</x:v>
      </x:c>
      <x:c r="D1356" t="n">
        <x:v>30</x:v>
      </x:c>
      <x:c r="E1356" s="18" t="n">
        <x:v>2948.93</x:v>
      </x:c>
      <x:c r="F1356" s="18" t="n">
        <x:v>0</x:v>
      </x:c>
      <x:c r="G1356" s="18" t="n">
        <x:v>13.27</x:v>
      </x:c>
      <x:c r="H1356" s="18" t="n">
        <x:v>3.27</x:v>
      </x:c>
      <x:c r="I1356" s="18" t="n">
        <x:v>16.54</x:v>
      </x:c>
      <x:c r="J1356" t="n">
        <x:f>IF(A1356=A1355,IFERROR(IF(B1356=EDATE(B1355,1),C1355,0),0),0)</x:f>
        <x:v>1</x:v>
      </x:c>
      <x:c r="K1356" t="n">
        <x:f>IF(AND(J1356=1,C1356=0),1,0)</x:f>
        <x:v>0</x:v>
      </x:c>
      <x:c r="L1356" t="str">
        <x:f>IFERROR(INDEX(Customers!$C$2:$C$451,MATCH(A1356,Customers!$A$2:$A$451,0)),"Unknown")</x:f>
        <x:v>Standard</x:v>
      </x:c>
    </x:row>
    <x:row r="1357">
      <x:c r="A1357" t="n">
        <x:v>249</x:v>
      </x:c>
      <x:c r="B1357" s="16" t="n">
        <x:v>46113</x:v>
      </x:c>
      <x:c r="C1357" t="n">
        <x:v>1</x:v>
      </x:c>
      <x:c r="D1357" t="n">
        <x:v>15</x:v>
      </x:c>
      <x:c r="E1357" s="18" t="n">
        <x:v>660.14</x:v>
      </x:c>
      <x:c r="F1357" s="18" t="n">
        <x:v>0</x:v>
      </x:c>
      <x:c r="G1357" s="18" t="n">
        <x:v>2.97</x:v>
      </x:c>
      <x:c r="H1357" s="18" t="n">
        <x:v>0.65</x:v>
      </x:c>
      <x:c r="I1357" s="18" t="n">
        <x:v>3.62</x:v>
      </x:c>
      <x:c r="J1357" t="n">
        <x:f>IF(A1357=A1356,IFERROR(IF(B1357=EDATE(B1356,1),C1356,0),0),0)</x:f>
        <x:v>0</x:v>
      </x:c>
      <x:c r="K1357" t="n">
        <x:f>IF(AND(J1357=1,C1357=0),1,0)</x:f>
        <x:v>0</x:v>
      </x:c>
      <x:c r="L1357" t="str">
        <x:f>IFERROR(INDEX(Customers!$C$2:$C$451,MATCH(A1357,Customers!$A$2:$A$451,0)),"Unknown")</x:f>
        <x:v>Standard</x:v>
      </x:c>
    </x:row>
    <x:row r="1358">
      <x:c r="A1358" t="n">
        <x:v>249</x:v>
      </x:c>
      <x:c r="B1358" s="16" t="n">
        <x:v>46143</x:v>
      </x:c>
      <x:c r="C1358" t="n">
        <x:v>1</x:v>
      </x:c>
      <x:c r="D1358" t="n">
        <x:v>36</x:v>
      </x:c>
      <x:c r="E1358" s="18" t="n">
        <x:v>1853.81</x:v>
      </x:c>
      <x:c r="F1358" s="18" t="n">
        <x:v>0</x:v>
      </x:c>
      <x:c r="G1358" s="18" t="n">
        <x:v>8.34</x:v>
      </x:c>
      <x:c r="H1358" s="18" t="n">
        <x:v>2.34</x:v>
      </x:c>
      <x:c r="I1358" s="18" t="n">
        <x:v>10.68</x:v>
      </x:c>
      <x:c r="J1358" t="n">
        <x:f>IF(A1358=A1357,IFERROR(IF(B1358=EDATE(B1357,1),C1357,0),0),0)</x:f>
        <x:v>1</x:v>
      </x:c>
      <x:c r="K1358" t="n">
        <x:f>IF(AND(J1358=1,C1358=0),1,0)</x:f>
        <x:v>0</x:v>
      </x:c>
      <x:c r="L1358" t="str">
        <x:f>IFERROR(INDEX(Customers!$C$2:$C$451,MATCH(A1358,Customers!$A$2:$A$451,0)),"Unknown")</x:f>
        <x:v>Standard</x:v>
      </x:c>
    </x:row>
    <x:row r="1359">
      <x:c r="A1359" t="n">
        <x:v>249</x:v>
      </x:c>
      <x:c r="B1359" s="16" t="n">
        <x:v>46174</x:v>
      </x:c>
      <x:c r="C1359" t="n">
        <x:v>1</x:v>
      </x:c>
      <x:c r="D1359" t="n">
        <x:v>10</x:v>
      </x:c>
      <x:c r="E1359" s="18" t="n">
        <x:v>1199.57</x:v>
      </x:c>
      <x:c r="F1359" s="18" t="n">
        <x:v>0</x:v>
      </x:c>
      <x:c r="G1359" s="18" t="n">
        <x:v>5.4</x:v>
      </x:c>
      <x:c r="H1359" s="18" t="n">
        <x:v>2.61</x:v>
      </x:c>
      <x:c r="I1359" s="18" t="n">
        <x:v>8.01</x:v>
      </x:c>
      <x:c r="J1359" t="n">
        <x:f>IF(A1359=A1358,IFERROR(IF(B1359=EDATE(B1358,1),C1358,0),0),0)</x:f>
        <x:v>1</x:v>
      </x:c>
      <x:c r="K1359" t="n">
        <x:f>IF(AND(J1359=1,C1359=0),1,0)</x:f>
        <x:v>0</x:v>
      </x:c>
      <x:c r="L1359" t="str">
        <x:f>IFERROR(INDEX(Customers!$C$2:$C$451,MATCH(A1359,Customers!$A$2:$A$451,0)),"Unknown")</x:f>
        <x:v>Standard</x:v>
      </x:c>
    </x:row>
    <x:row r="1360">
      <x:c r="A1360" t="n">
        <x:v>249</x:v>
      </x:c>
      <x:c r="B1360" s="16" t="n">
        <x:v>46204</x:v>
      </x:c>
      <x:c r="C1360" t="n">
        <x:v>1</x:v>
      </x:c>
      <x:c r="D1360" t="n">
        <x:v>22</x:v>
      </x:c>
      <x:c r="E1360" s="18" t="n">
        <x:v>1789.21</x:v>
      </x:c>
      <x:c r="F1360" s="18" t="n">
        <x:v>0</x:v>
      </x:c>
      <x:c r="G1360" s="18" t="n">
        <x:v>8.05</x:v>
      </x:c>
      <x:c r="H1360" s="18" t="n">
        <x:v>6.71</x:v>
      </x:c>
      <x:c r="I1360" s="18" t="n">
        <x:v>14.76</x:v>
      </x:c>
      <x:c r="J1360" t="n">
        <x:f>IF(A1360=A1359,IFERROR(IF(B1360=EDATE(B1359,1),C1359,0),0),0)</x:f>
        <x:v>1</x:v>
      </x:c>
      <x:c r="K1360" t="n">
        <x:f>IF(AND(J1360=1,C1360=0),1,0)</x:f>
        <x:v>0</x:v>
      </x:c>
      <x:c r="L1360" t="str">
        <x:f>IFERROR(INDEX(Customers!$C$2:$C$451,MATCH(A1360,Customers!$A$2:$A$451,0)),"Unknown")</x:f>
        <x:v>Standard</x:v>
      </x:c>
    </x:row>
    <x:row r="1361">
      <x:c r="A1361" t="n">
        <x:v>249</x:v>
      </x:c>
      <x:c r="B1361" s="16" t="n">
        <x:v>46235</x:v>
      </x:c>
      <x:c r="C1361" t="n">
        <x:v>0</x:v>
      </x:c>
      <x:c r="D1361" t="n">
        <x:v>0</x:v>
      </x:c>
      <x:c r="E1361" s="18" t="n">
        <x:v>0</x:v>
      </x:c>
      <x:c r="F1361" s="18" t="n">
        <x:v>0</x:v>
      </x:c>
      <x:c r="G1361" s="18" t="n">
        <x:v>0</x:v>
      </x:c>
      <x:c r="H1361" s="18" t="n">
        <x:v>0</x:v>
      </x:c>
      <x:c r="I1361" s="18" t="n">
        <x:v>0</x:v>
      </x:c>
      <x:c r="J1361" t="n">
        <x:f>IF(A1361=A1360,IFERROR(IF(B1361=EDATE(B1360,1),C1360,0),0),0)</x:f>
        <x:v>1</x:v>
      </x:c>
      <x:c r="K1361" t="n">
        <x:f>IF(AND(J1361=1,C1361=0),1,0)</x:f>
        <x:v>1</x:v>
      </x:c>
      <x:c r="L1361" t="str">
        <x:f>IFERROR(INDEX(Customers!$C$2:$C$451,MATCH(A1361,Customers!$A$2:$A$451,0)),"Unknown")</x:f>
        <x:v>Standard</x:v>
      </x:c>
    </x:row>
    <x:row r="1362">
      <x:c r="A1362" t="n">
        <x:v>249</x:v>
      </x:c>
      <x:c r="B1362" s="16" t="n">
        <x:v>46266</x:v>
      </x:c>
      <x:c r="C1362" t="n">
        <x:v>1</x:v>
      </x:c>
      <x:c r="D1362" t="n">
        <x:v>5</x:v>
      </x:c>
      <x:c r="E1362" s="18" t="n">
        <x:v>288.06</x:v>
      </x:c>
      <x:c r="F1362" s="18" t="n">
        <x:v>0</x:v>
      </x:c>
      <x:c r="G1362" s="18" t="n">
        <x:v>1.3</x:v>
      </x:c>
      <x:c r="H1362" s="18" t="n">
        <x:v>0.42</x:v>
      </x:c>
      <x:c r="I1362" s="18" t="n">
        <x:v>1.72</x:v>
      </x:c>
      <x:c r="J1362" t="n">
        <x:f>IF(A1362=A1361,IFERROR(IF(B1362=EDATE(B1361,1),C1361,0),0),0)</x:f>
        <x:v>0</x:v>
      </x:c>
      <x:c r="K1362" t="n">
        <x:f>IF(AND(J1362=1,C1362=0),1,0)</x:f>
        <x:v>0</x:v>
      </x:c>
      <x:c r="L1362" t="str">
        <x:f>IFERROR(INDEX(Customers!$C$2:$C$451,MATCH(A1362,Customers!$A$2:$A$451,0)),"Unknown")</x:f>
        <x:v>Standard</x:v>
      </x:c>
    </x:row>
    <x:row r="1363">
      <x:c r="A1363" t="n">
        <x:v>250</x:v>
      </x:c>
      <x:c r="B1363" s="16" t="n">
        <x:v>46113</x:v>
      </x:c>
      <x:c r="C1363" t="n">
        <x:v>0</x:v>
      </x:c>
      <x:c r="D1363" t="n">
        <x:v>0</x:v>
      </x:c>
      <x:c r="E1363" s="18" t="n">
        <x:v>0</x:v>
      </x:c>
      <x:c r="F1363" s="18" t="n">
        <x:v>0</x:v>
      </x:c>
      <x:c r="G1363" s="18" t="n">
        <x:v>0</x:v>
      </x:c>
      <x:c r="H1363" s="18" t="n">
        <x:v>0</x:v>
      </x:c>
      <x:c r="I1363" s="18" t="n">
        <x:v>0</x:v>
      </x:c>
      <x:c r="J1363" t="n">
        <x:f>IF(A1363=A1362,IFERROR(IF(B1363=EDATE(B1362,1),C1362,0),0),0)</x:f>
        <x:v>0</x:v>
      </x:c>
      <x:c r="K1363" t="n">
        <x:f>IF(AND(J1363=1,C1363=0),1,0)</x:f>
        <x:v>0</x:v>
      </x:c>
      <x:c r="L1363" t="str">
        <x:f>IFERROR(INDEX(Customers!$C$2:$C$451,MATCH(A1363,Customers!$A$2:$A$451,0)),"Unknown")</x:f>
        <x:v>Premium</x:v>
      </x:c>
    </x:row>
    <x:row r="1364">
      <x:c r="A1364" t="n">
        <x:v>250</x:v>
      </x:c>
      <x:c r="B1364" s="16" t="n">
        <x:v>46143</x:v>
      </x:c>
      <x:c r="C1364" t="n">
        <x:v>0</x:v>
      </x:c>
      <x:c r="D1364" t="n">
        <x:v>0</x:v>
      </x:c>
      <x:c r="E1364" s="18" t="n">
        <x:v>0</x:v>
      </x:c>
      <x:c r="F1364" s="18" t="n">
        <x:v>0</x:v>
      </x:c>
      <x:c r="G1364" s="18" t="n">
        <x:v>0</x:v>
      </x:c>
      <x:c r="H1364" s="18" t="n">
        <x:v>0</x:v>
      </x:c>
      <x:c r="I1364" s="18" t="n">
        <x:v>0</x:v>
      </x:c>
      <x:c r="J1364" t="n">
        <x:f>IF(A1364=A1363,IFERROR(IF(B1364=EDATE(B1363,1),C1363,0),0),0)</x:f>
        <x:v>0</x:v>
      </x:c>
      <x:c r="K1364" t="n">
        <x:f>IF(AND(J1364=1,C1364=0),1,0)</x:f>
        <x:v>0</x:v>
      </x:c>
      <x:c r="L1364" t="str">
        <x:f>IFERROR(INDEX(Customers!$C$2:$C$451,MATCH(A1364,Customers!$A$2:$A$451,0)),"Unknown")</x:f>
        <x:v>Premium</x:v>
      </x:c>
    </x:row>
    <x:row r="1365">
      <x:c r="A1365" t="n">
        <x:v>250</x:v>
      </x:c>
      <x:c r="B1365" s="16" t="n">
        <x:v>46174</x:v>
      </x:c>
      <x:c r="C1365" t="n">
        <x:v>1</x:v>
      </x:c>
      <x:c r="D1365" t="n">
        <x:v>31</x:v>
      </x:c>
      <x:c r="E1365" s="18" t="n">
        <x:v>3172.56</x:v>
      </x:c>
      <x:c r="F1365" s="18" t="n">
        <x:v>17</x:v>
      </x:c>
      <x:c r="G1365" s="18" t="n">
        <x:v>14.28</x:v>
      </x:c>
      <x:c r="H1365" s="18" t="n">
        <x:v>6.62</x:v>
      </x:c>
      <x:c r="I1365" s="18" t="n">
        <x:v>37.9</x:v>
      </x:c>
      <x:c r="J1365" t="n">
        <x:f>IF(A1365=A1364,IFERROR(IF(B1365=EDATE(B1364,1),C1364,0),0),0)</x:f>
        <x:v>0</x:v>
      </x:c>
      <x:c r="K1365" t="n">
        <x:f>IF(AND(J1365=1,C1365=0),1,0)</x:f>
        <x:v>0</x:v>
      </x:c>
      <x:c r="L1365" t="str">
        <x:f>IFERROR(INDEX(Customers!$C$2:$C$451,MATCH(A1365,Customers!$A$2:$A$451,0)),"Unknown")</x:f>
        <x:v>Premium</x:v>
      </x:c>
    </x:row>
    <x:row r="1366">
      <x:c r="A1366" t="n">
        <x:v>250</x:v>
      </x:c>
      <x:c r="B1366" s="16" t="n">
        <x:v>46204</x:v>
      </x:c>
      <x:c r="C1366" t="n">
        <x:v>1</x:v>
      </x:c>
      <x:c r="D1366" t="n">
        <x:v>8</x:v>
      </x:c>
      <x:c r="E1366" s="18" t="n">
        <x:v>763.46</x:v>
      </x:c>
      <x:c r="F1366" s="18" t="n">
        <x:v>17</x:v>
      </x:c>
      <x:c r="G1366" s="18" t="n">
        <x:v>3.44</x:v>
      </x:c>
      <x:c r="H1366" s="18" t="n">
        <x:v>0.91</x:v>
      </x:c>
      <x:c r="I1366" s="18" t="n">
        <x:v>21.35</x:v>
      </x:c>
      <x:c r="J1366" t="n">
        <x:f>IF(A1366=A1365,IFERROR(IF(B1366=EDATE(B1365,1),C1365,0),0),0)</x:f>
        <x:v>1</x:v>
      </x:c>
      <x:c r="K1366" t="n">
        <x:f>IF(AND(J1366=1,C1366=0),1,0)</x:f>
        <x:v>0</x:v>
      </x:c>
      <x:c r="L1366" t="str">
        <x:f>IFERROR(INDEX(Customers!$C$2:$C$451,MATCH(A1366,Customers!$A$2:$A$451,0)),"Unknown")</x:f>
        <x:v>Premium</x:v>
      </x:c>
    </x:row>
    <x:row r="1367">
      <x:c r="A1367" t="n">
        <x:v>250</x:v>
      </x:c>
      <x:c r="B1367" s="16" t="n">
        <x:v>46235</x:v>
      </x:c>
      <x:c r="C1367" t="n">
        <x:v>1</x:v>
      </x:c>
      <x:c r="D1367" t="n">
        <x:v>33</x:v>
      </x:c>
      <x:c r="E1367" s="18" t="n">
        <x:v>3387.08</x:v>
      </x:c>
      <x:c r="F1367" s="18" t="n">
        <x:v>17</x:v>
      </x:c>
      <x:c r="G1367" s="18" t="n">
        <x:v>15.24</x:v>
      </x:c>
      <x:c r="H1367" s="18" t="n">
        <x:v>8.27</x:v>
      </x:c>
      <x:c r="I1367" s="18" t="n">
        <x:v>40.51</x:v>
      </x:c>
      <x:c r="J1367" t="n">
        <x:f>IF(A1367=A1366,IFERROR(IF(B1367=EDATE(B1366,1),C1366,0),0),0)</x:f>
        <x:v>1</x:v>
      </x:c>
      <x:c r="K1367" t="n">
        <x:f>IF(AND(J1367=1,C1367=0),1,0)</x:f>
        <x:v>0</x:v>
      </x:c>
      <x:c r="L1367" t="str">
        <x:f>IFERROR(INDEX(Customers!$C$2:$C$451,MATCH(A1367,Customers!$A$2:$A$451,0)),"Unknown")</x:f>
        <x:v>Premium</x:v>
      </x:c>
    </x:row>
    <x:row r="1368">
      <x:c r="A1368" t="n">
        <x:v>250</x:v>
      </x:c>
      <x:c r="B1368" s="16" t="n">
        <x:v>46266</x:v>
      </x:c>
      <x:c r="C1368" t="n">
        <x:v>0</x:v>
      </x:c>
      <x:c r="D1368" t="n">
        <x:v>0</x:v>
      </x:c>
      <x:c r="E1368" s="18" t="n">
        <x:v>0</x:v>
      </x:c>
      <x:c r="F1368" s="18" t="n">
        <x:v>0</x:v>
      </x:c>
      <x:c r="G1368" s="18" t="n">
        <x:v>0</x:v>
      </x:c>
      <x:c r="H1368" s="18" t="n">
        <x:v>0</x:v>
      </x:c>
      <x:c r="I1368" s="18" t="n">
        <x:v>0</x:v>
      </x:c>
      <x:c r="J1368" t="n">
        <x:f>IF(A1368=A1367,IFERROR(IF(B1368=EDATE(B1367,1),C1367,0),0),0)</x:f>
        <x:v>1</x:v>
      </x:c>
      <x:c r="K1368" t="n">
        <x:f>IF(AND(J1368=1,C1368=0),1,0)</x:f>
        <x:v>1</x:v>
      </x:c>
      <x:c r="L1368" t="str">
        <x:f>IFERROR(INDEX(Customers!$C$2:$C$451,MATCH(A1368,Customers!$A$2:$A$451,0)),"Unknown")</x:f>
        <x:v>Premium</x:v>
      </x:c>
    </x:row>
    <x:row r="1369">
      <x:c r="A1369" t="n">
        <x:v>251</x:v>
      </x:c>
      <x:c r="B1369" s="16" t="n">
        <x:v>46113</x:v>
      </x:c>
      <x:c r="C1369" t="n">
        <x:v>1</x:v>
      </x:c>
      <x:c r="D1369" t="n">
        <x:v>14</x:v>
      </x:c>
      <x:c r="E1369" s="18" t="n">
        <x:v>989.69</x:v>
      </x:c>
      <x:c r="F1369" s="18" t="n">
        <x:v>0</x:v>
      </x:c>
      <x:c r="G1369" s="18" t="n">
        <x:v>4.45</x:v>
      </x:c>
      <x:c r="H1369" s="18" t="n">
        <x:v>1.49</x:v>
      </x:c>
      <x:c r="I1369" s="18" t="n">
        <x:v>5.94</x:v>
      </x:c>
      <x:c r="J1369" t="n">
        <x:f>IF(A1369=A1368,IFERROR(IF(B1369=EDATE(B1368,1),C1368,0),0),0)</x:f>
        <x:v>0</x:v>
      </x:c>
      <x:c r="K1369" t="n">
        <x:f>IF(AND(J1369=1,C1369=0),1,0)</x:f>
        <x:v>0</x:v>
      </x:c>
      <x:c r="L1369" t="str">
        <x:f>IFERROR(INDEX(Customers!$C$2:$C$451,MATCH(A1369,Customers!$A$2:$A$451,0)),"Unknown")</x:f>
        <x:v>Standard</x:v>
      </x:c>
    </x:row>
    <x:row r="1370">
      <x:c r="A1370" t="n">
        <x:v>251</x:v>
      </x:c>
      <x:c r="B1370" s="16" t="n">
        <x:v>46143</x:v>
      </x:c>
      <x:c r="C1370" t="n">
        <x:v>1</x:v>
      </x:c>
      <x:c r="D1370" t="n">
        <x:v>29</x:v>
      </x:c>
      <x:c r="E1370" s="18" t="n">
        <x:v>3112.59</x:v>
      </x:c>
      <x:c r="F1370" s="18" t="n">
        <x:v>0</x:v>
      </x:c>
      <x:c r="G1370" s="18" t="n">
        <x:v>14.01</x:v>
      </x:c>
      <x:c r="H1370" s="18" t="n">
        <x:v>8.93</x:v>
      </x:c>
      <x:c r="I1370" s="18" t="n">
        <x:v>22.94</x:v>
      </x:c>
      <x:c r="J1370" t="n">
        <x:f>IF(A1370=A1369,IFERROR(IF(B1370=EDATE(B1369,1),C1369,0),0),0)</x:f>
        <x:v>1</x:v>
      </x:c>
      <x:c r="K1370" t="n">
        <x:f>IF(AND(J1370=1,C1370=0),1,0)</x:f>
        <x:v>0</x:v>
      </x:c>
      <x:c r="L1370" t="str">
        <x:f>IFERROR(INDEX(Customers!$C$2:$C$451,MATCH(A1370,Customers!$A$2:$A$451,0)),"Unknown")</x:f>
        <x:v>Standard</x:v>
      </x:c>
    </x:row>
    <x:row r="1371">
      <x:c r="A1371" t="n">
        <x:v>251</x:v>
      </x:c>
      <x:c r="B1371" s="16" t="n">
        <x:v>46174</x:v>
      </x:c>
      <x:c r="C1371" t="n">
        <x:v>1</x:v>
      </x:c>
      <x:c r="D1371" t="n">
        <x:v>7</x:v>
      </x:c>
      <x:c r="E1371" s="18" t="n">
        <x:v>946.93</x:v>
      </x:c>
      <x:c r="F1371" s="18" t="n">
        <x:v>0</x:v>
      </x:c>
      <x:c r="G1371" s="18" t="n">
        <x:v>4.26</x:v>
      </x:c>
      <x:c r="H1371" s="18" t="n">
        <x:v>3.02</x:v>
      </x:c>
      <x:c r="I1371" s="18" t="n">
        <x:v>7.28</x:v>
      </x:c>
      <x:c r="J1371" t="n">
        <x:f>IF(A1371=A1370,IFERROR(IF(B1371=EDATE(B1370,1),C1370,0),0),0)</x:f>
        <x:v>1</x:v>
      </x:c>
      <x:c r="K1371" t="n">
        <x:f>IF(AND(J1371=1,C1371=0),1,0)</x:f>
        <x:v>0</x:v>
      </x:c>
      <x:c r="L1371" t="str">
        <x:f>IFERROR(INDEX(Customers!$C$2:$C$451,MATCH(A1371,Customers!$A$2:$A$451,0)),"Unknown")</x:f>
        <x:v>Standard</x:v>
      </x:c>
    </x:row>
    <x:row r="1372">
      <x:c r="A1372" t="n">
        <x:v>251</x:v>
      </x:c>
      <x:c r="B1372" s="16" t="n">
        <x:v>46204</x:v>
      </x:c>
      <x:c r="C1372" t="n">
        <x:v>1</x:v>
      </x:c>
      <x:c r="D1372" t="n">
        <x:v>31</x:v>
      </x:c>
      <x:c r="E1372" s="18" t="n">
        <x:v>2833.17</x:v>
      </x:c>
      <x:c r="F1372" s="18" t="n">
        <x:v>0</x:v>
      </x:c>
      <x:c r="G1372" s="18" t="n">
        <x:v>12.75</x:v>
      </x:c>
      <x:c r="H1372" s="18" t="n">
        <x:v>8.57</x:v>
      </x:c>
      <x:c r="I1372" s="18" t="n">
        <x:v>21.32</x:v>
      </x:c>
      <x:c r="J1372" t="n">
        <x:f>IF(A1372=A1371,IFERROR(IF(B1372=EDATE(B1371,1),C1371,0),0),0)</x:f>
        <x:v>1</x:v>
      </x:c>
      <x:c r="K1372" t="n">
        <x:f>IF(AND(J1372=1,C1372=0),1,0)</x:f>
        <x:v>0</x:v>
      </x:c>
      <x:c r="L1372" t="str">
        <x:f>IFERROR(INDEX(Customers!$C$2:$C$451,MATCH(A1372,Customers!$A$2:$A$451,0)),"Unknown")</x:f>
        <x:v>Standard</x:v>
      </x:c>
    </x:row>
    <x:row r="1373">
      <x:c r="A1373" t="n">
        <x:v>251</x:v>
      </x:c>
      <x:c r="B1373" s="16" t="n">
        <x:v>46235</x:v>
      </x:c>
      <x:c r="C1373" t="n">
        <x:v>1</x:v>
      </x:c>
      <x:c r="D1373" t="n">
        <x:v>35</x:v>
      </x:c>
      <x:c r="E1373" s="18" t="n">
        <x:v>3427.02</x:v>
      </x:c>
      <x:c r="F1373" s="18" t="n">
        <x:v>0</x:v>
      </x:c>
      <x:c r="G1373" s="18" t="n">
        <x:v>15.42</x:v>
      </x:c>
      <x:c r="H1373" s="18" t="n">
        <x:v>6.22</x:v>
      </x:c>
      <x:c r="I1373" s="18" t="n">
        <x:v>21.64</x:v>
      </x:c>
      <x:c r="J1373" t="n">
        <x:f>IF(A1373=A1372,IFERROR(IF(B1373=EDATE(B1372,1),C1372,0),0),0)</x:f>
        <x:v>1</x:v>
      </x:c>
      <x:c r="K1373" t="n">
        <x:f>IF(AND(J1373=1,C1373=0),1,0)</x:f>
        <x:v>0</x:v>
      </x:c>
      <x:c r="L1373" t="str">
        <x:f>IFERROR(INDEX(Customers!$C$2:$C$451,MATCH(A1373,Customers!$A$2:$A$451,0)),"Unknown")</x:f>
        <x:v>Standard</x:v>
      </x:c>
    </x:row>
    <x:row r="1374">
      <x:c r="A1374" t="n">
        <x:v>251</x:v>
      </x:c>
      <x:c r="B1374" s="16" t="n">
        <x:v>46266</x:v>
      </x:c>
      <x:c r="C1374" t="n">
        <x:v>1</x:v>
      </x:c>
      <x:c r="D1374" t="n">
        <x:v>22</x:v>
      </x:c>
      <x:c r="E1374" s="18" t="n">
        <x:v>2070.57</x:v>
      </x:c>
      <x:c r="F1374" s="18" t="n">
        <x:v>0</x:v>
      </x:c>
      <x:c r="G1374" s="18" t="n">
        <x:v>9.32</x:v>
      </x:c>
      <x:c r="H1374" s="18" t="n">
        <x:v>5.88</x:v>
      </x:c>
      <x:c r="I1374" s="18" t="n">
        <x:v>15.2</x:v>
      </x:c>
      <x:c r="J1374" t="n">
        <x:f>IF(A1374=A1373,IFERROR(IF(B1374=EDATE(B1373,1),C1373,0),0),0)</x:f>
        <x:v>1</x:v>
      </x:c>
      <x:c r="K1374" t="n">
        <x:f>IF(AND(J1374=1,C1374=0),1,0)</x:f>
        <x:v>0</x:v>
      </x:c>
      <x:c r="L1374" t="str">
        <x:f>IFERROR(INDEX(Customers!$C$2:$C$451,MATCH(A1374,Customers!$A$2:$A$451,0)),"Unknown")</x:f>
        <x:v>Standard</x:v>
      </x:c>
    </x:row>
    <x:row r="1375">
      <x:c r="A1375" t="n">
        <x:v>252</x:v>
      </x:c>
      <x:c r="B1375" s="16" t="n">
        <x:v>46143</x:v>
      </x:c>
      <x:c r="C1375" t="n">
        <x:v>1</x:v>
      </x:c>
      <x:c r="D1375" t="n">
        <x:v>30</x:v>
      </x:c>
      <x:c r="E1375" s="18" t="n">
        <x:v>3506.45</x:v>
      </x:c>
      <x:c r="F1375" s="18" t="n">
        <x:v>0</x:v>
      </x:c>
      <x:c r="G1375" s="18" t="n">
        <x:v>15.78</x:v>
      </x:c>
      <x:c r="H1375" s="18" t="n">
        <x:v>12.27</x:v>
      </x:c>
      <x:c r="I1375" s="18" t="n">
        <x:v>28.05</x:v>
      </x:c>
      <x:c r="J1375" t="n">
        <x:f>IF(A1375=A1374,IFERROR(IF(B1375=EDATE(B1374,1),C1374,0),0),0)</x:f>
        <x:v>0</x:v>
      </x:c>
      <x:c r="K1375" t="n">
        <x:f>IF(AND(J1375=1,C1375=0),1,0)</x:f>
        <x:v>0</x:v>
      </x:c>
      <x:c r="L1375" t="str">
        <x:f>IFERROR(INDEX(Customers!$C$2:$C$451,MATCH(A1375,Customers!$A$2:$A$451,0)),"Unknown")</x:f>
        <x:v>Standard</x:v>
      </x:c>
    </x:row>
    <x:row r="1376">
      <x:c r="A1376" t="n">
        <x:v>252</x:v>
      </x:c>
      <x:c r="B1376" s="16" t="n">
        <x:v>46174</x:v>
      </x:c>
      <x:c r="C1376" t="n">
        <x:v>1</x:v>
      </x:c>
      <x:c r="D1376" t="n">
        <x:v>8</x:v>
      </x:c>
      <x:c r="E1376" s="18" t="n">
        <x:v>465.62</x:v>
      </x:c>
      <x:c r="F1376" s="18" t="n">
        <x:v>0</x:v>
      </x:c>
      <x:c r="G1376" s="18" t="n">
        <x:v>2.1</x:v>
      </x:c>
      <x:c r="H1376" s="18" t="n">
        <x:v>0.52</x:v>
      </x:c>
      <x:c r="I1376" s="18" t="n">
        <x:v>2.62</x:v>
      </x:c>
      <x:c r="J1376" t="n">
        <x:f>IF(A1376=A1375,IFERROR(IF(B1376=EDATE(B1375,1),C1375,0),0),0)</x:f>
        <x:v>1</x:v>
      </x:c>
      <x:c r="K1376" t="n">
        <x:f>IF(AND(J1376=1,C1376=0),1,0)</x:f>
        <x:v>0</x:v>
      </x:c>
      <x:c r="L1376" t="str">
        <x:f>IFERROR(INDEX(Customers!$C$2:$C$451,MATCH(A1376,Customers!$A$2:$A$451,0)),"Unknown")</x:f>
        <x:v>Standard</x:v>
      </x:c>
    </x:row>
    <x:row r="1377">
      <x:c r="A1377" t="n">
        <x:v>252</x:v>
      </x:c>
      <x:c r="B1377" s="16" t="n">
        <x:v>46204</x:v>
      </x:c>
      <x:c r="C1377" t="n">
        <x:v>1</x:v>
      </x:c>
      <x:c r="D1377" t="n">
        <x:v>8</x:v>
      </x:c>
      <x:c r="E1377" s="18" t="n">
        <x:v>636.16</x:v>
      </x:c>
      <x:c r="F1377" s="18" t="n">
        <x:v>0</x:v>
      </x:c>
      <x:c r="G1377" s="18" t="n">
        <x:v>2.86</x:v>
      </x:c>
      <x:c r="H1377" s="18" t="n">
        <x:v>0.7</x:v>
      </x:c>
      <x:c r="I1377" s="18" t="n">
        <x:v>3.56</x:v>
      </x:c>
      <x:c r="J1377" t="n">
        <x:f>IF(A1377=A1376,IFERROR(IF(B1377=EDATE(B1376,1),C1376,0),0),0)</x:f>
        <x:v>1</x:v>
      </x:c>
      <x:c r="K1377" t="n">
        <x:f>IF(AND(J1377=1,C1377=0),1,0)</x:f>
        <x:v>0</x:v>
      </x:c>
      <x:c r="L1377" t="str">
        <x:f>IFERROR(INDEX(Customers!$C$2:$C$451,MATCH(A1377,Customers!$A$2:$A$451,0)),"Unknown")</x:f>
        <x:v>Standard</x:v>
      </x:c>
    </x:row>
    <x:row r="1378">
      <x:c r="A1378" t="n">
        <x:v>252</x:v>
      </x:c>
      <x:c r="B1378" s="16" t="n">
        <x:v>46235</x:v>
      </x:c>
      <x:c r="C1378" t="n">
        <x:v>1</x:v>
      </x:c>
      <x:c r="D1378" t="n">
        <x:v>30</x:v>
      </x:c>
      <x:c r="E1378" s="18" t="n">
        <x:v>1702.39</x:v>
      </x:c>
      <x:c r="F1378" s="18" t="n">
        <x:v>0</x:v>
      </x:c>
      <x:c r="G1378" s="18" t="n">
        <x:v>7.66</x:v>
      </x:c>
      <x:c r="H1378" s="18" t="n">
        <x:v>5.17</x:v>
      </x:c>
      <x:c r="I1378" s="18" t="n">
        <x:v>12.83</x:v>
      </x:c>
      <x:c r="J1378" t="n">
        <x:f>IF(A1378=A1377,IFERROR(IF(B1378=EDATE(B1377,1),C1377,0),0),0)</x:f>
        <x:v>1</x:v>
      </x:c>
      <x:c r="K1378" t="n">
        <x:f>IF(AND(J1378=1,C1378=0),1,0)</x:f>
        <x:v>0</x:v>
      </x:c>
      <x:c r="L1378" t="str">
        <x:f>IFERROR(INDEX(Customers!$C$2:$C$451,MATCH(A1378,Customers!$A$2:$A$451,0)),"Unknown")</x:f>
        <x:v>Standard</x:v>
      </x:c>
    </x:row>
    <x:row r="1379">
      <x:c r="A1379" t="n">
        <x:v>252</x:v>
      </x:c>
      <x:c r="B1379" s="16" t="n">
        <x:v>46266</x:v>
      </x:c>
      <x:c r="C1379" t="n">
        <x:v>1</x:v>
      </x:c>
      <x:c r="D1379" t="n">
        <x:v>10</x:v>
      </x:c>
      <x:c r="E1379" s="18" t="n">
        <x:v>1346.4</x:v>
      </x:c>
      <x:c r="F1379" s="18" t="n">
        <x:v>0</x:v>
      </x:c>
      <x:c r="G1379" s="18" t="n">
        <x:v>6.06</x:v>
      </x:c>
      <x:c r="H1379" s="18" t="n">
        <x:v>2.9</x:v>
      </x:c>
      <x:c r="I1379" s="18" t="n">
        <x:v>8.96</x:v>
      </x:c>
      <x:c r="J1379" t="n">
        <x:f>IF(A1379=A1378,IFERROR(IF(B1379=EDATE(B1378,1),C1378,0),0),0)</x:f>
        <x:v>1</x:v>
      </x:c>
      <x:c r="K1379" t="n">
        <x:f>IF(AND(J1379=1,C1379=0),1,0)</x:f>
        <x:v>0</x:v>
      </x:c>
      <x:c r="L1379" t="str">
        <x:f>IFERROR(INDEX(Customers!$C$2:$C$451,MATCH(A1379,Customers!$A$2:$A$451,0)),"Unknown")</x:f>
        <x:v>Standard</x:v>
      </x:c>
    </x:row>
    <x:row r="1380">
      <x:c r="A1380" t="n">
        <x:v>253</x:v>
      </x:c>
      <x:c r="B1380" s="16" t="n">
        <x:v>46143</x:v>
      </x:c>
      <x:c r="C1380" t="n">
        <x:v>0</x:v>
      </x:c>
      <x:c r="D1380" t="n">
        <x:v>0</x:v>
      </x:c>
      <x:c r="E1380" s="18" t="n">
        <x:v>0</x:v>
      </x:c>
      <x:c r="F1380" s="18" t="n">
        <x:v>0</x:v>
      </x:c>
      <x:c r="G1380" s="18" t="n">
        <x:v>0</x:v>
      </x:c>
      <x:c r="H1380" s="18" t="n">
        <x:v>0</x:v>
      </x:c>
      <x:c r="I1380" s="18" t="n">
        <x:v>0</x:v>
      </x:c>
      <x:c r="J1380" t="n">
        <x:f>IF(A1380=A1379,IFERROR(IF(B1380=EDATE(B1379,1),C1379,0),0),0)</x:f>
        <x:v>0</x:v>
      </x:c>
      <x:c r="K1380" t="n">
        <x:f>IF(AND(J1380=1,C1380=0),1,0)</x:f>
        <x:v>0</x:v>
      </x:c>
      <x:c r="L1380" t="str">
        <x:f>IFERROR(INDEX(Customers!$C$2:$C$451,MATCH(A1380,Customers!$A$2:$A$451,0)),"Unknown")</x:f>
        <x:v>Standard</x:v>
      </x:c>
    </x:row>
    <x:row r="1381">
      <x:c r="A1381" t="n">
        <x:v>253</x:v>
      </x:c>
      <x:c r="B1381" s="16" t="n">
        <x:v>46174</x:v>
      </x:c>
      <x:c r="C1381" t="n">
        <x:v>1</x:v>
      </x:c>
      <x:c r="D1381" t="n">
        <x:v>17</x:v>
      </x:c>
      <x:c r="E1381" s="18" t="n">
        <x:v>1987.99</x:v>
      </x:c>
      <x:c r="F1381" s="18" t="n">
        <x:v>0</x:v>
      </x:c>
      <x:c r="G1381" s="18" t="n">
        <x:v>8.95</x:v>
      </x:c>
      <x:c r="H1381" s="18" t="n">
        <x:v>6.51</x:v>
      </x:c>
      <x:c r="I1381" s="18" t="n">
        <x:v>15.46</x:v>
      </x:c>
      <x:c r="J1381" t="n">
        <x:f>IF(A1381=A1380,IFERROR(IF(B1381=EDATE(B1380,1),C1380,0),0),0)</x:f>
        <x:v>0</x:v>
      </x:c>
      <x:c r="K1381" t="n">
        <x:f>IF(AND(J1381=1,C1381=0),1,0)</x:f>
        <x:v>0</x:v>
      </x:c>
      <x:c r="L1381" t="str">
        <x:f>IFERROR(INDEX(Customers!$C$2:$C$451,MATCH(A1381,Customers!$A$2:$A$451,0)),"Unknown")</x:f>
        <x:v>Standard</x:v>
      </x:c>
    </x:row>
    <x:row r="1382">
      <x:c r="A1382" t="n">
        <x:v>253</x:v>
      </x:c>
      <x:c r="B1382" s="16" t="n">
        <x:v>46204</x:v>
      </x:c>
      <x:c r="C1382" t="n">
        <x:v>0</x:v>
      </x:c>
      <x:c r="D1382" t="n">
        <x:v>0</x:v>
      </x:c>
      <x:c r="E1382" s="18" t="n">
        <x:v>0</x:v>
      </x:c>
      <x:c r="F1382" s="18" t="n">
        <x:v>0</x:v>
      </x:c>
      <x:c r="G1382" s="18" t="n">
        <x:v>0</x:v>
      </x:c>
      <x:c r="H1382" s="18" t="n">
        <x:v>0</x:v>
      </x:c>
      <x:c r="I1382" s="18" t="n">
        <x:v>0</x:v>
      </x:c>
      <x:c r="J1382" t="n">
        <x:f>IF(A1382=A1381,IFERROR(IF(B1382=EDATE(B1381,1),C1381,0),0),0)</x:f>
        <x:v>1</x:v>
      </x:c>
      <x:c r="K1382" t="n">
        <x:f>IF(AND(J1382=1,C1382=0),1,0)</x:f>
        <x:v>1</x:v>
      </x:c>
      <x:c r="L1382" t="str">
        <x:f>IFERROR(INDEX(Customers!$C$2:$C$451,MATCH(A1382,Customers!$A$2:$A$451,0)),"Unknown")</x:f>
        <x:v>Standard</x:v>
      </x:c>
    </x:row>
    <x:row r="1383">
      <x:c r="A1383" t="n">
        <x:v>253</x:v>
      </x:c>
      <x:c r="B1383" s="16" t="n">
        <x:v>46235</x:v>
      </x:c>
      <x:c r="C1383" t="n">
        <x:v>1</x:v>
      </x:c>
      <x:c r="D1383" t="n">
        <x:v>29</x:v>
      </x:c>
      <x:c r="E1383" s="18" t="n">
        <x:v>2276.37</x:v>
      </x:c>
      <x:c r="F1383" s="18" t="n">
        <x:v>0</x:v>
      </x:c>
      <x:c r="G1383" s="18" t="n">
        <x:v>10.24</x:v>
      </x:c>
      <x:c r="H1383" s="18" t="n">
        <x:v>7.01</x:v>
      </x:c>
      <x:c r="I1383" s="18" t="n">
        <x:v>17.25</x:v>
      </x:c>
      <x:c r="J1383" t="n">
        <x:f>IF(A1383=A1382,IFERROR(IF(B1383=EDATE(B1382,1),C1382,0),0),0)</x:f>
        <x:v>0</x:v>
      </x:c>
      <x:c r="K1383" t="n">
        <x:f>IF(AND(J1383=1,C1383=0),1,0)</x:f>
        <x:v>0</x:v>
      </x:c>
      <x:c r="L1383" t="str">
        <x:f>IFERROR(INDEX(Customers!$C$2:$C$451,MATCH(A1383,Customers!$A$2:$A$451,0)),"Unknown")</x:f>
        <x:v>Standard</x:v>
      </x:c>
    </x:row>
    <x:row r="1384">
      <x:c r="A1384" t="n">
        <x:v>253</x:v>
      </x:c>
      <x:c r="B1384" s="16" t="n">
        <x:v>46266</x:v>
      </x:c>
      <x:c r="C1384" t="n">
        <x:v>1</x:v>
      </x:c>
      <x:c r="D1384" t="n">
        <x:v>16</x:v>
      </x:c>
      <x:c r="E1384" s="18" t="n">
        <x:v>2126.28</x:v>
      </x:c>
      <x:c r="F1384" s="18" t="n">
        <x:v>0</x:v>
      </x:c>
      <x:c r="G1384" s="18" t="n">
        <x:v>9.57</x:v>
      </x:c>
      <x:c r="H1384" s="18" t="n">
        <x:v>4.53</x:v>
      </x:c>
      <x:c r="I1384" s="18" t="n">
        <x:v>14.1</x:v>
      </x:c>
      <x:c r="J1384" t="n">
        <x:f>IF(A1384=A1383,IFERROR(IF(B1384=EDATE(B1383,1),C1383,0),0),0)</x:f>
        <x:v>1</x:v>
      </x:c>
      <x:c r="K1384" t="n">
        <x:f>IF(AND(J1384=1,C1384=0),1,0)</x:f>
        <x:v>0</x:v>
      </x:c>
      <x:c r="L1384" t="str">
        <x:f>IFERROR(INDEX(Customers!$C$2:$C$451,MATCH(A1384,Customers!$A$2:$A$451,0)),"Unknown")</x:f>
        <x:v>Standard</x:v>
      </x:c>
    </x:row>
    <x:row r="1385">
      <x:c r="A1385" t="n">
        <x:v>254</x:v>
      </x:c>
      <x:c r="B1385" s="16" t="n">
        <x:v>46113</x:v>
      </x:c>
      <x:c r="C1385" t="n">
        <x:v>1</x:v>
      </x:c>
      <x:c r="D1385" t="n">
        <x:v>21</x:v>
      </x:c>
      <x:c r="E1385" s="18" t="n">
        <x:v>1280.96</x:v>
      </x:c>
      <x:c r="F1385" s="18" t="n">
        <x:v>17</x:v>
      </x:c>
      <x:c r="G1385" s="18" t="n">
        <x:v>5.76</x:v>
      </x:c>
      <x:c r="H1385" s="18" t="n">
        <x:v>4.67</x:v>
      </x:c>
      <x:c r="I1385" s="18" t="n">
        <x:v>27.43</x:v>
      </x:c>
      <x:c r="J1385" t="n">
        <x:f>IF(A1385=A1384,IFERROR(IF(B1385=EDATE(B1384,1),C1384,0),0),0)</x:f>
        <x:v>0</x:v>
      </x:c>
      <x:c r="K1385" t="n">
        <x:f>IF(AND(J1385=1,C1385=0),1,0)</x:f>
        <x:v>0</x:v>
      </x:c>
      <x:c r="L1385" t="str">
        <x:f>IFERROR(INDEX(Customers!$C$2:$C$451,MATCH(A1385,Customers!$A$2:$A$451,0)),"Unknown")</x:f>
        <x:v>Premium</x:v>
      </x:c>
    </x:row>
    <x:row r="1386">
      <x:c r="A1386" t="n">
        <x:v>254</x:v>
      </x:c>
      <x:c r="B1386" s="16" t="n">
        <x:v>46143</x:v>
      </x:c>
      <x:c r="C1386" t="n">
        <x:v>1</x:v>
      </x:c>
      <x:c r="D1386" t="n">
        <x:v>20</x:v>
      </x:c>
      <x:c r="E1386" s="18" t="n">
        <x:v>1427.78</x:v>
      </x:c>
      <x:c r="F1386" s="18" t="n">
        <x:v>17</x:v>
      </x:c>
      <x:c r="G1386" s="18" t="n">
        <x:v>6.43</x:v>
      </x:c>
      <x:c r="H1386" s="18" t="n">
        <x:v>3.53</x:v>
      </x:c>
      <x:c r="I1386" s="18" t="n">
        <x:v>26.96</x:v>
      </x:c>
      <x:c r="J1386" t="n">
        <x:f>IF(A1386=A1385,IFERROR(IF(B1386=EDATE(B1385,1),C1385,0),0),0)</x:f>
        <x:v>1</x:v>
      </x:c>
      <x:c r="K1386" t="n">
        <x:f>IF(AND(J1386=1,C1386=0),1,0)</x:f>
        <x:v>0</x:v>
      </x:c>
      <x:c r="L1386" t="str">
        <x:f>IFERROR(INDEX(Customers!$C$2:$C$451,MATCH(A1386,Customers!$A$2:$A$451,0)),"Unknown")</x:f>
        <x:v>Premium</x:v>
      </x:c>
    </x:row>
    <x:row r="1387">
      <x:c r="A1387" t="n">
        <x:v>254</x:v>
      </x:c>
      <x:c r="B1387" s="16" t="n">
        <x:v>46174</x:v>
      </x:c>
      <x:c r="C1387" t="n">
        <x:v>1</x:v>
      </x:c>
      <x:c r="D1387" t="n">
        <x:v>29</x:v>
      </x:c>
      <x:c r="E1387" s="18" t="n">
        <x:v>3761.76</x:v>
      </x:c>
      <x:c r="F1387" s="18" t="n">
        <x:v>17</x:v>
      </x:c>
      <x:c r="G1387" s="18" t="n">
        <x:v>16.93</x:v>
      </x:c>
      <x:c r="H1387" s="18" t="n">
        <x:v>8.98</x:v>
      </x:c>
      <x:c r="I1387" s="18" t="n">
        <x:v>42.91</x:v>
      </x:c>
      <x:c r="J1387" t="n">
        <x:f>IF(A1387=A1386,IFERROR(IF(B1387=EDATE(B1386,1),C1386,0),0),0)</x:f>
        <x:v>1</x:v>
      </x:c>
      <x:c r="K1387" t="n">
        <x:f>IF(AND(J1387=1,C1387=0),1,0)</x:f>
        <x:v>0</x:v>
      </x:c>
      <x:c r="L1387" t="str">
        <x:f>IFERROR(INDEX(Customers!$C$2:$C$451,MATCH(A1387,Customers!$A$2:$A$451,0)),"Unknown")</x:f>
        <x:v>Premium</x:v>
      </x:c>
    </x:row>
    <x:row r="1388">
      <x:c r="A1388" t="n">
        <x:v>254</x:v>
      </x:c>
      <x:c r="B1388" s="16" t="n">
        <x:v>46204</x:v>
      </x:c>
      <x:c r="C1388" t="n">
        <x:v>0</x:v>
      </x:c>
      <x:c r="D1388" t="n">
        <x:v>0</x:v>
      </x:c>
      <x:c r="E1388" s="18" t="n">
        <x:v>0</x:v>
      </x:c>
      <x:c r="F1388" s="18" t="n">
        <x:v>0</x:v>
      </x:c>
      <x:c r="G1388" s="18" t="n">
        <x:v>0</x:v>
      </x:c>
      <x:c r="H1388" s="18" t="n">
        <x:v>0</x:v>
      </x:c>
      <x:c r="I1388" s="18" t="n">
        <x:v>0</x:v>
      </x:c>
      <x:c r="J1388" t="n">
        <x:f>IF(A1388=A1387,IFERROR(IF(B1388=EDATE(B1387,1),C1387,0),0),0)</x:f>
        <x:v>1</x:v>
      </x:c>
      <x:c r="K1388" t="n">
        <x:f>IF(AND(J1388=1,C1388=0),1,0)</x:f>
        <x:v>1</x:v>
      </x:c>
      <x:c r="L1388" t="str">
        <x:f>IFERROR(INDEX(Customers!$C$2:$C$451,MATCH(A1388,Customers!$A$2:$A$451,0)),"Unknown")</x:f>
        <x:v>Premium</x:v>
      </x:c>
    </x:row>
    <x:row r="1389">
      <x:c r="A1389" t="n">
        <x:v>254</x:v>
      </x:c>
      <x:c r="B1389" s="16" t="n">
        <x:v>46235</x:v>
      </x:c>
      <x:c r="C1389" t="n">
        <x:v>1</x:v>
      </x:c>
      <x:c r="D1389" t="n">
        <x:v>32</x:v>
      </x:c>
      <x:c r="E1389" s="18" t="n">
        <x:v>3922.74</x:v>
      </x:c>
      <x:c r="F1389" s="18" t="n">
        <x:v>17</x:v>
      </x:c>
      <x:c r="G1389" s="18" t="n">
        <x:v>17.65</x:v>
      </x:c>
      <x:c r="H1389" s="18" t="n">
        <x:v>11.66</x:v>
      </x:c>
      <x:c r="I1389" s="18" t="n">
        <x:v>46.31</x:v>
      </x:c>
      <x:c r="J1389" t="n">
        <x:f>IF(A1389=A1388,IFERROR(IF(B1389=EDATE(B1388,1),C1388,0),0),0)</x:f>
        <x:v>0</x:v>
      </x:c>
      <x:c r="K1389" t="n">
        <x:f>IF(AND(J1389=1,C1389=0),1,0)</x:f>
        <x:v>0</x:v>
      </x:c>
      <x:c r="L1389" t="str">
        <x:f>IFERROR(INDEX(Customers!$C$2:$C$451,MATCH(A1389,Customers!$A$2:$A$451,0)),"Unknown")</x:f>
        <x:v>Premium</x:v>
      </x:c>
    </x:row>
    <x:row r="1390">
      <x:c r="A1390" t="n">
        <x:v>254</x:v>
      </x:c>
      <x:c r="B1390" s="16" t="n">
        <x:v>46266</x:v>
      </x:c>
      <x:c r="C1390" t="n">
        <x:v>0</x:v>
      </x:c>
      <x:c r="D1390" t="n">
        <x:v>0</x:v>
      </x:c>
      <x:c r="E1390" s="18" t="n">
        <x:v>0</x:v>
      </x:c>
      <x:c r="F1390" s="18" t="n">
        <x:v>0</x:v>
      </x:c>
      <x:c r="G1390" s="18" t="n">
        <x:v>0</x:v>
      </x:c>
      <x:c r="H1390" s="18" t="n">
        <x:v>0</x:v>
      </x:c>
      <x:c r="I1390" s="18" t="n">
        <x:v>0</x:v>
      </x:c>
      <x:c r="J1390" t="n">
        <x:f>IF(A1390=A1389,IFERROR(IF(B1390=EDATE(B1389,1),C1389,0),0),0)</x:f>
        <x:v>1</x:v>
      </x:c>
      <x:c r="K1390" t="n">
        <x:f>IF(AND(J1390=1,C1390=0),1,0)</x:f>
        <x:v>1</x:v>
      </x:c>
      <x:c r="L1390" t="str">
        <x:f>IFERROR(INDEX(Customers!$C$2:$C$451,MATCH(A1390,Customers!$A$2:$A$451,0)),"Unknown")</x:f>
        <x:v>Premium</x:v>
      </x:c>
    </x:row>
    <x:row r="1391">
      <x:c r="A1391" t="n">
        <x:v>255</x:v>
      </x:c>
      <x:c r="B1391" s="16" t="n">
        <x:v>46143</x:v>
      </x:c>
      <x:c r="C1391" t="n">
        <x:v>1</x:v>
      </x:c>
      <x:c r="D1391" t="n">
        <x:v>23</x:v>
      </x:c>
      <x:c r="E1391" s="18" t="n">
        <x:v>2256.81</x:v>
      </x:c>
      <x:c r="F1391" s="18" t="n">
        <x:v>0</x:v>
      </x:c>
      <x:c r="G1391" s="18" t="n">
        <x:v>10.16</x:v>
      </x:c>
      <x:c r="H1391" s="18" t="n">
        <x:v>2.52</x:v>
      </x:c>
      <x:c r="I1391" s="18" t="n">
        <x:v>12.68</x:v>
      </x:c>
      <x:c r="J1391" t="n">
        <x:f>IF(A1391=A1390,IFERROR(IF(B1391=EDATE(B1390,1),C1390,0),0),0)</x:f>
        <x:v>0</x:v>
      </x:c>
      <x:c r="K1391" t="n">
        <x:f>IF(AND(J1391=1,C1391=0),1,0)</x:f>
        <x:v>0</x:v>
      </x:c>
      <x:c r="L1391" t="str">
        <x:f>IFERROR(INDEX(Customers!$C$2:$C$451,MATCH(A1391,Customers!$A$2:$A$451,0)),"Unknown")</x:f>
        <x:v>Standard</x:v>
      </x:c>
    </x:row>
    <x:row r="1392">
      <x:c r="A1392" t="n">
        <x:v>255</x:v>
      </x:c>
      <x:c r="B1392" s="16" t="n">
        <x:v>46174</x:v>
      </x:c>
      <x:c r="C1392" t="n">
        <x:v>1</x:v>
      </x:c>
      <x:c r="D1392" t="n">
        <x:v>34</x:v>
      </x:c>
      <x:c r="E1392" s="18" t="n">
        <x:v>3893.44</x:v>
      </x:c>
      <x:c r="F1392" s="18" t="n">
        <x:v>0</x:v>
      </x:c>
      <x:c r="G1392" s="18" t="n">
        <x:v>17.52</x:v>
      </x:c>
      <x:c r="H1392" s="18" t="n">
        <x:v>12.06</x:v>
      </x:c>
      <x:c r="I1392" s="18" t="n">
        <x:v>29.58</x:v>
      </x:c>
      <x:c r="J1392" t="n">
        <x:f>IF(A1392=A1391,IFERROR(IF(B1392=EDATE(B1391,1),C1391,0),0),0)</x:f>
        <x:v>1</x:v>
      </x:c>
      <x:c r="K1392" t="n">
        <x:f>IF(AND(J1392=1,C1392=0),1,0)</x:f>
        <x:v>0</x:v>
      </x:c>
      <x:c r="L1392" t="str">
        <x:f>IFERROR(INDEX(Customers!$C$2:$C$451,MATCH(A1392,Customers!$A$2:$A$451,0)),"Unknown")</x:f>
        <x:v>Standard</x:v>
      </x:c>
    </x:row>
    <x:row r="1393">
      <x:c r="A1393" t="n">
        <x:v>255</x:v>
      </x:c>
      <x:c r="B1393" s="16" t="n">
        <x:v>46204</x:v>
      </x:c>
      <x:c r="C1393" t="n">
        <x:v>0</x:v>
      </x:c>
      <x:c r="D1393" t="n">
        <x:v>0</x:v>
      </x:c>
      <x:c r="E1393" s="18" t="n">
        <x:v>0</x:v>
      </x:c>
      <x:c r="F1393" s="18" t="n">
        <x:v>0</x:v>
      </x:c>
      <x:c r="G1393" s="18" t="n">
        <x:v>0</x:v>
      </x:c>
      <x:c r="H1393" s="18" t="n">
        <x:v>0</x:v>
      </x:c>
      <x:c r="I1393" s="18" t="n">
        <x:v>0</x:v>
      </x:c>
      <x:c r="J1393" t="n">
        <x:f>IF(A1393=A1392,IFERROR(IF(B1393=EDATE(B1392,1),C1392,0),0),0)</x:f>
        <x:v>1</x:v>
      </x:c>
      <x:c r="K1393" t="n">
        <x:f>IF(AND(J1393=1,C1393=0),1,0)</x:f>
        <x:v>1</x:v>
      </x:c>
      <x:c r="L1393" t="str">
        <x:f>IFERROR(INDEX(Customers!$C$2:$C$451,MATCH(A1393,Customers!$A$2:$A$451,0)),"Unknown")</x:f>
        <x:v>Standard</x:v>
      </x:c>
    </x:row>
    <x:row r="1394">
      <x:c r="A1394" t="n">
        <x:v>255</x:v>
      </x:c>
      <x:c r="B1394" s="16" t="n">
        <x:v>46235</x:v>
      </x:c>
      <x:c r="C1394" t="n">
        <x:v>0</x:v>
      </x:c>
      <x:c r="D1394" t="n">
        <x:v>0</x:v>
      </x:c>
      <x:c r="E1394" s="18" t="n">
        <x:v>0</x:v>
      </x:c>
      <x:c r="F1394" s="18" t="n">
        <x:v>0</x:v>
      </x:c>
      <x:c r="G1394" s="18" t="n">
        <x:v>0</x:v>
      </x:c>
      <x:c r="H1394" s="18" t="n">
        <x:v>0</x:v>
      </x:c>
      <x:c r="I1394" s="18" t="n">
        <x:v>0</x:v>
      </x:c>
      <x:c r="J1394" t="n">
        <x:f>IF(A1394=A1393,IFERROR(IF(B1394=EDATE(B1393,1),C1393,0),0),0)</x:f>
        <x:v>0</x:v>
      </x:c>
      <x:c r="K1394" t="n">
        <x:f>IF(AND(J1394=1,C1394=0),1,0)</x:f>
        <x:v>0</x:v>
      </x:c>
      <x:c r="L1394" t="str">
        <x:f>IFERROR(INDEX(Customers!$C$2:$C$451,MATCH(A1394,Customers!$A$2:$A$451,0)),"Unknown")</x:f>
        <x:v>Standard</x:v>
      </x:c>
    </x:row>
    <x:row r="1395">
      <x:c r="A1395" t="n">
        <x:v>255</x:v>
      </x:c>
      <x:c r="B1395" s="16" t="n">
        <x:v>46266</x:v>
      </x:c>
      <x:c r="C1395" t="n">
        <x:v>0</x:v>
      </x:c>
      <x:c r="D1395" t="n">
        <x:v>0</x:v>
      </x:c>
      <x:c r="E1395" s="18" t="n">
        <x:v>0</x:v>
      </x:c>
      <x:c r="F1395" s="18" t="n">
        <x:v>0</x:v>
      </x:c>
      <x:c r="G1395" s="18" t="n">
        <x:v>0</x:v>
      </x:c>
      <x:c r="H1395" s="18" t="n">
        <x:v>0</x:v>
      </x:c>
      <x:c r="I1395" s="18" t="n">
        <x:v>0</x:v>
      </x:c>
      <x:c r="J1395" t="n">
        <x:f>IF(A1395=A1394,IFERROR(IF(B1395=EDATE(B1394,1),C1394,0),0),0)</x:f>
        <x:v>0</x:v>
      </x:c>
      <x:c r="K1395" t="n">
        <x:f>IF(AND(J1395=1,C1395=0),1,0)</x:f>
        <x:v>0</x:v>
      </x:c>
      <x:c r="L1395" t="str">
        <x:f>IFERROR(INDEX(Customers!$C$2:$C$451,MATCH(A1395,Customers!$A$2:$A$451,0)),"Unknown")</x:f>
        <x:v>Standard</x:v>
      </x:c>
    </x:row>
    <x:row r="1396">
      <x:c r="A1396" t="n">
        <x:v>256</x:v>
      </x:c>
      <x:c r="B1396" s="16" t="n">
        <x:v>46143</x:v>
      </x:c>
      <x:c r="C1396" t="n">
        <x:v>1</x:v>
      </x:c>
      <x:c r="D1396" t="n">
        <x:v>27</x:v>
      </x:c>
      <x:c r="E1396" s="18" t="n">
        <x:v>2145.42</x:v>
      </x:c>
      <x:c r="F1396" s="18" t="n">
        <x:v>34</x:v>
      </x:c>
      <x:c r="G1396" s="18" t="n">
        <x:v>9.65</x:v>
      </x:c>
      <x:c r="H1396" s="18" t="n">
        <x:v>2.1</x:v>
      </x:c>
      <x:c r="I1396" s="18" t="n">
        <x:v>45.75</x:v>
      </x:c>
      <x:c r="J1396" t="n">
        <x:f>IF(A1396=A1395,IFERROR(IF(B1396=EDATE(B1395,1),C1395,0),0),0)</x:f>
        <x:v>0</x:v>
      </x:c>
      <x:c r="K1396" t="n">
        <x:f>IF(AND(J1396=1,C1396=0),1,0)</x:f>
        <x:v>0</x:v>
      </x:c>
      <x:c r="L1396" t="str">
        <x:f>IFERROR(INDEX(Customers!$C$2:$C$451,MATCH(A1396,Customers!$A$2:$A$451,0)),"Unknown")</x:f>
        <x:v>Metal</x:v>
      </x:c>
    </x:row>
    <x:row r="1397">
      <x:c r="A1397" t="n">
        <x:v>256</x:v>
      </x:c>
      <x:c r="B1397" s="16" t="n">
        <x:v>46174</x:v>
      </x:c>
      <x:c r="C1397" t="n">
        <x:v>1</x:v>
      </x:c>
      <x:c r="D1397" t="n">
        <x:v>14</x:v>
      </x:c>
      <x:c r="E1397" s="18" t="n">
        <x:v>1289</x:v>
      </x:c>
      <x:c r="F1397" s="18" t="n">
        <x:v>34</x:v>
      </x:c>
      <x:c r="G1397" s="18" t="n">
        <x:v>5.8</x:v>
      </x:c>
      <x:c r="H1397" s="18" t="n">
        <x:v>3.94</x:v>
      </x:c>
      <x:c r="I1397" s="18" t="n">
        <x:v>43.74</x:v>
      </x:c>
      <x:c r="J1397" t="n">
        <x:f>IF(A1397=A1396,IFERROR(IF(B1397=EDATE(B1396,1),C1396,0),0),0)</x:f>
        <x:v>1</x:v>
      </x:c>
      <x:c r="K1397" t="n">
        <x:f>IF(AND(J1397=1,C1397=0),1,0)</x:f>
        <x:v>0</x:v>
      </x:c>
      <x:c r="L1397" t="str">
        <x:f>IFERROR(INDEX(Customers!$C$2:$C$451,MATCH(A1397,Customers!$A$2:$A$451,0)),"Unknown")</x:f>
        <x:v>Metal</x:v>
      </x:c>
    </x:row>
    <x:row r="1398">
      <x:c r="A1398" t="n">
        <x:v>256</x:v>
      </x:c>
      <x:c r="B1398" s="16" t="n">
        <x:v>46204</x:v>
      </x:c>
      <x:c r="C1398" t="n">
        <x:v>0</x:v>
      </x:c>
      <x:c r="D1398" t="n">
        <x:v>0</x:v>
      </x:c>
      <x:c r="E1398" s="18" t="n">
        <x:v>0</x:v>
      </x:c>
      <x:c r="F1398" s="18" t="n">
        <x:v>0</x:v>
      </x:c>
      <x:c r="G1398" s="18" t="n">
        <x:v>0</x:v>
      </x:c>
      <x:c r="H1398" s="18" t="n">
        <x:v>0</x:v>
      </x:c>
      <x:c r="I1398" s="18" t="n">
        <x:v>0</x:v>
      </x:c>
      <x:c r="J1398" t="n">
        <x:f>IF(A1398=A1397,IFERROR(IF(B1398=EDATE(B1397,1),C1397,0),0),0)</x:f>
        <x:v>1</x:v>
      </x:c>
      <x:c r="K1398" t="n">
        <x:f>IF(AND(J1398=1,C1398=0),1,0)</x:f>
        <x:v>1</x:v>
      </x:c>
      <x:c r="L1398" t="str">
        <x:f>IFERROR(INDEX(Customers!$C$2:$C$451,MATCH(A1398,Customers!$A$2:$A$451,0)),"Unknown")</x:f>
        <x:v>Metal</x:v>
      </x:c>
    </x:row>
    <x:row r="1399">
      <x:c r="A1399" t="n">
        <x:v>256</x:v>
      </x:c>
      <x:c r="B1399" s="16" t="n">
        <x:v>46235</x:v>
      </x:c>
      <x:c r="C1399" t="n">
        <x:v>1</x:v>
      </x:c>
      <x:c r="D1399" t="n">
        <x:v>22</x:v>
      </x:c>
      <x:c r="E1399" s="18" t="n">
        <x:v>1410.81</x:v>
      </x:c>
      <x:c r="F1399" s="18" t="n">
        <x:v>34</x:v>
      </x:c>
      <x:c r="G1399" s="18" t="n">
        <x:v>6.35</x:v>
      </x:c>
      <x:c r="H1399" s="18" t="n">
        <x:v>2.22</x:v>
      </x:c>
      <x:c r="I1399" s="18" t="n">
        <x:v>42.57</x:v>
      </x:c>
      <x:c r="J1399" t="n">
        <x:f>IF(A1399=A1398,IFERROR(IF(B1399=EDATE(B1398,1),C1398,0),0),0)</x:f>
        <x:v>0</x:v>
      </x:c>
      <x:c r="K1399" t="n">
        <x:f>IF(AND(J1399=1,C1399=0),1,0)</x:f>
        <x:v>0</x:v>
      </x:c>
      <x:c r="L1399" t="str">
        <x:f>IFERROR(INDEX(Customers!$C$2:$C$451,MATCH(A1399,Customers!$A$2:$A$451,0)),"Unknown")</x:f>
        <x:v>Metal</x:v>
      </x:c>
    </x:row>
    <x:row r="1400">
      <x:c r="A1400" t="n">
        <x:v>256</x:v>
      </x:c>
      <x:c r="B1400" s="16" t="n">
        <x:v>46266</x:v>
      </x:c>
      <x:c r="C1400" t="n">
        <x:v>1</x:v>
      </x:c>
      <x:c r="D1400" t="n">
        <x:v>16</x:v>
      </x:c>
      <x:c r="E1400" s="18" t="n">
        <x:v>1976.33</x:v>
      </x:c>
      <x:c r="F1400" s="18" t="n">
        <x:v>34</x:v>
      </x:c>
      <x:c r="G1400" s="18" t="n">
        <x:v>8.89</x:v>
      </x:c>
      <x:c r="H1400" s="18" t="n">
        <x:v>3.99</x:v>
      </x:c>
      <x:c r="I1400" s="18" t="n">
        <x:v>46.88</x:v>
      </x:c>
      <x:c r="J1400" t="n">
        <x:f>IF(A1400=A1399,IFERROR(IF(B1400=EDATE(B1399,1),C1399,0),0),0)</x:f>
        <x:v>1</x:v>
      </x:c>
      <x:c r="K1400" t="n">
        <x:f>IF(AND(J1400=1,C1400=0),1,0)</x:f>
        <x:v>0</x:v>
      </x:c>
      <x:c r="L1400" t="str">
        <x:f>IFERROR(INDEX(Customers!$C$2:$C$451,MATCH(A1400,Customers!$A$2:$A$451,0)),"Unknown")</x:f>
        <x:v>Metal</x:v>
      </x:c>
    </x:row>
    <x:row r="1401">
      <x:c r="A1401" t="n">
        <x:v>257</x:v>
      </x:c>
      <x:c r="B1401" s="16" t="n">
        <x:v>46113</x:v>
      </x:c>
      <x:c r="C1401" t="n">
        <x:v>1</x:v>
      </x:c>
      <x:c r="D1401" t="n">
        <x:v>8</x:v>
      </x:c>
      <x:c r="E1401" s="18" t="n">
        <x:v>523.31</x:v>
      </x:c>
      <x:c r="F1401" s="18" t="n">
        <x:v>17</x:v>
      </x:c>
      <x:c r="G1401" s="18" t="n">
        <x:v>2.35</x:v>
      </x:c>
      <x:c r="H1401" s="18" t="n">
        <x:v>1.5</x:v>
      </x:c>
      <x:c r="I1401" s="18" t="n">
        <x:v>20.85</x:v>
      </x:c>
      <x:c r="J1401" t="n">
        <x:f>IF(A1401=A1400,IFERROR(IF(B1401=EDATE(B1400,1),C1400,0),0),0)</x:f>
        <x:v>0</x:v>
      </x:c>
      <x:c r="K1401" t="n">
        <x:f>IF(AND(J1401=1,C1401=0),1,0)</x:f>
        <x:v>0</x:v>
      </x:c>
      <x:c r="L1401" t="str">
        <x:f>IFERROR(INDEX(Customers!$C$2:$C$451,MATCH(A1401,Customers!$A$2:$A$451,0)),"Unknown")</x:f>
        <x:v>Premium</x:v>
      </x:c>
    </x:row>
    <x:row r="1402">
      <x:c r="A1402" t="n">
        <x:v>257</x:v>
      </x:c>
      <x:c r="B1402" s="16" t="n">
        <x:v>46143</x:v>
      </x:c>
      <x:c r="C1402" t="n">
        <x:v>1</x:v>
      </x:c>
      <x:c r="D1402" t="n">
        <x:v>33</x:v>
      </x:c>
      <x:c r="E1402" s="18" t="n">
        <x:v>1275.58</x:v>
      </x:c>
      <x:c r="F1402" s="18" t="n">
        <x:v>17</x:v>
      </x:c>
      <x:c r="G1402" s="18" t="n">
        <x:v>5.74</x:v>
      </x:c>
      <x:c r="H1402" s="18" t="n">
        <x:v>3.41</x:v>
      </x:c>
      <x:c r="I1402" s="18" t="n">
        <x:v>26.15</x:v>
      </x:c>
      <x:c r="J1402" t="n">
        <x:f>IF(A1402=A1401,IFERROR(IF(B1402=EDATE(B1401,1),C1401,0),0),0)</x:f>
        <x:v>1</x:v>
      </x:c>
      <x:c r="K1402" t="n">
        <x:f>IF(AND(J1402=1,C1402=0),1,0)</x:f>
        <x:v>0</x:v>
      </x:c>
      <x:c r="L1402" t="str">
        <x:f>IFERROR(INDEX(Customers!$C$2:$C$451,MATCH(A1402,Customers!$A$2:$A$451,0)),"Unknown")</x:f>
        <x:v>Premium</x:v>
      </x:c>
    </x:row>
    <x:row r="1403">
      <x:c r="A1403" t="n">
        <x:v>257</x:v>
      </x:c>
      <x:c r="B1403" s="16" t="n">
        <x:v>46174</x:v>
      </x:c>
      <x:c r="C1403" t="n">
        <x:v>1</x:v>
      </x:c>
      <x:c r="D1403" t="n">
        <x:v>8</x:v>
      </x:c>
      <x:c r="E1403" s="18" t="n">
        <x:v>932.57</x:v>
      </x:c>
      <x:c r="F1403" s="18" t="n">
        <x:v>17</x:v>
      </x:c>
      <x:c r="G1403" s="18" t="n">
        <x:v>4.2</x:v>
      </x:c>
      <x:c r="H1403" s="18" t="n">
        <x:v>1.12</x:v>
      </x:c>
      <x:c r="I1403" s="18" t="n">
        <x:v>22.32</x:v>
      </x:c>
      <x:c r="J1403" t="n">
        <x:f>IF(A1403=A1402,IFERROR(IF(B1403=EDATE(B1402,1),C1402,0),0),0)</x:f>
        <x:v>1</x:v>
      </x:c>
      <x:c r="K1403" t="n">
        <x:f>IF(AND(J1403=1,C1403=0),1,0)</x:f>
        <x:v>0</x:v>
      </x:c>
      <x:c r="L1403" t="str">
        <x:f>IFERROR(INDEX(Customers!$C$2:$C$451,MATCH(A1403,Customers!$A$2:$A$451,0)),"Unknown")</x:f>
        <x:v>Premium</x:v>
      </x:c>
    </x:row>
    <x:row r="1404">
      <x:c r="A1404" t="n">
        <x:v>257</x:v>
      </x:c>
      <x:c r="B1404" s="16" t="n">
        <x:v>46204</x:v>
      </x:c>
      <x:c r="C1404" t="n">
        <x:v>1</x:v>
      </x:c>
      <x:c r="D1404" t="n">
        <x:v>10</x:v>
      </x:c>
      <x:c r="E1404" s="18" t="n">
        <x:v>1259.07</x:v>
      </x:c>
      <x:c r="F1404" s="18" t="n">
        <x:v>17</x:v>
      </x:c>
      <x:c r="G1404" s="18" t="n">
        <x:v>5.67</x:v>
      </x:c>
      <x:c r="H1404" s="18" t="n">
        <x:v>1.53</x:v>
      </x:c>
      <x:c r="I1404" s="18" t="n">
        <x:v>24.2</x:v>
      </x:c>
      <x:c r="J1404" t="n">
        <x:f>IF(A1404=A1403,IFERROR(IF(B1404=EDATE(B1403,1),C1403,0),0),0)</x:f>
        <x:v>1</x:v>
      </x:c>
      <x:c r="K1404" t="n">
        <x:f>IF(AND(J1404=1,C1404=0),1,0)</x:f>
        <x:v>0</x:v>
      </x:c>
      <x:c r="L1404" t="str">
        <x:f>IFERROR(INDEX(Customers!$C$2:$C$451,MATCH(A1404,Customers!$A$2:$A$451,0)),"Unknown")</x:f>
        <x:v>Premium</x:v>
      </x:c>
    </x:row>
    <x:row r="1405">
      <x:c r="A1405" t="n">
        <x:v>257</x:v>
      </x:c>
      <x:c r="B1405" s="16" t="n">
        <x:v>46235</x:v>
      </x:c>
      <x:c r="C1405" t="n">
        <x:v>1</x:v>
      </x:c>
      <x:c r="D1405" t="n">
        <x:v>31</x:v>
      </x:c>
      <x:c r="E1405" s="18" t="n">
        <x:v>2575.92</x:v>
      </x:c>
      <x:c r="F1405" s="18" t="n">
        <x:v>17</x:v>
      </x:c>
      <x:c r="G1405" s="18" t="n">
        <x:v>11.59</x:v>
      </x:c>
      <x:c r="H1405" s="18" t="n">
        <x:v>5.29</x:v>
      </x:c>
      <x:c r="I1405" s="18" t="n">
        <x:v>33.88</x:v>
      </x:c>
      <x:c r="J1405" t="n">
        <x:f>IF(A1405=A1404,IFERROR(IF(B1405=EDATE(B1404,1),C1404,0),0),0)</x:f>
        <x:v>1</x:v>
      </x:c>
      <x:c r="K1405" t="n">
        <x:f>IF(AND(J1405=1,C1405=0),1,0)</x:f>
        <x:v>0</x:v>
      </x:c>
      <x:c r="L1405" t="str">
        <x:f>IFERROR(INDEX(Customers!$C$2:$C$451,MATCH(A1405,Customers!$A$2:$A$451,0)),"Unknown")</x:f>
        <x:v>Premium</x:v>
      </x:c>
    </x:row>
    <x:row r="1406">
      <x:c r="A1406" t="n">
        <x:v>257</x:v>
      </x:c>
      <x:c r="B1406" s="16" t="n">
        <x:v>46266</x:v>
      </x:c>
      <x:c r="C1406" t="n">
        <x:v>1</x:v>
      </x:c>
      <x:c r="D1406" t="n">
        <x:v>35</x:v>
      </x:c>
      <x:c r="E1406" s="18" t="n">
        <x:v>1611.97</x:v>
      </x:c>
      <x:c r="F1406" s="18" t="n">
        <x:v>17</x:v>
      </x:c>
      <x:c r="G1406" s="18" t="n">
        <x:v>7.25</x:v>
      </x:c>
      <x:c r="H1406" s="18" t="n">
        <x:v>1.64</x:v>
      </x:c>
      <x:c r="I1406" s="18" t="n">
        <x:v>25.89</x:v>
      </x:c>
      <x:c r="J1406" t="n">
        <x:f>IF(A1406=A1405,IFERROR(IF(B1406=EDATE(B1405,1),C1405,0),0),0)</x:f>
        <x:v>1</x:v>
      </x:c>
      <x:c r="K1406" t="n">
        <x:f>IF(AND(J1406=1,C1406=0),1,0)</x:f>
        <x:v>0</x:v>
      </x:c>
      <x:c r="L1406" t="str">
        <x:f>IFERROR(INDEX(Customers!$C$2:$C$451,MATCH(A1406,Customers!$A$2:$A$451,0)),"Unknown")</x:f>
        <x:v>Premium</x:v>
      </x:c>
    </x:row>
    <x:row r="1407">
      <x:c r="A1407" t="n">
        <x:v>258</x:v>
      </x:c>
      <x:c r="B1407" s="16" t="n">
        <x:v>46174</x:v>
      </x:c>
      <x:c r="C1407" t="n">
        <x:v>1</x:v>
      </x:c>
      <x:c r="D1407" t="n">
        <x:v>21</x:v>
      </x:c>
      <x:c r="E1407" s="18" t="n">
        <x:v>1644.94</x:v>
      </x:c>
      <x:c r="F1407" s="18" t="n">
        <x:v>8</x:v>
      </x:c>
      <x:c r="G1407" s="18" t="n">
        <x:v>7.4</x:v>
      </x:c>
      <x:c r="H1407" s="18" t="n">
        <x:v>4.5</x:v>
      </x:c>
      <x:c r="I1407" s="18" t="n">
        <x:v>19.9</x:v>
      </x:c>
      <x:c r="J1407" t="n">
        <x:f>IF(A1407=A1406,IFERROR(IF(B1407=EDATE(B1406,1),C1406,0),0),0)</x:f>
        <x:v>0</x:v>
      </x:c>
      <x:c r="K1407" t="n">
        <x:f>IF(AND(J1407=1,C1407=0),1,0)</x:f>
        <x:v>0</x:v>
      </x:c>
      <x:c r="L1407" t="str">
        <x:f>IFERROR(INDEX(Customers!$C$2:$C$451,MATCH(A1407,Customers!$A$2:$A$451,0)),"Unknown")</x:f>
        <x:v>Plus</x:v>
      </x:c>
    </x:row>
    <x:row r="1408">
      <x:c r="A1408" t="n">
        <x:v>258</x:v>
      </x:c>
      <x:c r="B1408" s="16" t="n">
        <x:v>46204</x:v>
      </x:c>
      <x:c r="C1408" t="n">
        <x:v>1</x:v>
      </x:c>
      <x:c r="D1408" t="n">
        <x:v>14</x:v>
      </x:c>
      <x:c r="E1408" s="18" t="n">
        <x:v>570.85</x:v>
      </x:c>
      <x:c r="F1408" s="18" t="n">
        <x:v>8</x:v>
      </x:c>
      <x:c r="G1408" s="18" t="n">
        <x:v>2.57</x:v>
      </x:c>
      <x:c r="H1408" s="18" t="n">
        <x:v>1.37</x:v>
      </x:c>
      <x:c r="I1408" s="18" t="n">
        <x:v>11.94</x:v>
      </x:c>
      <x:c r="J1408" t="n">
        <x:f>IF(A1408=A1407,IFERROR(IF(B1408=EDATE(B1407,1),C1407,0),0),0)</x:f>
        <x:v>1</x:v>
      </x:c>
      <x:c r="K1408" t="n">
        <x:f>IF(AND(J1408=1,C1408=0),1,0)</x:f>
        <x:v>0</x:v>
      </x:c>
      <x:c r="L1408" t="str">
        <x:f>IFERROR(INDEX(Customers!$C$2:$C$451,MATCH(A1408,Customers!$A$2:$A$451,0)),"Unknown")</x:f>
        <x:v>Plus</x:v>
      </x:c>
    </x:row>
    <x:row r="1409">
      <x:c r="A1409" t="n">
        <x:v>258</x:v>
      </x:c>
      <x:c r="B1409" s="16" t="n">
        <x:v>46235</x:v>
      </x:c>
      <x:c r="C1409" t="n">
        <x:v>1</x:v>
      </x:c>
      <x:c r="D1409" t="n">
        <x:v>9</x:v>
      </x:c>
      <x:c r="E1409" s="18" t="n">
        <x:v>637.84</x:v>
      </x:c>
      <x:c r="F1409" s="18" t="n">
        <x:v>8</x:v>
      </x:c>
      <x:c r="G1409" s="18" t="n">
        <x:v>2.87</x:v>
      </x:c>
      <x:c r="H1409" s="18" t="n">
        <x:v>2.23</x:v>
      </x:c>
      <x:c r="I1409" s="18" t="n">
        <x:v>13.1</x:v>
      </x:c>
      <x:c r="J1409" t="n">
        <x:f>IF(A1409=A1408,IFERROR(IF(B1409=EDATE(B1408,1),C1408,0),0),0)</x:f>
        <x:v>1</x:v>
      </x:c>
      <x:c r="K1409" t="n">
        <x:f>IF(AND(J1409=1,C1409=0),1,0)</x:f>
        <x:v>0</x:v>
      </x:c>
      <x:c r="L1409" t="str">
        <x:f>IFERROR(INDEX(Customers!$C$2:$C$451,MATCH(A1409,Customers!$A$2:$A$451,0)),"Unknown")</x:f>
        <x:v>Plus</x:v>
      </x:c>
    </x:row>
    <x:row r="1410">
      <x:c r="A1410" t="n">
        <x:v>258</x:v>
      </x:c>
      <x:c r="B1410" s="16" t="n">
        <x:v>46266</x:v>
      </x:c>
      <x:c r="C1410" t="n">
        <x:v>1</x:v>
      </x:c>
      <x:c r="D1410" t="n">
        <x:v>29</x:v>
      </x:c>
      <x:c r="E1410" s="18" t="n">
        <x:v>1975.64</x:v>
      </x:c>
      <x:c r="F1410" s="18" t="n">
        <x:v>8</x:v>
      </x:c>
      <x:c r="G1410" s="18" t="n">
        <x:v>8.89</x:v>
      </x:c>
      <x:c r="H1410" s="18" t="n">
        <x:v>6.23</x:v>
      </x:c>
      <x:c r="I1410" s="18" t="n">
        <x:v>23.12</x:v>
      </x:c>
      <x:c r="J1410" t="n">
        <x:f>IF(A1410=A1409,IFERROR(IF(B1410=EDATE(B1409,1),C1409,0),0),0)</x:f>
        <x:v>1</x:v>
      </x:c>
      <x:c r="K1410" t="n">
        <x:f>IF(AND(J1410=1,C1410=0),1,0)</x:f>
        <x:v>0</x:v>
      </x:c>
      <x:c r="L1410" t="str">
        <x:f>IFERROR(INDEX(Customers!$C$2:$C$451,MATCH(A1410,Customers!$A$2:$A$451,0)),"Unknown")</x:f>
        <x:v>Plus</x:v>
      </x:c>
    </x:row>
    <x:row r="1411">
      <x:c r="A1411" t="n">
        <x:v>259</x:v>
      </x:c>
      <x:c r="B1411" s="16" t="n">
        <x:v>46113</x:v>
      </x:c>
      <x:c r="C1411" t="n">
        <x:v>1</x:v>
      </x:c>
      <x:c r="D1411" t="n">
        <x:v>36</x:v>
      </x:c>
      <x:c r="E1411" s="18" t="n">
        <x:v>1312.52</x:v>
      </x:c>
      <x:c r="F1411" s="18" t="n">
        <x:v>8</x:v>
      </x:c>
      <x:c r="G1411" s="18" t="n">
        <x:v>5.91</x:v>
      </x:c>
      <x:c r="H1411" s="18" t="n">
        <x:v>4.88</x:v>
      </x:c>
      <x:c r="I1411" s="18" t="n">
        <x:v>18.79</x:v>
      </x:c>
      <x:c r="J1411" t="n">
        <x:f>IF(A1411=A1410,IFERROR(IF(B1411=EDATE(B1410,1),C1410,0),0),0)</x:f>
        <x:v>0</x:v>
      </x:c>
      <x:c r="K1411" t="n">
        <x:f>IF(AND(J1411=1,C1411=0),1,0)</x:f>
        <x:v>0</x:v>
      </x:c>
      <x:c r="L1411" t="str">
        <x:f>IFERROR(INDEX(Customers!$C$2:$C$451,MATCH(A1411,Customers!$A$2:$A$451,0)),"Unknown")</x:f>
        <x:v>Plus</x:v>
      </x:c>
    </x:row>
    <x:row r="1412">
      <x:c r="A1412" t="n">
        <x:v>259</x:v>
      </x:c>
      <x:c r="B1412" s="16" t="n">
        <x:v>46143</x:v>
      </x:c>
      <x:c r="C1412" t="n">
        <x:v>0</x:v>
      </x:c>
      <x:c r="D1412" t="n">
        <x:v>0</x:v>
      </x:c>
      <x:c r="E1412" s="18" t="n">
        <x:v>0</x:v>
      </x:c>
      <x:c r="F1412" s="18" t="n">
        <x:v>0</x:v>
      </x:c>
      <x:c r="G1412" s="18" t="n">
        <x:v>0</x:v>
      </x:c>
      <x:c r="H1412" s="18" t="n">
        <x:v>0</x:v>
      </x:c>
      <x:c r="I1412" s="18" t="n">
        <x:v>0</x:v>
      </x:c>
      <x:c r="J1412" t="n">
        <x:f>IF(A1412=A1411,IFERROR(IF(B1412=EDATE(B1411,1),C1411,0),0),0)</x:f>
        <x:v>1</x:v>
      </x:c>
      <x:c r="K1412" t="n">
        <x:f>IF(AND(J1412=1,C1412=0),1,0)</x:f>
        <x:v>1</x:v>
      </x:c>
      <x:c r="L1412" t="str">
        <x:f>IFERROR(INDEX(Customers!$C$2:$C$451,MATCH(A1412,Customers!$A$2:$A$451,0)),"Unknown")</x:f>
        <x:v>Plus</x:v>
      </x:c>
    </x:row>
    <x:row r="1413">
      <x:c r="A1413" t="n">
        <x:v>259</x:v>
      </x:c>
      <x:c r="B1413" s="16" t="n">
        <x:v>46174</x:v>
      </x:c>
      <x:c r="C1413" t="n">
        <x:v>1</x:v>
      </x:c>
      <x:c r="D1413" t="n">
        <x:v>19</x:v>
      </x:c>
      <x:c r="E1413" s="18" t="n">
        <x:v>1721.7</x:v>
      </x:c>
      <x:c r="F1413" s="18" t="n">
        <x:v>8</x:v>
      </x:c>
      <x:c r="G1413" s="18" t="n">
        <x:v>7.75</x:v>
      </x:c>
      <x:c r="H1413" s="18" t="n">
        <x:v>5.61</x:v>
      </x:c>
      <x:c r="I1413" s="18" t="n">
        <x:v>21.36</x:v>
      </x:c>
      <x:c r="J1413" t="n">
        <x:f>IF(A1413=A1412,IFERROR(IF(B1413=EDATE(B1412,1),C1412,0),0),0)</x:f>
        <x:v>0</x:v>
      </x:c>
      <x:c r="K1413" t="n">
        <x:f>IF(AND(J1413=1,C1413=0),1,0)</x:f>
        <x:v>0</x:v>
      </x:c>
      <x:c r="L1413" t="str">
        <x:f>IFERROR(INDEX(Customers!$C$2:$C$451,MATCH(A1413,Customers!$A$2:$A$451,0)),"Unknown")</x:f>
        <x:v>Plus</x:v>
      </x:c>
    </x:row>
    <x:row r="1414">
      <x:c r="A1414" t="n">
        <x:v>259</x:v>
      </x:c>
      <x:c r="B1414" s="16" t="n">
        <x:v>46204</x:v>
      </x:c>
      <x:c r="C1414" t="n">
        <x:v>1</x:v>
      </x:c>
      <x:c r="D1414" t="n">
        <x:v>29</x:v>
      </x:c>
      <x:c r="E1414" s="18" t="n">
        <x:v>1511.79</x:v>
      </x:c>
      <x:c r="F1414" s="18" t="n">
        <x:v>8</x:v>
      </x:c>
      <x:c r="G1414" s="18" t="n">
        <x:v>6.8</x:v>
      </x:c>
      <x:c r="H1414" s="18" t="n">
        <x:v>4.79</x:v>
      </x:c>
      <x:c r="I1414" s="18" t="n">
        <x:v>19.59</x:v>
      </x:c>
      <x:c r="J1414" t="n">
        <x:f>IF(A1414=A1413,IFERROR(IF(B1414=EDATE(B1413,1),C1413,0),0),0)</x:f>
        <x:v>1</x:v>
      </x:c>
      <x:c r="K1414" t="n">
        <x:f>IF(AND(J1414=1,C1414=0),1,0)</x:f>
        <x:v>0</x:v>
      </x:c>
      <x:c r="L1414" t="str">
        <x:f>IFERROR(INDEX(Customers!$C$2:$C$451,MATCH(A1414,Customers!$A$2:$A$451,0)),"Unknown")</x:f>
        <x:v>Plus</x:v>
      </x:c>
    </x:row>
    <x:row r="1415">
      <x:c r="A1415" t="n">
        <x:v>259</x:v>
      </x:c>
      <x:c r="B1415" s="16" t="n">
        <x:v>46235</x:v>
      </x:c>
      <x:c r="C1415" t="n">
        <x:v>1</x:v>
      </x:c>
      <x:c r="D1415" t="n">
        <x:v>33</x:v>
      </x:c>
      <x:c r="E1415" s="18" t="n">
        <x:v>2253.57</x:v>
      </x:c>
      <x:c r="F1415" s="18" t="n">
        <x:v>8</x:v>
      </x:c>
      <x:c r="G1415" s="18" t="n">
        <x:v>10.14</x:v>
      </x:c>
      <x:c r="H1415" s="18" t="n">
        <x:v>5.74</x:v>
      </x:c>
      <x:c r="I1415" s="18" t="n">
        <x:v>23.88</x:v>
      </x:c>
      <x:c r="J1415" t="n">
        <x:f>IF(A1415=A1414,IFERROR(IF(B1415=EDATE(B1414,1),C1414,0),0),0)</x:f>
        <x:v>1</x:v>
      </x:c>
      <x:c r="K1415" t="n">
        <x:f>IF(AND(J1415=1,C1415=0),1,0)</x:f>
        <x:v>0</x:v>
      </x:c>
      <x:c r="L1415" t="str">
        <x:f>IFERROR(INDEX(Customers!$C$2:$C$451,MATCH(A1415,Customers!$A$2:$A$451,0)),"Unknown")</x:f>
        <x:v>Plus</x:v>
      </x:c>
    </x:row>
    <x:row r="1416">
      <x:c r="A1416" t="n">
        <x:v>259</x:v>
      </x:c>
      <x:c r="B1416" s="16" t="n">
        <x:v>46266</x:v>
      </x:c>
      <x:c r="C1416" t="n">
        <x:v>1</x:v>
      </x:c>
      <x:c r="D1416" t="n">
        <x:v>6</x:v>
      </x:c>
      <x:c r="E1416" s="18" t="n">
        <x:v>381.05</x:v>
      </x:c>
      <x:c r="F1416" s="18" t="n">
        <x:v>8</x:v>
      </x:c>
      <x:c r="G1416" s="18" t="n">
        <x:v>1.71</x:v>
      </x:c>
      <x:c r="H1416" s="18" t="n">
        <x:v>0.79</x:v>
      </x:c>
      <x:c r="I1416" s="18" t="n">
        <x:v>10.5</x:v>
      </x:c>
      <x:c r="J1416" t="n">
        <x:f>IF(A1416=A1415,IFERROR(IF(B1416=EDATE(B1415,1),C1415,0),0),0)</x:f>
        <x:v>1</x:v>
      </x:c>
      <x:c r="K1416" t="n">
        <x:f>IF(AND(J1416=1,C1416=0),1,0)</x:f>
        <x:v>0</x:v>
      </x:c>
      <x:c r="L1416" t="str">
        <x:f>IFERROR(INDEX(Customers!$C$2:$C$451,MATCH(A1416,Customers!$A$2:$A$451,0)),"Unknown")</x:f>
        <x:v>Plus</x:v>
      </x:c>
    </x:row>
    <x:row r="1417">
      <x:c r="A1417" t="n">
        <x:v>260</x:v>
      </x:c>
      <x:c r="B1417" s="16" t="n">
        <x:v>46143</x:v>
      </x:c>
      <x:c r="C1417" t="n">
        <x:v>1</x:v>
      </x:c>
      <x:c r="D1417" t="n">
        <x:v>25</x:v>
      </x:c>
      <x:c r="E1417" s="18" t="n">
        <x:v>2393.48</x:v>
      </x:c>
      <x:c r="F1417" s="18" t="n">
        <x:v>0</x:v>
      </x:c>
      <x:c r="G1417" s="18" t="n">
        <x:v>10.77</x:v>
      </x:c>
      <x:c r="H1417" s="18" t="n">
        <x:v>6.73</x:v>
      </x:c>
      <x:c r="I1417" s="18" t="n">
        <x:v>17.5</x:v>
      </x:c>
      <x:c r="J1417" t="n">
        <x:f>IF(A1417=A1416,IFERROR(IF(B1417=EDATE(B1416,1),C1416,0),0),0)</x:f>
        <x:v>0</x:v>
      </x:c>
      <x:c r="K1417" t="n">
        <x:f>IF(AND(J1417=1,C1417=0),1,0)</x:f>
        <x:v>0</x:v>
      </x:c>
      <x:c r="L1417" t="str">
        <x:f>IFERROR(INDEX(Customers!$C$2:$C$451,MATCH(A1417,Customers!$A$2:$A$451,0)),"Unknown")</x:f>
        <x:v>Standard</x:v>
      </x:c>
    </x:row>
    <x:row r="1418">
      <x:c r="A1418" t="n">
        <x:v>260</x:v>
      </x:c>
      <x:c r="B1418" s="16" t="n">
        <x:v>46174</x:v>
      </x:c>
      <x:c r="C1418" t="n">
        <x:v>1</x:v>
      </x:c>
      <x:c r="D1418" t="n">
        <x:v>29</x:v>
      </x:c>
      <x:c r="E1418" s="18" t="n">
        <x:v>3469.82</x:v>
      </x:c>
      <x:c r="F1418" s="18" t="n">
        <x:v>0</x:v>
      </x:c>
      <x:c r="G1418" s="18" t="n">
        <x:v>15.61</x:v>
      </x:c>
      <x:c r="H1418" s="18" t="n">
        <x:v>9.12</x:v>
      </x:c>
      <x:c r="I1418" s="18" t="n">
        <x:v>24.73</x:v>
      </x:c>
      <x:c r="J1418" t="n">
        <x:f>IF(A1418=A1417,IFERROR(IF(B1418=EDATE(B1417,1),C1417,0),0),0)</x:f>
        <x:v>1</x:v>
      </x:c>
      <x:c r="K1418" t="n">
        <x:f>IF(AND(J1418=1,C1418=0),1,0)</x:f>
        <x:v>0</x:v>
      </x:c>
      <x:c r="L1418" t="str">
        <x:f>IFERROR(INDEX(Customers!$C$2:$C$451,MATCH(A1418,Customers!$A$2:$A$451,0)),"Unknown")</x:f>
        <x:v>Standard</x:v>
      </x:c>
    </x:row>
    <x:row r="1419">
      <x:c r="A1419" t="n">
        <x:v>260</x:v>
      </x:c>
      <x:c r="B1419" s="16" t="n">
        <x:v>46204</x:v>
      </x:c>
      <x:c r="C1419" t="n">
        <x:v>1</x:v>
      </x:c>
      <x:c r="D1419" t="n">
        <x:v>8</x:v>
      </x:c>
      <x:c r="E1419" s="18" t="n">
        <x:v>684.96</x:v>
      </x:c>
      <x:c r="F1419" s="18" t="n">
        <x:v>0</x:v>
      </x:c>
      <x:c r="G1419" s="18" t="n">
        <x:v>3.08</x:v>
      </x:c>
      <x:c r="H1419" s="18" t="n">
        <x:v>1.51</x:v>
      </x:c>
      <x:c r="I1419" s="18" t="n">
        <x:v>4.59</x:v>
      </x:c>
      <x:c r="J1419" t="n">
        <x:f>IF(A1419=A1418,IFERROR(IF(B1419=EDATE(B1418,1),C1418,0),0),0)</x:f>
        <x:v>1</x:v>
      </x:c>
      <x:c r="K1419" t="n">
        <x:f>IF(AND(J1419=1,C1419=0),1,0)</x:f>
        <x:v>0</x:v>
      </x:c>
      <x:c r="L1419" t="str">
        <x:f>IFERROR(INDEX(Customers!$C$2:$C$451,MATCH(A1419,Customers!$A$2:$A$451,0)),"Unknown")</x:f>
        <x:v>Standard</x:v>
      </x:c>
    </x:row>
    <x:row r="1420">
      <x:c r="A1420" t="n">
        <x:v>260</x:v>
      </x:c>
      <x:c r="B1420" s="16" t="n">
        <x:v>46235</x:v>
      </x:c>
      <x:c r="C1420" t="n">
        <x:v>1</x:v>
      </x:c>
      <x:c r="D1420" t="n">
        <x:v>10</x:v>
      </x:c>
      <x:c r="E1420" s="18" t="n">
        <x:v>1300.77</x:v>
      </x:c>
      <x:c r="F1420" s="18" t="n">
        <x:v>0</x:v>
      </x:c>
      <x:c r="G1420" s="18" t="n">
        <x:v>5.85</x:v>
      </x:c>
      <x:c r="H1420" s="18" t="n">
        <x:v>4.77</x:v>
      </x:c>
      <x:c r="I1420" s="18" t="n">
        <x:v>10.62</x:v>
      </x:c>
      <x:c r="J1420" t="n">
        <x:f>IF(A1420=A1419,IFERROR(IF(B1420=EDATE(B1419,1),C1419,0),0),0)</x:f>
        <x:v>1</x:v>
      </x:c>
      <x:c r="K1420" t="n">
        <x:f>IF(AND(J1420=1,C1420=0),1,0)</x:f>
        <x:v>0</x:v>
      </x:c>
      <x:c r="L1420" t="str">
        <x:f>IFERROR(INDEX(Customers!$C$2:$C$451,MATCH(A1420,Customers!$A$2:$A$451,0)),"Unknown")</x:f>
        <x:v>Standard</x:v>
      </x:c>
    </x:row>
    <x:row r="1421">
      <x:c r="A1421" t="n">
        <x:v>260</x:v>
      </x:c>
      <x:c r="B1421" s="16" t="n">
        <x:v>46266</x:v>
      </x:c>
      <x:c r="C1421" t="n">
        <x:v>1</x:v>
      </x:c>
      <x:c r="D1421" t="n">
        <x:v>36</x:v>
      </x:c>
      <x:c r="E1421" s="18" t="n">
        <x:v>3728.16</x:v>
      </x:c>
      <x:c r="F1421" s="18" t="n">
        <x:v>0</x:v>
      </x:c>
      <x:c r="G1421" s="18" t="n">
        <x:v>16.78</x:v>
      </x:c>
      <x:c r="H1421" s="18" t="n">
        <x:v>14.16</x:v>
      </x:c>
      <x:c r="I1421" s="18" t="n">
        <x:v>30.94</x:v>
      </x:c>
      <x:c r="J1421" t="n">
        <x:f>IF(A1421=A1420,IFERROR(IF(B1421=EDATE(B1420,1),C1420,0),0),0)</x:f>
        <x:v>1</x:v>
      </x:c>
      <x:c r="K1421" t="n">
        <x:f>IF(AND(J1421=1,C1421=0),1,0)</x:f>
        <x:v>0</x:v>
      </x:c>
      <x:c r="L1421" t="str">
        <x:f>IFERROR(INDEX(Customers!$C$2:$C$451,MATCH(A1421,Customers!$A$2:$A$451,0)),"Unknown")</x:f>
        <x:v>Standard</x:v>
      </x:c>
    </x:row>
    <x:row r="1422">
      <x:c r="A1422" t="n">
        <x:v>261</x:v>
      </x:c>
      <x:c r="B1422" s="16" t="n">
        <x:v>46113</x:v>
      </x:c>
      <x:c r="C1422" t="n">
        <x:v>1</x:v>
      </x:c>
      <x:c r="D1422" t="n">
        <x:v>31</x:v>
      </x:c>
      <x:c r="E1422" s="18" t="n">
        <x:v>2038.1</x:v>
      </x:c>
      <x:c r="F1422" s="18" t="n">
        <x:v>0</x:v>
      </x:c>
      <x:c r="G1422" s="18" t="n">
        <x:v>9.17</x:v>
      </x:c>
      <x:c r="H1422" s="18" t="n">
        <x:v>7.42</x:v>
      </x:c>
      <x:c r="I1422" s="18" t="n">
        <x:v>16.59</x:v>
      </x:c>
      <x:c r="J1422" t="n">
        <x:f>IF(A1422=A1421,IFERROR(IF(B1422=EDATE(B1421,1),C1421,0),0),0)</x:f>
        <x:v>0</x:v>
      </x:c>
      <x:c r="K1422" t="n">
        <x:f>IF(AND(J1422=1,C1422=0),1,0)</x:f>
        <x:v>0</x:v>
      </x:c>
      <x:c r="L1422" t="str">
        <x:f>IFERROR(INDEX(Customers!$C$2:$C$451,MATCH(A1422,Customers!$A$2:$A$451,0)),"Unknown")</x:f>
        <x:v>Standard</x:v>
      </x:c>
    </x:row>
    <x:row r="1423">
      <x:c r="A1423" t="n">
        <x:v>261</x:v>
      </x:c>
      <x:c r="B1423" s="16" t="n">
        <x:v>46143</x:v>
      </x:c>
      <x:c r="C1423" t="n">
        <x:v>1</x:v>
      </x:c>
      <x:c r="D1423" t="n">
        <x:v>4</x:v>
      </x:c>
      <x:c r="E1423" s="18" t="n">
        <x:v>400.78</x:v>
      </x:c>
      <x:c r="F1423" s="18" t="n">
        <x:v>0</x:v>
      </x:c>
      <x:c r="G1423" s="18" t="n">
        <x:v>1.8</x:v>
      </x:c>
      <x:c r="H1423" s="18" t="n">
        <x:v>0.56</x:v>
      </x:c>
      <x:c r="I1423" s="18" t="n">
        <x:v>2.36</x:v>
      </x:c>
      <x:c r="J1423" t="n">
        <x:f>IF(A1423=A1422,IFERROR(IF(B1423=EDATE(B1422,1),C1422,0),0),0)</x:f>
        <x:v>1</x:v>
      </x:c>
      <x:c r="K1423" t="n">
        <x:f>IF(AND(J1423=1,C1423=0),1,0)</x:f>
        <x:v>0</x:v>
      </x:c>
      <x:c r="L1423" t="str">
        <x:f>IFERROR(INDEX(Customers!$C$2:$C$451,MATCH(A1423,Customers!$A$2:$A$451,0)),"Unknown")</x:f>
        <x:v>Standard</x:v>
      </x:c>
    </x:row>
    <x:row r="1424">
      <x:c r="A1424" t="n">
        <x:v>261</x:v>
      </x:c>
      <x:c r="B1424" s="16" t="n">
        <x:v>46174</x:v>
      </x:c>
      <x:c r="C1424" t="n">
        <x:v>0</x:v>
      </x:c>
      <x:c r="D1424" t="n">
        <x:v>0</x:v>
      </x:c>
      <x:c r="E1424" s="18" t="n">
        <x:v>0</x:v>
      </x:c>
      <x:c r="F1424" s="18" t="n">
        <x:v>0</x:v>
      </x:c>
      <x:c r="G1424" s="18" t="n">
        <x:v>0</x:v>
      </x:c>
      <x:c r="H1424" s="18" t="n">
        <x:v>0</x:v>
      </x:c>
      <x:c r="I1424" s="18" t="n">
        <x:v>0</x:v>
      </x:c>
      <x:c r="J1424" t="n">
        <x:f>IF(A1424=A1423,IFERROR(IF(B1424=EDATE(B1423,1),C1423,0),0),0)</x:f>
        <x:v>1</x:v>
      </x:c>
      <x:c r="K1424" t="n">
        <x:f>IF(AND(J1424=1,C1424=0),1,0)</x:f>
        <x:v>1</x:v>
      </x:c>
      <x:c r="L1424" t="str">
        <x:f>IFERROR(INDEX(Customers!$C$2:$C$451,MATCH(A1424,Customers!$A$2:$A$451,0)),"Unknown")</x:f>
        <x:v>Standard</x:v>
      </x:c>
    </x:row>
    <x:row r="1425">
      <x:c r="A1425" t="n">
        <x:v>261</x:v>
      </x:c>
      <x:c r="B1425" s="16" t="n">
        <x:v>46204</x:v>
      </x:c>
      <x:c r="C1425" t="n">
        <x:v>1</x:v>
      </x:c>
      <x:c r="D1425" t="n">
        <x:v>13</x:v>
      </x:c>
      <x:c r="E1425" s="18" t="n">
        <x:v>693.49</x:v>
      </x:c>
      <x:c r="F1425" s="18" t="n">
        <x:v>0</x:v>
      </x:c>
      <x:c r="G1425" s="18" t="n">
        <x:v>3.12</x:v>
      </x:c>
      <x:c r="H1425" s="18" t="n">
        <x:v>1.9</x:v>
      </x:c>
      <x:c r="I1425" s="18" t="n">
        <x:v>5.02</x:v>
      </x:c>
      <x:c r="J1425" t="n">
        <x:f>IF(A1425=A1424,IFERROR(IF(B1425=EDATE(B1424,1),C1424,0),0),0)</x:f>
        <x:v>0</x:v>
      </x:c>
      <x:c r="K1425" t="n">
        <x:f>IF(AND(J1425=1,C1425=0),1,0)</x:f>
        <x:v>0</x:v>
      </x:c>
      <x:c r="L1425" t="str">
        <x:f>IFERROR(INDEX(Customers!$C$2:$C$451,MATCH(A1425,Customers!$A$2:$A$451,0)),"Unknown")</x:f>
        <x:v>Standard</x:v>
      </x:c>
    </x:row>
    <x:row r="1426">
      <x:c r="A1426" t="n">
        <x:v>261</x:v>
      </x:c>
      <x:c r="B1426" s="16" t="n">
        <x:v>46235</x:v>
      </x:c>
      <x:c r="C1426" t="n">
        <x:v>1</x:v>
      </x:c>
      <x:c r="D1426" t="n">
        <x:v>28</x:v>
      </x:c>
      <x:c r="E1426" s="18" t="n">
        <x:v>1486.69</x:v>
      </x:c>
      <x:c r="F1426" s="18" t="n">
        <x:v>0</x:v>
      </x:c>
      <x:c r="G1426" s="18" t="n">
        <x:v>6.69</x:v>
      </x:c>
      <x:c r="H1426" s="18" t="n">
        <x:v>1.21</x:v>
      </x:c>
      <x:c r="I1426" s="18" t="n">
        <x:v>7.9</x:v>
      </x:c>
      <x:c r="J1426" t="n">
        <x:f>IF(A1426=A1425,IFERROR(IF(B1426=EDATE(B1425,1),C1425,0),0),0)</x:f>
        <x:v>1</x:v>
      </x:c>
      <x:c r="K1426" t="n">
        <x:f>IF(AND(J1426=1,C1426=0),1,0)</x:f>
        <x:v>0</x:v>
      </x:c>
      <x:c r="L1426" t="str">
        <x:f>IFERROR(INDEX(Customers!$C$2:$C$451,MATCH(A1426,Customers!$A$2:$A$451,0)),"Unknown")</x:f>
        <x:v>Standard</x:v>
      </x:c>
    </x:row>
    <x:row r="1427">
      <x:c r="A1427" t="n">
        <x:v>261</x:v>
      </x:c>
      <x:c r="B1427" s="16" t="n">
        <x:v>46266</x:v>
      </x:c>
      <x:c r="C1427" t="n">
        <x:v>0</x:v>
      </x:c>
      <x:c r="D1427" t="n">
        <x:v>0</x:v>
      </x:c>
      <x:c r="E1427" s="18" t="n">
        <x:v>0</x:v>
      </x:c>
      <x:c r="F1427" s="18" t="n">
        <x:v>0</x:v>
      </x:c>
      <x:c r="G1427" s="18" t="n">
        <x:v>0</x:v>
      </x:c>
      <x:c r="H1427" s="18" t="n">
        <x:v>0</x:v>
      </x:c>
      <x:c r="I1427" s="18" t="n">
        <x:v>0</x:v>
      </x:c>
      <x:c r="J1427" t="n">
        <x:f>IF(A1427=A1426,IFERROR(IF(B1427=EDATE(B1426,1),C1426,0),0),0)</x:f>
        <x:v>1</x:v>
      </x:c>
      <x:c r="K1427" t="n">
        <x:f>IF(AND(J1427=1,C1427=0),1,0)</x:f>
        <x:v>1</x:v>
      </x:c>
      <x:c r="L1427" t="str">
        <x:f>IFERROR(INDEX(Customers!$C$2:$C$451,MATCH(A1427,Customers!$A$2:$A$451,0)),"Unknown")</x:f>
        <x:v>Standard</x:v>
      </x:c>
    </x:row>
    <x:row r="1428">
      <x:c r="A1428" t="n">
        <x:v>262</x:v>
      </x:c>
      <x:c r="B1428" s="16" t="n">
        <x:v>46113</x:v>
      </x:c>
      <x:c r="C1428" t="n">
        <x:v>1</x:v>
      </x:c>
      <x:c r="D1428" t="n">
        <x:v>26</x:v>
      </x:c>
      <x:c r="E1428" s="18" t="n">
        <x:v>3295.35</x:v>
      </x:c>
      <x:c r="F1428" s="18" t="n">
        <x:v>0</x:v>
      </x:c>
      <x:c r="G1428" s="18" t="n">
        <x:v>14.83</x:v>
      </x:c>
      <x:c r="H1428" s="18" t="n">
        <x:v>2.78</x:v>
      </x:c>
      <x:c r="I1428" s="18" t="n">
        <x:v>17.61</x:v>
      </x:c>
      <x:c r="J1428" t="n">
        <x:f>IF(A1428=A1427,IFERROR(IF(B1428=EDATE(B1427,1),C1427,0),0),0)</x:f>
        <x:v>0</x:v>
      </x:c>
      <x:c r="K1428" t="n">
        <x:f>IF(AND(J1428=1,C1428=0),1,0)</x:f>
        <x:v>0</x:v>
      </x:c>
      <x:c r="L1428" t="str">
        <x:f>IFERROR(INDEX(Customers!$C$2:$C$451,MATCH(A1428,Customers!$A$2:$A$451,0)),"Unknown")</x:f>
        <x:v>Standard</x:v>
      </x:c>
    </x:row>
    <x:row r="1429">
      <x:c r="A1429" t="n">
        <x:v>262</x:v>
      </x:c>
      <x:c r="B1429" s="16" t="n">
        <x:v>46143</x:v>
      </x:c>
      <x:c r="C1429" t="n">
        <x:v>0</x:v>
      </x:c>
      <x:c r="D1429" t="n">
        <x:v>0</x:v>
      </x:c>
      <x:c r="E1429" s="18" t="n">
        <x:v>0</x:v>
      </x:c>
      <x:c r="F1429" s="18" t="n">
        <x:v>0</x:v>
      </x:c>
      <x:c r="G1429" s="18" t="n">
        <x:v>0</x:v>
      </x:c>
      <x:c r="H1429" s="18" t="n">
        <x:v>0</x:v>
      </x:c>
      <x:c r="I1429" s="18" t="n">
        <x:v>0</x:v>
      </x:c>
      <x:c r="J1429" t="n">
        <x:f>IF(A1429=A1428,IFERROR(IF(B1429=EDATE(B1428,1),C1428,0),0),0)</x:f>
        <x:v>1</x:v>
      </x:c>
      <x:c r="K1429" t="n">
        <x:f>IF(AND(J1429=1,C1429=0),1,0)</x:f>
        <x:v>1</x:v>
      </x:c>
      <x:c r="L1429" t="str">
        <x:f>IFERROR(INDEX(Customers!$C$2:$C$451,MATCH(A1429,Customers!$A$2:$A$451,0)),"Unknown")</x:f>
        <x:v>Standard</x:v>
      </x:c>
    </x:row>
    <x:row r="1430">
      <x:c r="A1430" t="n">
        <x:v>262</x:v>
      </x:c>
      <x:c r="B1430" s="16" t="n">
        <x:v>46174</x:v>
      </x:c>
      <x:c r="C1430" t="n">
        <x:v>1</x:v>
      </x:c>
      <x:c r="D1430" t="n">
        <x:v>7</x:v>
      </x:c>
      <x:c r="E1430" s="18" t="n">
        <x:v>925.15</x:v>
      </x:c>
      <x:c r="F1430" s="18" t="n">
        <x:v>0</x:v>
      </x:c>
      <x:c r="G1430" s="18" t="n">
        <x:v>4.16</x:v>
      </x:c>
      <x:c r="H1430" s="18" t="n">
        <x:v>1.36</x:v>
      </x:c>
      <x:c r="I1430" s="18" t="n">
        <x:v>5.52</x:v>
      </x:c>
      <x:c r="J1430" t="n">
        <x:f>IF(A1430=A1429,IFERROR(IF(B1430=EDATE(B1429,1),C1429,0),0),0)</x:f>
        <x:v>0</x:v>
      </x:c>
      <x:c r="K1430" t="n">
        <x:f>IF(AND(J1430=1,C1430=0),1,0)</x:f>
        <x:v>0</x:v>
      </x:c>
      <x:c r="L1430" t="str">
        <x:f>IFERROR(INDEX(Customers!$C$2:$C$451,MATCH(A1430,Customers!$A$2:$A$451,0)),"Unknown")</x:f>
        <x:v>Standard</x:v>
      </x:c>
    </x:row>
    <x:row r="1431">
      <x:c r="A1431" t="n">
        <x:v>262</x:v>
      </x:c>
      <x:c r="B1431" s="16" t="n">
        <x:v>46204</x:v>
      </x:c>
      <x:c r="C1431" t="n">
        <x:v>1</x:v>
      </x:c>
      <x:c r="D1431" t="n">
        <x:v>31</x:v>
      </x:c>
      <x:c r="E1431" s="18" t="n">
        <x:v>4279.99</x:v>
      </x:c>
      <x:c r="F1431" s="18" t="n">
        <x:v>0</x:v>
      </x:c>
      <x:c r="G1431" s="18" t="n">
        <x:v>19.26</x:v>
      </x:c>
      <x:c r="H1431" s="18" t="n">
        <x:v>3.93</x:v>
      </x:c>
      <x:c r="I1431" s="18" t="n">
        <x:v>23.19</x:v>
      </x:c>
      <x:c r="J1431" t="n">
        <x:f>IF(A1431=A1430,IFERROR(IF(B1431=EDATE(B1430,1),C1430,0),0),0)</x:f>
        <x:v>1</x:v>
      </x:c>
      <x:c r="K1431" t="n">
        <x:f>IF(AND(J1431=1,C1431=0),1,0)</x:f>
        <x:v>0</x:v>
      </x:c>
      <x:c r="L1431" t="str">
        <x:f>IFERROR(INDEX(Customers!$C$2:$C$451,MATCH(A1431,Customers!$A$2:$A$451,0)),"Unknown")</x:f>
        <x:v>Standard</x:v>
      </x:c>
    </x:row>
    <x:row r="1432">
      <x:c r="A1432" t="n">
        <x:v>262</x:v>
      </x:c>
      <x:c r="B1432" s="16" t="n">
        <x:v>46235</x:v>
      </x:c>
      <x:c r="C1432" t="n">
        <x:v>1</x:v>
      </x:c>
      <x:c r="D1432" t="n">
        <x:v>14</x:v>
      </x:c>
      <x:c r="E1432" s="18" t="n">
        <x:v>1779.35</x:v>
      </x:c>
      <x:c r="F1432" s="18" t="n">
        <x:v>0</x:v>
      </x:c>
      <x:c r="G1432" s="18" t="n">
        <x:v>8.01</x:v>
      </x:c>
      <x:c r="H1432" s="18" t="n">
        <x:v>6.39</x:v>
      </x:c>
      <x:c r="I1432" s="18" t="n">
        <x:v>14.4</x:v>
      </x:c>
      <x:c r="J1432" t="n">
        <x:f>IF(A1432=A1431,IFERROR(IF(B1432=EDATE(B1431,1),C1431,0),0),0)</x:f>
        <x:v>1</x:v>
      </x:c>
      <x:c r="K1432" t="n">
        <x:f>IF(AND(J1432=1,C1432=0),1,0)</x:f>
        <x:v>0</x:v>
      </x:c>
      <x:c r="L1432" t="str">
        <x:f>IFERROR(INDEX(Customers!$C$2:$C$451,MATCH(A1432,Customers!$A$2:$A$451,0)),"Unknown")</x:f>
        <x:v>Standard</x:v>
      </x:c>
    </x:row>
    <x:row r="1433">
      <x:c r="A1433" t="n">
        <x:v>262</x:v>
      </x:c>
      <x:c r="B1433" s="16" t="n">
        <x:v>46266</x:v>
      </x:c>
      <x:c r="C1433" t="n">
        <x:v>1</x:v>
      </x:c>
      <x:c r="D1433" t="n">
        <x:v>32</x:v>
      </x:c>
      <x:c r="E1433" s="18" t="n">
        <x:v>1772.78</x:v>
      </x:c>
      <x:c r="F1433" s="18" t="n">
        <x:v>0</x:v>
      </x:c>
      <x:c r="G1433" s="18" t="n">
        <x:v>7.98</x:v>
      </x:c>
      <x:c r="H1433" s="18" t="n">
        <x:v>4.95</x:v>
      </x:c>
      <x:c r="I1433" s="18" t="n">
        <x:v>12.93</x:v>
      </x:c>
      <x:c r="J1433" t="n">
        <x:f>IF(A1433=A1432,IFERROR(IF(B1433=EDATE(B1432,1),C1432,0),0),0)</x:f>
        <x:v>1</x:v>
      </x:c>
      <x:c r="K1433" t="n">
        <x:f>IF(AND(J1433=1,C1433=0),1,0)</x:f>
        <x:v>0</x:v>
      </x:c>
      <x:c r="L1433" t="str">
        <x:f>IFERROR(INDEX(Customers!$C$2:$C$451,MATCH(A1433,Customers!$A$2:$A$451,0)),"Unknown")</x:f>
        <x:v>Standard</x:v>
      </x:c>
    </x:row>
    <x:row r="1434">
      <x:c r="A1434" t="n">
        <x:v>263</x:v>
      </x:c>
      <x:c r="B1434" s="16" t="n">
        <x:v>46113</x:v>
      </x:c>
      <x:c r="C1434" t="n">
        <x:v>1</x:v>
      </x:c>
      <x:c r="D1434" t="n">
        <x:v>32</x:v>
      </x:c>
      <x:c r="E1434" s="18" t="n">
        <x:v>4212.11</x:v>
      </x:c>
      <x:c r="F1434" s="18" t="n">
        <x:v>8</x:v>
      </x:c>
      <x:c r="G1434" s="18" t="n">
        <x:v>18.95</x:v>
      </x:c>
      <x:c r="H1434" s="18" t="n">
        <x:v>10.41</x:v>
      </x:c>
      <x:c r="I1434" s="18" t="n">
        <x:v>37.36</x:v>
      </x:c>
      <x:c r="J1434" t="n">
        <x:f>IF(A1434=A1433,IFERROR(IF(B1434=EDATE(B1433,1),C1433,0),0),0)</x:f>
        <x:v>0</x:v>
      </x:c>
      <x:c r="K1434" t="n">
        <x:f>IF(AND(J1434=1,C1434=0),1,0)</x:f>
        <x:v>0</x:v>
      </x:c>
      <x:c r="L1434" t="str">
        <x:f>IFERROR(INDEX(Customers!$C$2:$C$451,MATCH(A1434,Customers!$A$2:$A$451,0)),"Unknown")</x:f>
        <x:v>Plus</x:v>
      </x:c>
    </x:row>
    <x:row r="1435">
      <x:c r="A1435" t="n">
        <x:v>263</x:v>
      </x:c>
      <x:c r="B1435" s="16" t="n">
        <x:v>46143</x:v>
      </x:c>
      <x:c r="C1435" t="n">
        <x:v>1</x:v>
      </x:c>
      <x:c r="D1435" t="n">
        <x:v>12</x:v>
      </x:c>
      <x:c r="E1435" s="18" t="n">
        <x:v>476.15</x:v>
      </x:c>
      <x:c r="F1435" s="18" t="n">
        <x:v>8</x:v>
      </x:c>
      <x:c r="G1435" s="18" t="n">
        <x:v>2.14</x:v>
      </x:c>
      <x:c r="H1435" s="18" t="n">
        <x:v>1.1</x:v>
      </x:c>
      <x:c r="I1435" s="18" t="n">
        <x:v>11.24</x:v>
      </x:c>
      <x:c r="J1435" t="n">
        <x:f>IF(A1435=A1434,IFERROR(IF(B1435=EDATE(B1434,1),C1434,0),0),0)</x:f>
        <x:v>1</x:v>
      </x:c>
      <x:c r="K1435" t="n">
        <x:f>IF(AND(J1435=1,C1435=0),1,0)</x:f>
        <x:v>0</x:v>
      </x:c>
      <x:c r="L1435" t="str">
        <x:f>IFERROR(INDEX(Customers!$C$2:$C$451,MATCH(A1435,Customers!$A$2:$A$451,0)),"Unknown")</x:f>
        <x:v>Plus</x:v>
      </x:c>
    </x:row>
    <x:row r="1436">
      <x:c r="A1436" t="n">
        <x:v>263</x:v>
      </x:c>
      <x:c r="B1436" s="16" t="n">
        <x:v>46174</x:v>
      </x:c>
      <x:c r="C1436" t="n">
        <x:v>1</x:v>
      </x:c>
      <x:c r="D1436" t="n">
        <x:v>9</x:v>
      </x:c>
      <x:c r="E1436" s="18" t="n">
        <x:v>1141.78</x:v>
      </x:c>
      <x:c r="F1436" s="18" t="n">
        <x:v>8</x:v>
      </x:c>
      <x:c r="G1436" s="18" t="n">
        <x:v>5.14</x:v>
      </x:c>
      <x:c r="H1436" s="18" t="n">
        <x:v>1.79</x:v>
      </x:c>
      <x:c r="I1436" s="18" t="n">
        <x:v>14.93</x:v>
      </x:c>
      <x:c r="J1436" t="n">
        <x:f>IF(A1436=A1435,IFERROR(IF(B1436=EDATE(B1435,1),C1435,0),0),0)</x:f>
        <x:v>1</x:v>
      </x:c>
      <x:c r="K1436" t="n">
        <x:f>IF(AND(J1436=1,C1436=0),1,0)</x:f>
        <x:v>0</x:v>
      </x:c>
      <x:c r="L1436" t="str">
        <x:f>IFERROR(INDEX(Customers!$C$2:$C$451,MATCH(A1436,Customers!$A$2:$A$451,0)),"Unknown")</x:f>
        <x:v>Plus</x:v>
      </x:c>
    </x:row>
    <x:row r="1437">
      <x:c r="A1437" t="n">
        <x:v>263</x:v>
      </x:c>
      <x:c r="B1437" s="16" t="n">
        <x:v>46204</x:v>
      </x:c>
      <x:c r="C1437" t="n">
        <x:v>1</x:v>
      </x:c>
      <x:c r="D1437" t="n">
        <x:v>34</x:v>
      </x:c>
      <x:c r="E1437" s="18" t="n">
        <x:v>2286.75</x:v>
      </x:c>
      <x:c r="F1437" s="18" t="n">
        <x:v>8</x:v>
      </x:c>
      <x:c r="G1437" s="18" t="n">
        <x:v>10.29</x:v>
      </x:c>
      <x:c r="H1437" s="18" t="n">
        <x:v>4.57</x:v>
      </x:c>
      <x:c r="I1437" s="18" t="n">
        <x:v>22.86</x:v>
      </x:c>
      <x:c r="J1437" t="n">
        <x:f>IF(A1437=A1436,IFERROR(IF(B1437=EDATE(B1436,1),C1436,0),0),0)</x:f>
        <x:v>1</x:v>
      </x:c>
      <x:c r="K1437" t="n">
        <x:f>IF(AND(J1437=1,C1437=0),1,0)</x:f>
        <x:v>0</x:v>
      </x:c>
      <x:c r="L1437" t="str">
        <x:f>IFERROR(INDEX(Customers!$C$2:$C$451,MATCH(A1437,Customers!$A$2:$A$451,0)),"Unknown")</x:f>
        <x:v>Plus</x:v>
      </x:c>
    </x:row>
    <x:row r="1438">
      <x:c r="A1438" t="n">
        <x:v>263</x:v>
      </x:c>
      <x:c r="B1438" s="16" t="n">
        <x:v>46235</x:v>
      </x:c>
      <x:c r="C1438" t="n">
        <x:v>1</x:v>
      </x:c>
      <x:c r="D1438" t="n">
        <x:v>19</x:v>
      </x:c>
      <x:c r="E1438" s="18" t="n">
        <x:v>1360.64</x:v>
      </x:c>
      <x:c r="F1438" s="18" t="n">
        <x:v>8</x:v>
      </x:c>
      <x:c r="G1438" s="18" t="n">
        <x:v>6.12</x:v>
      </x:c>
      <x:c r="H1438" s="18" t="n">
        <x:v>3.87</x:v>
      </x:c>
      <x:c r="I1438" s="18" t="n">
        <x:v>17.99</x:v>
      </x:c>
      <x:c r="J1438" t="n">
        <x:f>IF(A1438=A1437,IFERROR(IF(B1438=EDATE(B1437,1),C1437,0),0),0)</x:f>
        <x:v>1</x:v>
      </x:c>
      <x:c r="K1438" t="n">
        <x:f>IF(AND(J1438=1,C1438=0),1,0)</x:f>
        <x:v>0</x:v>
      </x:c>
      <x:c r="L1438" t="str">
        <x:f>IFERROR(INDEX(Customers!$C$2:$C$451,MATCH(A1438,Customers!$A$2:$A$451,0)),"Unknown")</x:f>
        <x:v>Plus</x:v>
      </x:c>
    </x:row>
    <x:row r="1439">
      <x:c r="A1439" t="n">
        <x:v>263</x:v>
      </x:c>
      <x:c r="B1439" s="16" t="n">
        <x:v>46266</x:v>
      </x:c>
      <x:c r="C1439" t="n">
        <x:v>1</x:v>
      </x:c>
      <x:c r="D1439" t="n">
        <x:v>8</x:v>
      </x:c>
      <x:c r="E1439" s="18" t="n">
        <x:v>304.66</x:v>
      </x:c>
      <x:c r="F1439" s="18" t="n">
        <x:v>8</x:v>
      </x:c>
      <x:c r="G1439" s="18" t="n">
        <x:v>1.37</x:v>
      </x:c>
      <x:c r="H1439" s="18" t="n">
        <x:v>0.98</x:v>
      </x:c>
      <x:c r="I1439" s="18" t="n">
        <x:v>10.35</x:v>
      </x:c>
      <x:c r="J1439" t="n">
        <x:f>IF(A1439=A1438,IFERROR(IF(B1439=EDATE(B1438,1),C1438,0),0),0)</x:f>
        <x:v>1</x:v>
      </x:c>
      <x:c r="K1439" t="n">
        <x:f>IF(AND(J1439=1,C1439=0),1,0)</x:f>
        <x:v>0</x:v>
      </x:c>
      <x:c r="L1439" t="str">
        <x:f>IFERROR(INDEX(Customers!$C$2:$C$451,MATCH(A1439,Customers!$A$2:$A$451,0)),"Unknown")</x:f>
        <x:v>Plus</x:v>
      </x:c>
    </x:row>
    <x:row r="1440">
      <x:c r="A1440" t="n">
        <x:v>264</x:v>
      </x:c>
      <x:c r="B1440" s="16" t="n">
        <x:v>46113</x:v>
      </x:c>
      <x:c r="C1440" t="n">
        <x:v>0</x:v>
      </x:c>
      <x:c r="D1440" t="n">
        <x:v>0</x:v>
      </x:c>
      <x:c r="E1440" s="18" t="n">
        <x:v>0</x:v>
      </x:c>
      <x:c r="F1440" s="18" t="n">
        <x:v>0</x:v>
      </x:c>
      <x:c r="G1440" s="18" t="n">
        <x:v>0</x:v>
      </x:c>
      <x:c r="H1440" s="18" t="n">
        <x:v>0</x:v>
      </x:c>
      <x:c r="I1440" s="18" t="n">
        <x:v>0</x:v>
      </x:c>
      <x:c r="J1440" t="n">
        <x:f>IF(A1440=A1439,IFERROR(IF(B1440=EDATE(B1439,1),C1439,0),0),0)</x:f>
        <x:v>0</x:v>
      </x:c>
      <x:c r="K1440" t="n">
        <x:f>IF(AND(J1440=1,C1440=0),1,0)</x:f>
        <x:v>0</x:v>
      </x:c>
      <x:c r="L1440" t="str">
        <x:f>IFERROR(INDEX(Customers!$C$2:$C$451,MATCH(A1440,Customers!$A$2:$A$451,0)),"Unknown")</x:f>
        <x:v>Standard</x:v>
      </x:c>
    </x:row>
    <x:row r="1441">
      <x:c r="A1441" t="n">
        <x:v>264</x:v>
      </x:c>
      <x:c r="B1441" s="16" t="n">
        <x:v>46143</x:v>
      </x:c>
      <x:c r="C1441" t="n">
        <x:v>1</x:v>
      </x:c>
      <x:c r="D1441" t="n">
        <x:v>24</x:v>
      </x:c>
      <x:c r="E1441" s="18" t="n">
        <x:v>2769</x:v>
      </x:c>
      <x:c r="F1441" s="18" t="n">
        <x:v>0</x:v>
      </x:c>
      <x:c r="G1441" s="18" t="n">
        <x:v>12.46</x:v>
      </x:c>
      <x:c r="H1441" s="18" t="n">
        <x:v>5.11</x:v>
      </x:c>
      <x:c r="I1441" s="18" t="n">
        <x:v>17.57</x:v>
      </x:c>
      <x:c r="J1441" t="n">
        <x:f>IF(A1441=A1440,IFERROR(IF(B1441=EDATE(B1440,1),C1440,0),0),0)</x:f>
        <x:v>0</x:v>
      </x:c>
      <x:c r="K1441" t="n">
        <x:f>IF(AND(J1441=1,C1441=0),1,0)</x:f>
        <x:v>0</x:v>
      </x:c>
      <x:c r="L1441" t="str">
        <x:f>IFERROR(INDEX(Customers!$C$2:$C$451,MATCH(A1441,Customers!$A$2:$A$451,0)),"Unknown")</x:f>
        <x:v>Standard</x:v>
      </x:c>
    </x:row>
    <x:row r="1442">
      <x:c r="A1442" t="n">
        <x:v>264</x:v>
      </x:c>
      <x:c r="B1442" s="16" t="n">
        <x:v>46174</x:v>
      </x:c>
      <x:c r="C1442" t="n">
        <x:v>1</x:v>
      </x:c>
      <x:c r="D1442" t="n">
        <x:v>8</x:v>
      </x:c>
      <x:c r="E1442" s="18" t="n">
        <x:v>451.15</x:v>
      </x:c>
      <x:c r="F1442" s="18" t="n">
        <x:v>0</x:v>
      </x:c>
      <x:c r="G1442" s="18" t="n">
        <x:v>2.03</x:v>
      </x:c>
      <x:c r="H1442" s="18" t="n">
        <x:v>0.94</x:v>
      </x:c>
      <x:c r="I1442" s="18" t="n">
        <x:v>2.97</x:v>
      </x:c>
      <x:c r="J1442" t="n">
        <x:f>IF(A1442=A1441,IFERROR(IF(B1442=EDATE(B1441,1),C1441,0),0),0)</x:f>
        <x:v>1</x:v>
      </x:c>
      <x:c r="K1442" t="n">
        <x:f>IF(AND(J1442=1,C1442=0),1,0)</x:f>
        <x:v>0</x:v>
      </x:c>
      <x:c r="L1442" t="str">
        <x:f>IFERROR(INDEX(Customers!$C$2:$C$451,MATCH(A1442,Customers!$A$2:$A$451,0)),"Unknown")</x:f>
        <x:v>Standard</x:v>
      </x:c>
    </x:row>
    <x:row r="1443">
      <x:c r="A1443" t="n">
        <x:v>264</x:v>
      </x:c>
      <x:c r="B1443" s="16" t="n">
        <x:v>46204</x:v>
      </x:c>
      <x:c r="C1443" t="n">
        <x:v>1</x:v>
      </x:c>
      <x:c r="D1443" t="n">
        <x:v>18</x:v>
      </x:c>
      <x:c r="E1443" s="18" t="n">
        <x:v>1627.88</x:v>
      </x:c>
      <x:c r="F1443" s="18" t="n">
        <x:v>0</x:v>
      </x:c>
      <x:c r="G1443" s="18" t="n">
        <x:v>7.33</x:v>
      </x:c>
      <x:c r="H1443" s="18" t="n">
        <x:v>2.92</x:v>
      </x:c>
      <x:c r="I1443" s="18" t="n">
        <x:v>10.25</x:v>
      </x:c>
      <x:c r="J1443" t="n">
        <x:f>IF(A1443=A1442,IFERROR(IF(B1443=EDATE(B1442,1),C1442,0),0),0)</x:f>
        <x:v>1</x:v>
      </x:c>
      <x:c r="K1443" t="n">
        <x:f>IF(AND(J1443=1,C1443=0),1,0)</x:f>
        <x:v>0</x:v>
      </x:c>
      <x:c r="L1443" t="str">
        <x:f>IFERROR(INDEX(Customers!$C$2:$C$451,MATCH(A1443,Customers!$A$2:$A$451,0)),"Unknown")</x:f>
        <x:v>Standard</x:v>
      </x:c>
    </x:row>
    <x:row r="1444">
      <x:c r="A1444" t="n">
        <x:v>264</x:v>
      </x:c>
      <x:c r="B1444" s="16" t="n">
        <x:v>46235</x:v>
      </x:c>
      <x:c r="C1444" t="n">
        <x:v>1</x:v>
      </x:c>
      <x:c r="D1444" t="n">
        <x:v>21</x:v>
      </x:c>
      <x:c r="E1444" s="18" t="n">
        <x:v>2190.39</x:v>
      </x:c>
      <x:c r="F1444" s="18" t="n">
        <x:v>0</x:v>
      </x:c>
      <x:c r="G1444" s="18" t="n">
        <x:v>9.86</x:v>
      </x:c>
      <x:c r="H1444" s="18" t="n">
        <x:v>8.12</x:v>
      </x:c>
      <x:c r="I1444" s="18" t="n">
        <x:v>17.98</x:v>
      </x:c>
      <x:c r="J1444" t="n">
        <x:f>IF(A1444=A1443,IFERROR(IF(B1444=EDATE(B1443,1),C1443,0),0),0)</x:f>
        <x:v>1</x:v>
      </x:c>
      <x:c r="K1444" t="n">
        <x:f>IF(AND(J1444=1,C1444=0),1,0)</x:f>
        <x:v>0</x:v>
      </x:c>
      <x:c r="L1444" t="str">
        <x:f>IFERROR(INDEX(Customers!$C$2:$C$451,MATCH(A1444,Customers!$A$2:$A$451,0)),"Unknown")</x:f>
        <x:v>Standard</x:v>
      </x:c>
    </x:row>
    <x:row r="1445">
      <x:c r="A1445" t="n">
        <x:v>264</x:v>
      </x:c>
      <x:c r="B1445" s="16" t="n">
        <x:v>46266</x:v>
      </x:c>
      <x:c r="C1445" t="n">
        <x:v>1</x:v>
      </x:c>
      <x:c r="D1445" t="n">
        <x:v>27</x:v>
      </x:c>
      <x:c r="E1445" s="18" t="n">
        <x:v>1872.19</x:v>
      </x:c>
      <x:c r="F1445" s="18" t="n">
        <x:v>0</x:v>
      </x:c>
      <x:c r="G1445" s="18" t="n">
        <x:v>8.42</x:v>
      </x:c>
      <x:c r="H1445" s="18" t="n">
        <x:v>2.99</x:v>
      </x:c>
      <x:c r="I1445" s="18" t="n">
        <x:v>11.41</x:v>
      </x:c>
      <x:c r="J1445" t="n">
        <x:f>IF(A1445=A1444,IFERROR(IF(B1445=EDATE(B1444,1),C1444,0),0),0)</x:f>
        <x:v>1</x:v>
      </x:c>
      <x:c r="K1445" t="n">
        <x:f>IF(AND(J1445=1,C1445=0),1,0)</x:f>
        <x:v>0</x:v>
      </x:c>
      <x:c r="L1445" t="str">
        <x:f>IFERROR(INDEX(Customers!$C$2:$C$451,MATCH(A1445,Customers!$A$2:$A$451,0)),"Unknown")</x:f>
        <x:v>Standard</x:v>
      </x:c>
    </x:row>
    <x:row r="1446">
      <x:c r="A1446" t="n">
        <x:v>265</x:v>
      </x:c>
      <x:c r="B1446" s="16" t="n">
        <x:v>46113</x:v>
      </x:c>
      <x:c r="C1446" t="n">
        <x:v>0</x:v>
      </x:c>
      <x:c r="D1446" t="n">
        <x:v>0</x:v>
      </x:c>
      <x:c r="E1446" s="18" t="n">
        <x:v>0</x:v>
      </x:c>
      <x:c r="F1446" s="18" t="n">
        <x:v>0</x:v>
      </x:c>
      <x:c r="G1446" s="18" t="n">
        <x:v>0</x:v>
      </x:c>
      <x:c r="H1446" s="18" t="n">
        <x:v>0</x:v>
      </x:c>
      <x:c r="I1446" s="18" t="n">
        <x:v>0</x:v>
      </x:c>
      <x:c r="J1446" t="n">
        <x:f>IF(A1446=A1445,IFERROR(IF(B1446=EDATE(B1445,1),C1445,0),0),0)</x:f>
        <x:v>0</x:v>
      </x:c>
      <x:c r="K1446" t="n">
        <x:f>IF(AND(J1446=1,C1446=0),1,0)</x:f>
        <x:v>0</x:v>
      </x:c>
      <x:c r="L1446" t="str">
        <x:f>IFERROR(INDEX(Customers!$C$2:$C$451,MATCH(A1446,Customers!$A$2:$A$451,0)),"Unknown")</x:f>
        <x:v>Premium</x:v>
      </x:c>
    </x:row>
    <x:row r="1447">
      <x:c r="A1447" t="n">
        <x:v>265</x:v>
      </x:c>
      <x:c r="B1447" s="16" t="n">
        <x:v>46143</x:v>
      </x:c>
      <x:c r="C1447" t="n">
        <x:v>1</x:v>
      </x:c>
      <x:c r="D1447" t="n">
        <x:v>31</x:v>
      </x:c>
      <x:c r="E1447" s="18" t="n">
        <x:v>1480.23</x:v>
      </x:c>
      <x:c r="F1447" s="18" t="n">
        <x:v>17</x:v>
      </x:c>
      <x:c r="G1447" s="18" t="n">
        <x:v>6.66</x:v>
      </x:c>
      <x:c r="H1447" s="18" t="n">
        <x:v>5.03</x:v>
      </x:c>
      <x:c r="I1447" s="18" t="n">
        <x:v>28.69</x:v>
      </x:c>
      <x:c r="J1447" t="n">
        <x:f>IF(A1447=A1446,IFERROR(IF(B1447=EDATE(B1446,1),C1446,0),0),0)</x:f>
        <x:v>0</x:v>
      </x:c>
      <x:c r="K1447" t="n">
        <x:f>IF(AND(J1447=1,C1447=0),1,0)</x:f>
        <x:v>0</x:v>
      </x:c>
      <x:c r="L1447" t="str">
        <x:f>IFERROR(INDEX(Customers!$C$2:$C$451,MATCH(A1447,Customers!$A$2:$A$451,0)),"Unknown")</x:f>
        <x:v>Premium</x:v>
      </x:c>
    </x:row>
    <x:row r="1448">
      <x:c r="A1448" t="n">
        <x:v>265</x:v>
      </x:c>
      <x:c r="B1448" s="16" t="n">
        <x:v>46174</x:v>
      </x:c>
      <x:c r="C1448" t="n">
        <x:v>1</x:v>
      </x:c>
      <x:c r="D1448" t="n">
        <x:v>11</x:v>
      </x:c>
      <x:c r="E1448" s="18" t="n">
        <x:v>1082.98</x:v>
      </x:c>
      <x:c r="F1448" s="18" t="n">
        <x:v>17</x:v>
      </x:c>
      <x:c r="G1448" s="18" t="n">
        <x:v>4.87</x:v>
      </x:c>
      <x:c r="H1448" s="18" t="n">
        <x:v>3.65</x:v>
      </x:c>
      <x:c r="I1448" s="18" t="n">
        <x:v>25.52</x:v>
      </x:c>
      <x:c r="J1448" t="n">
        <x:f>IF(A1448=A1447,IFERROR(IF(B1448=EDATE(B1447,1),C1447,0),0),0)</x:f>
        <x:v>1</x:v>
      </x:c>
      <x:c r="K1448" t="n">
        <x:f>IF(AND(J1448=1,C1448=0),1,0)</x:f>
        <x:v>0</x:v>
      </x:c>
      <x:c r="L1448" t="str">
        <x:f>IFERROR(INDEX(Customers!$C$2:$C$451,MATCH(A1448,Customers!$A$2:$A$451,0)),"Unknown")</x:f>
        <x:v>Premium</x:v>
      </x:c>
    </x:row>
    <x:row r="1449">
      <x:c r="A1449" t="n">
        <x:v>265</x:v>
      </x:c>
      <x:c r="B1449" s="16" t="n">
        <x:v>46204</x:v>
      </x:c>
      <x:c r="C1449" t="n">
        <x:v>1</x:v>
      </x:c>
      <x:c r="D1449" t="n">
        <x:v>27</x:v>
      </x:c>
      <x:c r="E1449" s="18" t="n">
        <x:v>2978.52</x:v>
      </x:c>
      <x:c r="F1449" s="18" t="n">
        <x:v>17</x:v>
      </x:c>
      <x:c r="G1449" s="18" t="n">
        <x:v>13.4</x:v>
      </x:c>
      <x:c r="H1449" s="18" t="n">
        <x:v>10.16</x:v>
      </x:c>
      <x:c r="I1449" s="18" t="n">
        <x:v>40.56</x:v>
      </x:c>
      <x:c r="J1449" t="n">
        <x:f>IF(A1449=A1448,IFERROR(IF(B1449=EDATE(B1448,1),C1448,0),0),0)</x:f>
        <x:v>1</x:v>
      </x:c>
      <x:c r="K1449" t="n">
        <x:f>IF(AND(J1449=1,C1449=0),1,0)</x:f>
        <x:v>0</x:v>
      </x:c>
      <x:c r="L1449" t="str">
        <x:f>IFERROR(INDEX(Customers!$C$2:$C$451,MATCH(A1449,Customers!$A$2:$A$451,0)),"Unknown")</x:f>
        <x:v>Premium</x:v>
      </x:c>
    </x:row>
    <x:row r="1450">
      <x:c r="A1450" t="n">
        <x:v>265</x:v>
      </x:c>
      <x:c r="B1450" s="16" t="n">
        <x:v>46235</x:v>
      </x:c>
      <x:c r="C1450" t="n">
        <x:v>1</x:v>
      </x:c>
      <x:c r="D1450" t="n">
        <x:v>29</x:v>
      </x:c>
      <x:c r="E1450" s="18" t="n">
        <x:v>2929.13</x:v>
      </x:c>
      <x:c r="F1450" s="18" t="n">
        <x:v>17</x:v>
      </x:c>
      <x:c r="G1450" s="18" t="n">
        <x:v>13.18</x:v>
      </x:c>
      <x:c r="H1450" s="18" t="n">
        <x:v>7.81</x:v>
      </x:c>
      <x:c r="I1450" s="18" t="n">
        <x:v>37.99</x:v>
      </x:c>
      <x:c r="J1450" t="n">
        <x:f>IF(A1450=A1449,IFERROR(IF(B1450=EDATE(B1449,1),C1449,0),0),0)</x:f>
        <x:v>1</x:v>
      </x:c>
      <x:c r="K1450" t="n">
        <x:f>IF(AND(J1450=1,C1450=0),1,0)</x:f>
        <x:v>0</x:v>
      </x:c>
      <x:c r="L1450" t="str">
        <x:f>IFERROR(INDEX(Customers!$C$2:$C$451,MATCH(A1450,Customers!$A$2:$A$451,0)),"Unknown")</x:f>
        <x:v>Premium</x:v>
      </x:c>
    </x:row>
    <x:row r="1451">
      <x:c r="A1451" t="n">
        <x:v>265</x:v>
      </x:c>
      <x:c r="B1451" s="16" t="n">
        <x:v>46266</x:v>
      </x:c>
      <x:c r="C1451" t="n">
        <x:v>0</x:v>
      </x:c>
      <x:c r="D1451" t="n">
        <x:v>0</x:v>
      </x:c>
      <x:c r="E1451" s="18" t="n">
        <x:v>0</x:v>
      </x:c>
      <x:c r="F1451" s="18" t="n">
        <x:v>0</x:v>
      </x:c>
      <x:c r="G1451" s="18" t="n">
        <x:v>0</x:v>
      </x:c>
      <x:c r="H1451" s="18" t="n">
        <x:v>0</x:v>
      </x:c>
      <x:c r="I1451" s="18" t="n">
        <x:v>0</x:v>
      </x:c>
      <x:c r="J1451" t="n">
        <x:f>IF(A1451=A1450,IFERROR(IF(B1451=EDATE(B1450,1),C1450,0),0),0)</x:f>
        <x:v>1</x:v>
      </x:c>
      <x:c r="K1451" t="n">
        <x:f>IF(AND(J1451=1,C1451=0),1,0)</x:f>
        <x:v>1</x:v>
      </x:c>
      <x:c r="L1451" t="str">
        <x:f>IFERROR(INDEX(Customers!$C$2:$C$451,MATCH(A1451,Customers!$A$2:$A$451,0)),"Unknown")</x:f>
        <x:v>Premium</x:v>
      </x:c>
    </x:row>
    <x:row r="1452">
      <x:c r="A1452" t="n">
        <x:v>266</x:v>
      </x:c>
      <x:c r="B1452" s="16" t="n">
        <x:v>46113</x:v>
      </x:c>
      <x:c r="C1452" t="n">
        <x:v>1</x:v>
      </x:c>
      <x:c r="D1452" t="n">
        <x:v>33</x:v>
      </x:c>
      <x:c r="E1452" s="18" t="n">
        <x:v>1897.83</x:v>
      </x:c>
      <x:c r="F1452" s="18" t="n">
        <x:v>8</x:v>
      </x:c>
      <x:c r="G1452" s="18" t="n">
        <x:v>8.54</x:v>
      </x:c>
      <x:c r="H1452" s="18" t="n">
        <x:v>3.98</x:v>
      </x:c>
      <x:c r="I1452" s="18" t="n">
        <x:v>20.52</x:v>
      </x:c>
      <x:c r="J1452" t="n">
        <x:f>IF(A1452=A1451,IFERROR(IF(B1452=EDATE(B1451,1),C1451,0),0),0)</x:f>
        <x:v>0</x:v>
      </x:c>
      <x:c r="K1452" t="n">
        <x:f>IF(AND(J1452=1,C1452=0),1,0)</x:f>
        <x:v>0</x:v>
      </x:c>
      <x:c r="L1452" t="str">
        <x:f>IFERROR(INDEX(Customers!$C$2:$C$451,MATCH(A1452,Customers!$A$2:$A$451,0)),"Unknown")</x:f>
        <x:v>Plus</x:v>
      </x:c>
    </x:row>
    <x:row r="1453">
      <x:c r="A1453" t="n">
        <x:v>266</x:v>
      </x:c>
      <x:c r="B1453" s="16" t="n">
        <x:v>46143</x:v>
      </x:c>
      <x:c r="C1453" t="n">
        <x:v>1</x:v>
      </x:c>
      <x:c r="D1453" t="n">
        <x:v>20</x:v>
      </x:c>
      <x:c r="E1453" s="18" t="n">
        <x:v>1788.58</x:v>
      </x:c>
      <x:c r="F1453" s="18" t="n">
        <x:v>8</x:v>
      </x:c>
      <x:c r="G1453" s="18" t="n">
        <x:v>8.05</x:v>
      </x:c>
      <x:c r="H1453" s="18" t="n">
        <x:v>3.1</x:v>
      </x:c>
      <x:c r="I1453" s="18" t="n">
        <x:v>19.15</x:v>
      </x:c>
      <x:c r="J1453" t="n">
        <x:f>IF(A1453=A1452,IFERROR(IF(B1453=EDATE(B1452,1),C1452,0),0),0)</x:f>
        <x:v>1</x:v>
      </x:c>
      <x:c r="K1453" t="n">
        <x:f>IF(AND(J1453=1,C1453=0),1,0)</x:f>
        <x:v>0</x:v>
      </x:c>
      <x:c r="L1453" t="str">
        <x:f>IFERROR(INDEX(Customers!$C$2:$C$451,MATCH(A1453,Customers!$A$2:$A$451,0)),"Unknown")</x:f>
        <x:v>Plus</x:v>
      </x:c>
    </x:row>
    <x:row r="1454">
      <x:c r="A1454" t="n">
        <x:v>266</x:v>
      </x:c>
      <x:c r="B1454" s="16" t="n">
        <x:v>46174</x:v>
      </x:c>
      <x:c r="C1454" t="n">
        <x:v>0</x:v>
      </x:c>
      <x:c r="D1454" t="n">
        <x:v>0</x:v>
      </x:c>
      <x:c r="E1454" s="18" t="n">
        <x:v>0</x:v>
      </x:c>
      <x:c r="F1454" s="18" t="n">
        <x:v>0</x:v>
      </x:c>
      <x:c r="G1454" s="18" t="n">
        <x:v>0</x:v>
      </x:c>
      <x:c r="H1454" s="18" t="n">
        <x:v>0</x:v>
      </x:c>
      <x:c r="I1454" s="18" t="n">
        <x:v>0</x:v>
      </x:c>
      <x:c r="J1454" t="n">
        <x:f>IF(A1454=A1453,IFERROR(IF(B1454=EDATE(B1453,1),C1453,0),0),0)</x:f>
        <x:v>1</x:v>
      </x:c>
      <x:c r="K1454" t="n">
        <x:f>IF(AND(J1454=1,C1454=0),1,0)</x:f>
        <x:v>1</x:v>
      </x:c>
      <x:c r="L1454" t="str">
        <x:f>IFERROR(INDEX(Customers!$C$2:$C$451,MATCH(A1454,Customers!$A$2:$A$451,0)),"Unknown")</x:f>
        <x:v>Plus</x:v>
      </x:c>
    </x:row>
    <x:row r="1455">
      <x:c r="A1455" t="n">
        <x:v>266</x:v>
      </x:c>
      <x:c r="B1455" s="16" t="n">
        <x:v>46204</x:v>
      </x:c>
      <x:c r="C1455" t="n">
        <x:v>0</x:v>
      </x:c>
      <x:c r="D1455" t="n">
        <x:v>0</x:v>
      </x:c>
      <x:c r="E1455" s="18" t="n">
        <x:v>0</x:v>
      </x:c>
      <x:c r="F1455" s="18" t="n">
        <x:v>0</x:v>
      </x:c>
      <x:c r="G1455" s="18" t="n">
        <x:v>0</x:v>
      </x:c>
      <x:c r="H1455" s="18" t="n">
        <x:v>0</x:v>
      </x:c>
      <x:c r="I1455" s="18" t="n">
        <x:v>0</x:v>
      </x:c>
      <x:c r="J1455" t="n">
        <x:f>IF(A1455=A1454,IFERROR(IF(B1455=EDATE(B1454,1),C1454,0),0),0)</x:f>
        <x:v>0</x:v>
      </x:c>
      <x:c r="K1455" t="n">
        <x:f>IF(AND(J1455=1,C1455=0),1,0)</x:f>
        <x:v>0</x:v>
      </x:c>
      <x:c r="L1455" t="str">
        <x:f>IFERROR(INDEX(Customers!$C$2:$C$451,MATCH(A1455,Customers!$A$2:$A$451,0)),"Unknown")</x:f>
        <x:v>Plus</x:v>
      </x:c>
    </x:row>
    <x:row r="1456">
      <x:c r="A1456" t="n">
        <x:v>266</x:v>
      </x:c>
      <x:c r="B1456" s="16" t="n">
        <x:v>46235</x:v>
      </x:c>
      <x:c r="C1456" t="n">
        <x:v>1</x:v>
      </x:c>
      <x:c r="D1456" t="n">
        <x:v>17</x:v>
      </x:c>
      <x:c r="E1456" s="18" t="n">
        <x:v>1866.97</x:v>
      </x:c>
      <x:c r="F1456" s="18" t="n">
        <x:v>8</x:v>
      </x:c>
      <x:c r="G1456" s="18" t="n">
        <x:v>8.4</x:v>
      </x:c>
      <x:c r="H1456" s="18" t="n">
        <x:v>3.74</x:v>
      </x:c>
      <x:c r="I1456" s="18" t="n">
        <x:v>20.14</x:v>
      </x:c>
      <x:c r="J1456" t="n">
        <x:f>IF(A1456=A1455,IFERROR(IF(B1456=EDATE(B1455,1),C1455,0),0),0)</x:f>
        <x:v>0</x:v>
      </x:c>
      <x:c r="K1456" t="n">
        <x:f>IF(AND(J1456=1,C1456=0),1,0)</x:f>
        <x:v>0</x:v>
      </x:c>
      <x:c r="L1456" t="str">
        <x:f>IFERROR(INDEX(Customers!$C$2:$C$451,MATCH(A1456,Customers!$A$2:$A$451,0)),"Unknown")</x:f>
        <x:v>Plus</x:v>
      </x:c>
    </x:row>
    <x:row r="1457">
      <x:c r="A1457" t="n">
        <x:v>266</x:v>
      </x:c>
      <x:c r="B1457" s="16" t="n">
        <x:v>46266</x:v>
      </x:c>
      <x:c r="C1457" t="n">
        <x:v>0</x:v>
      </x:c>
      <x:c r="D1457" t="n">
        <x:v>0</x:v>
      </x:c>
      <x:c r="E1457" s="18" t="n">
        <x:v>0</x:v>
      </x:c>
      <x:c r="F1457" s="18" t="n">
        <x:v>0</x:v>
      </x:c>
      <x:c r="G1457" s="18" t="n">
        <x:v>0</x:v>
      </x:c>
      <x:c r="H1457" s="18" t="n">
        <x:v>0</x:v>
      </x:c>
      <x:c r="I1457" s="18" t="n">
        <x:v>0</x:v>
      </x:c>
      <x:c r="J1457" t="n">
        <x:f>IF(A1457=A1456,IFERROR(IF(B1457=EDATE(B1456,1),C1456,0),0),0)</x:f>
        <x:v>1</x:v>
      </x:c>
      <x:c r="K1457" t="n">
        <x:f>IF(AND(J1457=1,C1457=0),1,0)</x:f>
        <x:v>1</x:v>
      </x:c>
      <x:c r="L1457" t="str">
        <x:f>IFERROR(INDEX(Customers!$C$2:$C$451,MATCH(A1457,Customers!$A$2:$A$451,0)),"Unknown")</x:f>
        <x:v>Plus</x:v>
      </x:c>
    </x:row>
    <x:row r="1458">
      <x:c r="A1458" t="n">
        <x:v>267</x:v>
      </x:c>
      <x:c r="B1458" s="16" t="n">
        <x:v>46113</x:v>
      </x:c>
      <x:c r="C1458" t="n">
        <x:v>1</x:v>
      </x:c>
      <x:c r="D1458" t="n">
        <x:v>9</x:v>
      </x:c>
      <x:c r="E1458" s="18" t="n">
        <x:v>552.68</x:v>
      </x:c>
      <x:c r="F1458" s="18" t="n">
        <x:v>8</x:v>
      </x:c>
      <x:c r="G1458" s="18" t="n">
        <x:v>2.49</x:v>
      </x:c>
      <x:c r="H1458" s="18" t="n">
        <x:v>1.99</x:v>
      </x:c>
      <x:c r="I1458" s="18" t="n">
        <x:v>12.48</x:v>
      </x:c>
      <x:c r="J1458" t="n">
        <x:f>IF(A1458=A1457,IFERROR(IF(B1458=EDATE(B1457,1),C1457,0),0),0)</x:f>
        <x:v>0</x:v>
      </x:c>
      <x:c r="K1458" t="n">
        <x:f>IF(AND(J1458=1,C1458=0),1,0)</x:f>
        <x:v>0</x:v>
      </x:c>
      <x:c r="L1458" t="str">
        <x:f>IFERROR(INDEX(Customers!$C$2:$C$451,MATCH(A1458,Customers!$A$2:$A$451,0)),"Unknown")</x:f>
        <x:v>Plus</x:v>
      </x:c>
    </x:row>
    <x:row r="1459">
      <x:c r="A1459" t="n">
        <x:v>267</x:v>
      </x:c>
      <x:c r="B1459" s="16" t="n">
        <x:v>46143</x:v>
      </x:c>
      <x:c r="C1459" t="n">
        <x:v>1</x:v>
      </x:c>
      <x:c r="D1459" t="n">
        <x:v>18</x:v>
      </x:c>
      <x:c r="E1459" s="18" t="n">
        <x:v>1378.57</x:v>
      </x:c>
      <x:c r="F1459" s="18" t="n">
        <x:v>8</x:v>
      </x:c>
      <x:c r="G1459" s="18" t="n">
        <x:v>6.2</x:v>
      </x:c>
      <x:c r="H1459" s="18" t="n">
        <x:v>2.28</x:v>
      </x:c>
      <x:c r="I1459" s="18" t="n">
        <x:v>16.48</x:v>
      </x:c>
      <x:c r="J1459" t="n">
        <x:f>IF(A1459=A1458,IFERROR(IF(B1459=EDATE(B1458,1),C1458,0),0),0)</x:f>
        <x:v>1</x:v>
      </x:c>
      <x:c r="K1459" t="n">
        <x:f>IF(AND(J1459=1,C1459=0),1,0)</x:f>
        <x:v>0</x:v>
      </x:c>
      <x:c r="L1459" t="str">
        <x:f>IFERROR(INDEX(Customers!$C$2:$C$451,MATCH(A1459,Customers!$A$2:$A$451,0)),"Unknown")</x:f>
        <x:v>Plus</x:v>
      </x:c>
    </x:row>
    <x:row r="1460">
      <x:c r="A1460" t="n">
        <x:v>267</x:v>
      </x:c>
      <x:c r="B1460" s="16" t="n">
        <x:v>46174</x:v>
      </x:c>
      <x:c r="C1460" t="n">
        <x:v>0</x:v>
      </x:c>
      <x:c r="D1460" t="n">
        <x:v>0</x:v>
      </x:c>
      <x:c r="E1460" s="18" t="n">
        <x:v>0</x:v>
      </x:c>
      <x:c r="F1460" s="18" t="n">
        <x:v>0</x:v>
      </x:c>
      <x:c r="G1460" s="18" t="n">
        <x:v>0</x:v>
      </x:c>
      <x:c r="H1460" s="18" t="n">
        <x:v>0</x:v>
      </x:c>
      <x:c r="I1460" s="18" t="n">
        <x:v>0</x:v>
      </x:c>
      <x:c r="J1460" t="n">
        <x:f>IF(A1460=A1459,IFERROR(IF(B1460=EDATE(B1459,1),C1459,0),0),0)</x:f>
        <x:v>1</x:v>
      </x:c>
      <x:c r="K1460" t="n">
        <x:f>IF(AND(J1460=1,C1460=0),1,0)</x:f>
        <x:v>1</x:v>
      </x:c>
      <x:c r="L1460" t="str">
        <x:f>IFERROR(INDEX(Customers!$C$2:$C$451,MATCH(A1460,Customers!$A$2:$A$451,0)),"Unknown")</x:f>
        <x:v>Plus</x:v>
      </x:c>
    </x:row>
    <x:row r="1461">
      <x:c r="A1461" t="n">
        <x:v>267</x:v>
      </x:c>
      <x:c r="B1461" s="16" t="n">
        <x:v>46204</x:v>
      </x:c>
      <x:c r="C1461" t="n">
        <x:v>1</x:v>
      </x:c>
      <x:c r="D1461" t="n">
        <x:v>29</x:v>
      </x:c>
      <x:c r="E1461" s="18" t="n">
        <x:v>1404.09</x:v>
      </x:c>
      <x:c r="F1461" s="18" t="n">
        <x:v>8</x:v>
      </x:c>
      <x:c r="G1461" s="18" t="n">
        <x:v>6.32</x:v>
      </x:c>
      <x:c r="H1461" s="18" t="n">
        <x:v>5.02</x:v>
      </x:c>
      <x:c r="I1461" s="18" t="n">
        <x:v>19.34</x:v>
      </x:c>
      <x:c r="J1461" t="n">
        <x:f>IF(A1461=A1460,IFERROR(IF(B1461=EDATE(B1460,1),C1460,0),0),0)</x:f>
        <x:v>0</x:v>
      </x:c>
      <x:c r="K1461" t="n">
        <x:f>IF(AND(J1461=1,C1461=0),1,0)</x:f>
        <x:v>0</x:v>
      </x:c>
      <x:c r="L1461" t="str">
        <x:f>IFERROR(INDEX(Customers!$C$2:$C$451,MATCH(A1461,Customers!$A$2:$A$451,0)),"Unknown")</x:f>
        <x:v>Plus</x:v>
      </x:c>
    </x:row>
    <x:row r="1462">
      <x:c r="A1462" t="n">
        <x:v>267</x:v>
      </x:c>
      <x:c r="B1462" s="16" t="n">
        <x:v>46235</x:v>
      </x:c>
      <x:c r="C1462" t="n">
        <x:v>1</x:v>
      </x:c>
      <x:c r="D1462" t="n">
        <x:v>30</x:v>
      </x:c>
      <x:c r="E1462" s="18" t="n">
        <x:v>3545.12</x:v>
      </x:c>
      <x:c r="F1462" s="18" t="n">
        <x:v>8</x:v>
      </x:c>
      <x:c r="G1462" s="18" t="n">
        <x:v>15.95</x:v>
      </x:c>
      <x:c r="H1462" s="18" t="n">
        <x:v>11.76</x:v>
      </x:c>
      <x:c r="I1462" s="18" t="n">
        <x:v>35.71</x:v>
      </x:c>
      <x:c r="J1462" t="n">
        <x:f>IF(A1462=A1461,IFERROR(IF(B1462=EDATE(B1461,1),C1461,0),0),0)</x:f>
        <x:v>1</x:v>
      </x:c>
      <x:c r="K1462" t="n">
        <x:f>IF(AND(J1462=1,C1462=0),1,0)</x:f>
        <x:v>0</x:v>
      </x:c>
      <x:c r="L1462" t="str">
        <x:f>IFERROR(INDEX(Customers!$C$2:$C$451,MATCH(A1462,Customers!$A$2:$A$451,0)),"Unknown")</x:f>
        <x:v>Plus</x:v>
      </x:c>
    </x:row>
    <x:row r="1463">
      <x:c r="A1463" t="n">
        <x:v>267</x:v>
      </x:c>
      <x:c r="B1463" s="16" t="n">
        <x:v>46266</x:v>
      </x:c>
      <x:c r="C1463" t="n">
        <x:v>1</x:v>
      </x:c>
      <x:c r="D1463" t="n">
        <x:v>23</x:v>
      </x:c>
      <x:c r="E1463" s="18" t="n">
        <x:v>2292.4</x:v>
      </x:c>
      <x:c r="F1463" s="18" t="n">
        <x:v>8</x:v>
      </x:c>
      <x:c r="G1463" s="18" t="n">
        <x:v>10.32</x:v>
      </x:c>
      <x:c r="H1463" s="18" t="n">
        <x:v>3.66</x:v>
      </x:c>
      <x:c r="I1463" s="18" t="n">
        <x:v>21.98</x:v>
      </x:c>
      <x:c r="J1463" t="n">
        <x:f>IF(A1463=A1462,IFERROR(IF(B1463=EDATE(B1462,1),C1462,0),0),0)</x:f>
        <x:v>1</x:v>
      </x:c>
      <x:c r="K1463" t="n">
        <x:f>IF(AND(J1463=1,C1463=0),1,0)</x:f>
        <x:v>0</x:v>
      </x:c>
      <x:c r="L1463" t="str">
        <x:f>IFERROR(INDEX(Customers!$C$2:$C$451,MATCH(A1463,Customers!$A$2:$A$451,0)),"Unknown")</x:f>
        <x:v>Plus</x:v>
      </x:c>
    </x:row>
    <x:row r="1464">
      <x:c r="A1464" t="n">
        <x:v>268</x:v>
      </x:c>
      <x:c r="B1464" s="16" t="n">
        <x:v>46113</x:v>
      </x:c>
      <x:c r="C1464" t="n">
        <x:v>1</x:v>
      </x:c>
      <x:c r="D1464" t="n">
        <x:v>11</x:v>
      </x:c>
      <x:c r="E1464" s="18" t="n">
        <x:v>1265.63</x:v>
      </x:c>
      <x:c r="F1464" s="18" t="n">
        <x:v>8</x:v>
      </x:c>
      <x:c r="G1464" s="18" t="n">
        <x:v>5.7</x:v>
      </x:c>
      <x:c r="H1464" s="18" t="n">
        <x:v>1.23</x:v>
      </x:c>
      <x:c r="I1464" s="18" t="n">
        <x:v>14.93</x:v>
      </x:c>
      <x:c r="J1464" t="n">
        <x:f>IF(A1464=A1463,IFERROR(IF(B1464=EDATE(B1463,1),C1463,0),0),0)</x:f>
        <x:v>0</x:v>
      </x:c>
      <x:c r="K1464" t="n">
        <x:f>IF(AND(J1464=1,C1464=0),1,0)</x:f>
        <x:v>0</x:v>
      </x:c>
      <x:c r="L1464" t="str">
        <x:f>IFERROR(INDEX(Customers!$C$2:$C$451,MATCH(A1464,Customers!$A$2:$A$451,0)),"Unknown")</x:f>
        <x:v>Plus</x:v>
      </x:c>
    </x:row>
    <x:row r="1465">
      <x:c r="A1465" t="n">
        <x:v>268</x:v>
      </x:c>
      <x:c r="B1465" s="16" t="n">
        <x:v>46143</x:v>
      </x:c>
      <x:c r="C1465" t="n">
        <x:v>1</x:v>
      </x:c>
      <x:c r="D1465" t="n">
        <x:v>17</x:v>
      </x:c>
      <x:c r="E1465" s="18" t="n">
        <x:v>1673.59</x:v>
      </x:c>
      <x:c r="F1465" s="18" t="n">
        <x:v>8</x:v>
      </x:c>
      <x:c r="G1465" s="18" t="n">
        <x:v>7.53</x:v>
      </x:c>
      <x:c r="H1465" s="18" t="n">
        <x:v>3.99</x:v>
      </x:c>
      <x:c r="I1465" s="18" t="n">
        <x:v>19.52</x:v>
      </x:c>
      <x:c r="J1465" t="n">
        <x:f>IF(A1465=A1464,IFERROR(IF(B1465=EDATE(B1464,1),C1464,0),0),0)</x:f>
        <x:v>1</x:v>
      </x:c>
      <x:c r="K1465" t="n">
        <x:f>IF(AND(J1465=1,C1465=0),1,0)</x:f>
        <x:v>0</x:v>
      </x:c>
      <x:c r="L1465" t="str">
        <x:f>IFERROR(INDEX(Customers!$C$2:$C$451,MATCH(A1465,Customers!$A$2:$A$451,0)),"Unknown")</x:f>
        <x:v>Plus</x:v>
      </x:c>
    </x:row>
    <x:row r="1466">
      <x:c r="A1466" t="n">
        <x:v>268</x:v>
      </x:c>
      <x:c r="B1466" s="16" t="n">
        <x:v>46174</x:v>
      </x:c>
      <x:c r="C1466" t="n">
        <x:v>1</x:v>
      </x:c>
      <x:c r="D1466" t="n">
        <x:v>13</x:v>
      </x:c>
      <x:c r="E1466" s="18" t="n">
        <x:v>825.3</x:v>
      </x:c>
      <x:c r="F1466" s="18" t="n">
        <x:v>8</x:v>
      </x:c>
      <x:c r="G1466" s="18" t="n">
        <x:v>3.71</x:v>
      </x:c>
      <x:c r="H1466" s="18" t="n">
        <x:v>0.68</x:v>
      </x:c>
      <x:c r="I1466" s="18" t="n">
        <x:v>12.39</x:v>
      </x:c>
      <x:c r="J1466" t="n">
        <x:f>IF(A1466=A1465,IFERROR(IF(B1466=EDATE(B1465,1),C1465,0),0),0)</x:f>
        <x:v>1</x:v>
      </x:c>
      <x:c r="K1466" t="n">
        <x:f>IF(AND(J1466=1,C1466=0),1,0)</x:f>
        <x:v>0</x:v>
      </x:c>
      <x:c r="L1466" t="str">
        <x:f>IFERROR(INDEX(Customers!$C$2:$C$451,MATCH(A1466,Customers!$A$2:$A$451,0)),"Unknown")</x:f>
        <x:v>Plus</x:v>
      </x:c>
    </x:row>
    <x:row r="1467">
      <x:c r="A1467" t="n">
        <x:v>268</x:v>
      </x:c>
      <x:c r="B1467" s="16" t="n">
        <x:v>46204</x:v>
      </x:c>
      <x:c r="C1467" t="n">
        <x:v>1</x:v>
      </x:c>
      <x:c r="D1467" t="n">
        <x:v>14</x:v>
      </x:c>
      <x:c r="E1467" s="18" t="n">
        <x:v>1915.92</x:v>
      </x:c>
      <x:c r="F1467" s="18" t="n">
        <x:v>8</x:v>
      </x:c>
      <x:c r="G1467" s="18" t="n">
        <x:v>8.62</x:v>
      </x:c>
      <x:c r="H1467" s="18" t="n">
        <x:v>5.05</x:v>
      </x:c>
      <x:c r="I1467" s="18" t="n">
        <x:v>21.67</x:v>
      </x:c>
      <x:c r="J1467" t="n">
        <x:f>IF(A1467=A1466,IFERROR(IF(B1467=EDATE(B1466,1),C1466,0),0),0)</x:f>
        <x:v>1</x:v>
      </x:c>
      <x:c r="K1467" t="n">
        <x:f>IF(AND(J1467=1,C1467=0),1,0)</x:f>
        <x:v>0</x:v>
      </x:c>
      <x:c r="L1467" t="str">
        <x:f>IFERROR(INDEX(Customers!$C$2:$C$451,MATCH(A1467,Customers!$A$2:$A$451,0)),"Unknown")</x:f>
        <x:v>Plus</x:v>
      </x:c>
    </x:row>
    <x:row r="1468">
      <x:c r="A1468" t="n">
        <x:v>268</x:v>
      </x:c>
      <x:c r="B1468" s="16" t="n">
        <x:v>46235</x:v>
      </x:c>
      <x:c r="C1468" t="n">
        <x:v>1</x:v>
      </x:c>
      <x:c r="D1468" t="n">
        <x:v>5</x:v>
      </x:c>
      <x:c r="E1468" s="18" t="n">
        <x:v>573.24</x:v>
      </x:c>
      <x:c r="F1468" s="18" t="n">
        <x:v>8</x:v>
      </x:c>
      <x:c r="G1468" s="18" t="n">
        <x:v>2.58</x:v>
      </x:c>
      <x:c r="H1468" s="18" t="n">
        <x:v>1.3</x:v>
      </x:c>
      <x:c r="I1468" s="18" t="n">
        <x:v>11.88</x:v>
      </x:c>
      <x:c r="J1468" t="n">
        <x:f>IF(A1468=A1467,IFERROR(IF(B1468=EDATE(B1467,1),C1467,0),0),0)</x:f>
        <x:v>1</x:v>
      </x:c>
      <x:c r="K1468" t="n">
        <x:f>IF(AND(J1468=1,C1468=0),1,0)</x:f>
        <x:v>0</x:v>
      </x:c>
      <x:c r="L1468" t="str">
        <x:f>IFERROR(INDEX(Customers!$C$2:$C$451,MATCH(A1468,Customers!$A$2:$A$451,0)),"Unknown")</x:f>
        <x:v>Plus</x:v>
      </x:c>
    </x:row>
    <x:row r="1469">
      <x:c r="A1469" t="n">
        <x:v>268</x:v>
      </x:c>
      <x:c r="B1469" s="16" t="n">
        <x:v>46266</x:v>
      </x:c>
      <x:c r="C1469" t="n">
        <x:v>1</x:v>
      </x:c>
      <x:c r="D1469" t="n">
        <x:v>7</x:v>
      </x:c>
      <x:c r="E1469" s="18" t="n">
        <x:v>687.56</x:v>
      </x:c>
      <x:c r="F1469" s="18" t="n">
        <x:v>8</x:v>
      </x:c>
      <x:c r="G1469" s="18" t="n">
        <x:v>3.09</x:v>
      </x:c>
      <x:c r="H1469" s="18" t="n">
        <x:v>2.33</x:v>
      </x:c>
      <x:c r="I1469" s="18" t="n">
        <x:v>13.42</x:v>
      </x:c>
      <x:c r="J1469" t="n">
        <x:f>IF(A1469=A1468,IFERROR(IF(B1469=EDATE(B1468,1),C1468,0),0),0)</x:f>
        <x:v>1</x:v>
      </x:c>
      <x:c r="K1469" t="n">
        <x:f>IF(AND(J1469=1,C1469=0),1,0)</x:f>
        <x:v>0</x:v>
      </x:c>
      <x:c r="L1469" t="str">
        <x:f>IFERROR(INDEX(Customers!$C$2:$C$451,MATCH(A1469,Customers!$A$2:$A$451,0)),"Unknown")</x:f>
        <x:v>Plus</x:v>
      </x:c>
    </x:row>
    <x:row r="1470">
      <x:c r="A1470" t="n">
        <x:v>269</x:v>
      </x:c>
      <x:c r="B1470" s="16" t="n">
        <x:v>46174</x:v>
      </x:c>
      <x:c r="C1470" t="n">
        <x:v>1</x:v>
      </x:c>
      <x:c r="D1470" t="n">
        <x:v>10</x:v>
      </x:c>
      <x:c r="E1470" s="18" t="n">
        <x:v>1088.57</x:v>
      </x:c>
      <x:c r="F1470" s="18" t="n">
        <x:v>17</x:v>
      </x:c>
      <x:c r="G1470" s="18" t="n">
        <x:v>4.9</x:v>
      </x:c>
      <x:c r="H1470" s="18" t="n">
        <x:v>2.6</x:v>
      </x:c>
      <x:c r="I1470" s="18" t="n">
        <x:v>24.5</x:v>
      </x:c>
      <x:c r="J1470" t="n">
        <x:f>IF(A1470=A1469,IFERROR(IF(B1470=EDATE(B1469,1),C1469,0),0),0)</x:f>
        <x:v>0</x:v>
      </x:c>
      <x:c r="K1470" t="n">
        <x:f>IF(AND(J1470=1,C1470=0),1,0)</x:f>
        <x:v>0</x:v>
      </x:c>
      <x:c r="L1470" t="str">
        <x:f>IFERROR(INDEX(Customers!$C$2:$C$451,MATCH(A1470,Customers!$A$2:$A$451,0)),"Unknown")</x:f>
        <x:v>Premium</x:v>
      </x:c>
    </x:row>
    <x:row r="1471">
      <x:c r="A1471" t="n">
        <x:v>269</x:v>
      </x:c>
      <x:c r="B1471" s="16" t="n">
        <x:v>46204</x:v>
      </x:c>
      <x:c r="C1471" t="n">
        <x:v>0</x:v>
      </x:c>
      <x:c r="D1471" t="n">
        <x:v>0</x:v>
      </x:c>
      <x:c r="E1471" s="18" t="n">
        <x:v>0</x:v>
      </x:c>
      <x:c r="F1471" s="18" t="n">
        <x:v>0</x:v>
      </x:c>
      <x:c r="G1471" s="18" t="n">
        <x:v>0</x:v>
      </x:c>
      <x:c r="H1471" s="18" t="n">
        <x:v>0</x:v>
      </x:c>
      <x:c r="I1471" s="18" t="n">
        <x:v>0</x:v>
      </x:c>
      <x:c r="J1471" t="n">
        <x:f>IF(A1471=A1470,IFERROR(IF(B1471=EDATE(B1470,1),C1470,0),0),0)</x:f>
        <x:v>1</x:v>
      </x:c>
      <x:c r="K1471" t="n">
        <x:f>IF(AND(J1471=1,C1471=0),1,0)</x:f>
        <x:v>1</x:v>
      </x:c>
      <x:c r="L1471" t="str">
        <x:f>IFERROR(INDEX(Customers!$C$2:$C$451,MATCH(A1471,Customers!$A$2:$A$451,0)),"Unknown")</x:f>
        <x:v>Premium</x:v>
      </x:c>
    </x:row>
    <x:row r="1472">
      <x:c r="A1472" t="n">
        <x:v>269</x:v>
      </x:c>
      <x:c r="B1472" s="16" t="n">
        <x:v>46235</x:v>
      </x:c>
      <x:c r="C1472" t="n">
        <x:v>1</x:v>
      </x:c>
      <x:c r="D1472" t="n">
        <x:v>11</x:v>
      </x:c>
      <x:c r="E1472" s="18" t="n">
        <x:v>531.5</x:v>
      </x:c>
      <x:c r="F1472" s="18" t="n">
        <x:v>17</x:v>
      </x:c>
      <x:c r="G1472" s="18" t="n">
        <x:v>2.39</x:v>
      </x:c>
      <x:c r="H1472" s="18" t="n">
        <x:v>1.39</x:v>
      </x:c>
      <x:c r="I1472" s="18" t="n">
        <x:v>20.78</x:v>
      </x:c>
      <x:c r="J1472" t="n">
        <x:f>IF(A1472=A1471,IFERROR(IF(B1472=EDATE(B1471,1),C1471,0),0),0)</x:f>
        <x:v>0</x:v>
      </x:c>
      <x:c r="K1472" t="n">
        <x:f>IF(AND(J1472=1,C1472=0),1,0)</x:f>
        <x:v>0</x:v>
      </x:c>
      <x:c r="L1472" t="str">
        <x:f>IFERROR(INDEX(Customers!$C$2:$C$451,MATCH(A1472,Customers!$A$2:$A$451,0)),"Unknown")</x:f>
        <x:v>Premium</x:v>
      </x:c>
    </x:row>
    <x:row r="1473">
      <x:c r="A1473" t="n">
        <x:v>269</x:v>
      </x:c>
      <x:c r="B1473" s="16" t="n">
        <x:v>46266</x:v>
      </x:c>
      <x:c r="C1473" t="n">
        <x:v>1</x:v>
      </x:c>
      <x:c r="D1473" t="n">
        <x:v>6</x:v>
      </x:c>
      <x:c r="E1473" s="18" t="n">
        <x:v>577.17</x:v>
      </x:c>
      <x:c r="F1473" s="18" t="n">
        <x:v>17</x:v>
      </x:c>
      <x:c r="G1473" s="18" t="n">
        <x:v>2.6</x:v>
      </x:c>
      <x:c r="H1473" s="18" t="n">
        <x:v>0.61</x:v>
      </x:c>
      <x:c r="I1473" s="18" t="n">
        <x:v>20.21</x:v>
      </x:c>
      <x:c r="J1473" t="n">
        <x:f>IF(A1473=A1472,IFERROR(IF(B1473=EDATE(B1472,1),C1472,0),0),0)</x:f>
        <x:v>1</x:v>
      </x:c>
      <x:c r="K1473" t="n">
        <x:f>IF(AND(J1473=1,C1473=0),1,0)</x:f>
        <x:v>0</x:v>
      </x:c>
      <x:c r="L1473" t="str">
        <x:f>IFERROR(INDEX(Customers!$C$2:$C$451,MATCH(A1473,Customers!$A$2:$A$451,0)),"Unknown")</x:f>
        <x:v>Premium</x:v>
      </x:c>
    </x:row>
    <x:row r="1474">
      <x:c r="A1474" t="n">
        <x:v>270</x:v>
      </x:c>
      <x:c r="B1474" s="16" t="n">
        <x:v>46174</x:v>
      </x:c>
      <x:c r="C1474" t="n">
        <x:v>1</x:v>
      </x:c>
      <x:c r="D1474" t="n">
        <x:v>22</x:v>
      </x:c>
      <x:c r="E1474" s="18" t="n">
        <x:v>1496.37</x:v>
      </x:c>
      <x:c r="F1474" s="18" t="n">
        <x:v>17</x:v>
      </x:c>
      <x:c r="G1474" s="18" t="n">
        <x:v>6.73</x:v>
      </x:c>
      <x:c r="H1474" s="18" t="n">
        <x:v>3.77</x:v>
      </x:c>
      <x:c r="I1474" s="18" t="n">
        <x:v>27.5</x:v>
      </x:c>
      <x:c r="J1474" t="n">
        <x:f>IF(A1474=A1473,IFERROR(IF(B1474=EDATE(B1473,1),C1473,0),0),0)</x:f>
        <x:v>0</x:v>
      </x:c>
      <x:c r="K1474" t="n">
        <x:f>IF(AND(J1474=1,C1474=0),1,0)</x:f>
        <x:v>0</x:v>
      </x:c>
      <x:c r="L1474" t="str">
        <x:f>IFERROR(INDEX(Customers!$C$2:$C$451,MATCH(A1474,Customers!$A$2:$A$451,0)),"Unknown")</x:f>
        <x:v>Premium</x:v>
      </x:c>
    </x:row>
    <x:row r="1475">
      <x:c r="A1475" t="n">
        <x:v>270</x:v>
      </x:c>
      <x:c r="B1475" s="16" t="n">
        <x:v>46204</x:v>
      </x:c>
      <x:c r="C1475" t="n">
        <x:v>0</x:v>
      </x:c>
      <x:c r="D1475" t="n">
        <x:v>0</x:v>
      </x:c>
      <x:c r="E1475" s="18" t="n">
        <x:v>0</x:v>
      </x:c>
      <x:c r="F1475" s="18" t="n">
        <x:v>0</x:v>
      </x:c>
      <x:c r="G1475" s="18" t="n">
        <x:v>0</x:v>
      </x:c>
      <x:c r="H1475" s="18" t="n">
        <x:v>0</x:v>
      </x:c>
      <x:c r="I1475" s="18" t="n">
        <x:v>0</x:v>
      </x:c>
      <x:c r="J1475" t="n">
        <x:f>IF(A1475=A1474,IFERROR(IF(B1475=EDATE(B1474,1),C1474,0),0),0)</x:f>
        <x:v>1</x:v>
      </x:c>
      <x:c r="K1475" t="n">
        <x:f>IF(AND(J1475=1,C1475=0),1,0)</x:f>
        <x:v>1</x:v>
      </x:c>
      <x:c r="L1475" t="str">
        <x:f>IFERROR(INDEX(Customers!$C$2:$C$451,MATCH(A1475,Customers!$A$2:$A$451,0)),"Unknown")</x:f>
        <x:v>Premium</x:v>
      </x:c>
    </x:row>
    <x:row r="1476">
      <x:c r="A1476" t="n">
        <x:v>270</x:v>
      </x:c>
      <x:c r="B1476" s="16" t="n">
        <x:v>46235</x:v>
      </x:c>
      <x:c r="C1476" t="n">
        <x:v>1</x:v>
      </x:c>
      <x:c r="D1476" t="n">
        <x:v>11</x:v>
      </x:c>
      <x:c r="E1476" s="18" t="n">
        <x:v>1528.32</x:v>
      </x:c>
      <x:c r="F1476" s="18" t="n">
        <x:v>17</x:v>
      </x:c>
      <x:c r="G1476" s="18" t="n">
        <x:v>6.88</x:v>
      </x:c>
      <x:c r="H1476" s="18" t="n">
        <x:v>1.41</x:v>
      </x:c>
      <x:c r="I1476" s="18" t="n">
        <x:v>25.29</x:v>
      </x:c>
      <x:c r="J1476" t="n">
        <x:f>IF(A1476=A1475,IFERROR(IF(B1476=EDATE(B1475,1),C1475,0),0),0)</x:f>
        <x:v>0</x:v>
      </x:c>
      <x:c r="K1476" t="n">
        <x:f>IF(AND(J1476=1,C1476=0),1,0)</x:f>
        <x:v>0</x:v>
      </x:c>
      <x:c r="L1476" t="str">
        <x:f>IFERROR(INDEX(Customers!$C$2:$C$451,MATCH(A1476,Customers!$A$2:$A$451,0)),"Unknown")</x:f>
        <x:v>Premium</x:v>
      </x:c>
    </x:row>
    <x:row r="1477">
      <x:c r="A1477" t="n">
        <x:v>270</x:v>
      </x:c>
      <x:c r="B1477" s="16" t="n">
        <x:v>46266</x:v>
      </x:c>
      <x:c r="C1477" t="n">
        <x:v>0</x:v>
      </x:c>
      <x:c r="D1477" t="n">
        <x:v>0</x:v>
      </x:c>
      <x:c r="E1477" s="18" t="n">
        <x:v>0</x:v>
      </x:c>
      <x:c r="F1477" s="18" t="n">
        <x:v>0</x:v>
      </x:c>
      <x:c r="G1477" s="18" t="n">
        <x:v>0</x:v>
      </x:c>
      <x:c r="H1477" s="18" t="n">
        <x:v>0</x:v>
      </x:c>
      <x:c r="I1477" s="18" t="n">
        <x:v>0</x:v>
      </x:c>
      <x:c r="J1477" t="n">
        <x:f>IF(A1477=A1476,IFERROR(IF(B1477=EDATE(B1476,1),C1476,0),0),0)</x:f>
        <x:v>1</x:v>
      </x:c>
      <x:c r="K1477" t="n">
        <x:f>IF(AND(J1477=1,C1477=0),1,0)</x:f>
        <x:v>1</x:v>
      </x:c>
      <x:c r="L1477" t="str">
        <x:f>IFERROR(INDEX(Customers!$C$2:$C$451,MATCH(A1477,Customers!$A$2:$A$451,0)),"Unknown")</x:f>
        <x:v>Premium</x:v>
      </x:c>
    </x:row>
    <x:row r="1478">
      <x:c r="A1478" t="n">
        <x:v>271</x:v>
      </x:c>
      <x:c r="B1478" s="16" t="n">
        <x:v>46113</x:v>
      </x:c>
      <x:c r="C1478" t="n">
        <x:v>0</x:v>
      </x:c>
      <x:c r="D1478" t="n">
        <x:v>0</x:v>
      </x:c>
      <x:c r="E1478" s="18" t="n">
        <x:v>0</x:v>
      </x:c>
      <x:c r="F1478" s="18" t="n">
        <x:v>0</x:v>
      </x:c>
      <x:c r="G1478" s="18" t="n">
        <x:v>0</x:v>
      </x:c>
      <x:c r="H1478" s="18" t="n">
        <x:v>0</x:v>
      </x:c>
      <x:c r="I1478" s="18" t="n">
        <x:v>0</x:v>
      </x:c>
      <x:c r="J1478" t="n">
        <x:f>IF(A1478=A1477,IFERROR(IF(B1478=EDATE(B1477,1),C1477,0),0),0)</x:f>
        <x:v>0</x:v>
      </x:c>
      <x:c r="K1478" t="n">
        <x:f>IF(AND(J1478=1,C1478=0),1,0)</x:f>
        <x:v>0</x:v>
      </x:c>
      <x:c r="L1478" t="str">
        <x:f>IFERROR(INDEX(Customers!$C$2:$C$451,MATCH(A1478,Customers!$A$2:$A$451,0)),"Unknown")</x:f>
        <x:v>Standard</x:v>
      </x:c>
    </x:row>
    <x:row r="1479">
      <x:c r="A1479" t="n">
        <x:v>271</x:v>
      </x:c>
      <x:c r="B1479" s="16" t="n">
        <x:v>46143</x:v>
      </x:c>
      <x:c r="C1479" t="n">
        <x:v>1</x:v>
      </x:c>
      <x:c r="D1479" t="n">
        <x:v>28</x:v>
      </x:c>
      <x:c r="E1479" s="18" t="n">
        <x:v>3707.92</x:v>
      </x:c>
      <x:c r="F1479" s="18" t="n">
        <x:v>0</x:v>
      </x:c>
      <x:c r="G1479" s="18" t="n">
        <x:v>16.69</x:v>
      </x:c>
      <x:c r="H1479" s="18" t="n">
        <x:v>11.13</x:v>
      </x:c>
      <x:c r="I1479" s="18" t="n">
        <x:v>27.82</x:v>
      </x:c>
      <x:c r="J1479" t="n">
        <x:f>IF(A1479=A1478,IFERROR(IF(B1479=EDATE(B1478,1),C1478,0),0),0)</x:f>
        <x:v>0</x:v>
      </x:c>
      <x:c r="K1479" t="n">
        <x:f>IF(AND(J1479=1,C1479=0),1,0)</x:f>
        <x:v>0</x:v>
      </x:c>
      <x:c r="L1479" t="str">
        <x:f>IFERROR(INDEX(Customers!$C$2:$C$451,MATCH(A1479,Customers!$A$2:$A$451,0)),"Unknown")</x:f>
        <x:v>Standard</x:v>
      </x:c>
    </x:row>
    <x:row r="1480">
      <x:c r="A1480" t="n">
        <x:v>271</x:v>
      </x:c>
      <x:c r="B1480" s="16" t="n">
        <x:v>46174</x:v>
      </x:c>
      <x:c r="C1480" t="n">
        <x:v>1</x:v>
      </x:c>
      <x:c r="D1480" t="n">
        <x:v>12</x:v>
      </x:c>
      <x:c r="E1480" s="18" t="n">
        <x:v>975.32</x:v>
      </x:c>
      <x:c r="F1480" s="18" t="n">
        <x:v>0</x:v>
      </x:c>
      <x:c r="G1480" s="18" t="n">
        <x:v>4.39</x:v>
      </x:c>
      <x:c r="H1480" s="18" t="n">
        <x:v>1.44</x:v>
      </x:c>
      <x:c r="I1480" s="18" t="n">
        <x:v>5.83</x:v>
      </x:c>
      <x:c r="J1480" t="n">
        <x:f>IF(A1480=A1479,IFERROR(IF(B1480=EDATE(B1479,1),C1479,0),0),0)</x:f>
        <x:v>1</x:v>
      </x:c>
      <x:c r="K1480" t="n">
        <x:f>IF(AND(J1480=1,C1480=0),1,0)</x:f>
        <x:v>0</x:v>
      </x:c>
      <x:c r="L1480" t="str">
        <x:f>IFERROR(INDEX(Customers!$C$2:$C$451,MATCH(A1480,Customers!$A$2:$A$451,0)),"Unknown")</x:f>
        <x:v>Standard</x:v>
      </x:c>
    </x:row>
    <x:row r="1481">
      <x:c r="A1481" t="n">
        <x:v>271</x:v>
      </x:c>
      <x:c r="B1481" s="16" t="n">
        <x:v>46204</x:v>
      </x:c>
      <x:c r="C1481" t="n">
        <x:v>0</x:v>
      </x:c>
      <x:c r="D1481" t="n">
        <x:v>0</x:v>
      </x:c>
      <x:c r="E1481" s="18" t="n">
        <x:v>0</x:v>
      </x:c>
      <x:c r="F1481" s="18" t="n">
        <x:v>0</x:v>
      </x:c>
      <x:c r="G1481" s="18" t="n">
        <x:v>0</x:v>
      </x:c>
      <x:c r="H1481" s="18" t="n">
        <x:v>0</x:v>
      </x:c>
      <x:c r="I1481" s="18" t="n">
        <x:v>0</x:v>
      </x:c>
      <x:c r="J1481" t="n">
        <x:f>IF(A1481=A1480,IFERROR(IF(B1481=EDATE(B1480,1),C1480,0),0),0)</x:f>
        <x:v>1</x:v>
      </x:c>
      <x:c r="K1481" t="n">
        <x:f>IF(AND(J1481=1,C1481=0),1,0)</x:f>
        <x:v>1</x:v>
      </x:c>
      <x:c r="L1481" t="str">
        <x:f>IFERROR(INDEX(Customers!$C$2:$C$451,MATCH(A1481,Customers!$A$2:$A$451,0)),"Unknown")</x:f>
        <x:v>Standard</x:v>
      </x:c>
    </x:row>
    <x:row r="1482">
      <x:c r="A1482" t="n">
        <x:v>271</x:v>
      </x:c>
      <x:c r="B1482" s="16" t="n">
        <x:v>46235</x:v>
      </x:c>
      <x:c r="C1482" t="n">
        <x:v>1</x:v>
      </x:c>
      <x:c r="D1482" t="n">
        <x:v>5</x:v>
      </x:c>
      <x:c r="E1482" s="18" t="n">
        <x:v>658.55</x:v>
      </x:c>
      <x:c r="F1482" s="18" t="n">
        <x:v>0</x:v>
      </x:c>
      <x:c r="G1482" s="18" t="n">
        <x:v>2.96</x:v>
      </x:c>
      <x:c r="H1482" s="18" t="n">
        <x:v>2.29</x:v>
      </x:c>
      <x:c r="I1482" s="18" t="n">
        <x:v>5.25</x:v>
      </x:c>
      <x:c r="J1482" t="n">
        <x:f>IF(A1482=A1481,IFERROR(IF(B1482=EDATE(B1481,1),C1481,0),0),0)</x:f>
        <x:v>0</x:v>
      </x:c>
      <x:c r="K1482" t="n">
        <x:f>IF(AND(J1482=1,C1482=0),1,0)</x:f>
        <x:v>0</x:v>
      </x:c>
      <x:c r="L1482" t="str">
        <x:f>IFERROR(INDEX(Customers!$C$2:$C$451,MATCH(A1482,Customers!$A$2:$A$451,0)),"Unknown")</x:f>
        <x:v>Standard</x:v>
      </x:c>
    </x:row>
    <x:row r="1483">
      <x:c r="A1483" t="n">
        <x:v>271</x:v>
      </x:c>
      <x:c r="B1483" s="16" t="n">
        <x:v>46266</x:v>
      </x:c>
      <x:c r="C1483" t="n">
        <x:v>0</x:v>
      </x:c>
      <x:c r="D1483" t="n">
        <x:v>0</x:v>
      </x:c>
      <x:c r="E1483" s="18" t="n">
        <x:v>0</x:v>
      </x:c>
      <x:c r="F1483" s="18" t="n">
        <x:v>0</x:v>
      </x:c>
      <x:c r="G1483" s="18" t="n">
        <x:v>0</x:v>
      </x:c>
      <x:c r="H1483" s="18" t="n">
        <x:v>0</x:v>
      </x:c>
      <x:c r="I1483" s="18" t="n">
        <x:v>0</x:v>
      </x:c>
      <x:c r="J1483" t="n">
        <x:f>IF(A1483=A1482,IFERROR(IF(B1483=EDATE(B1482,1),C1482,0),0),0)</x:f>
        <x:v>1</x:v>
      </x:c>
      <x:c r="K1483" t="n">
        <x:f>IF(AND(J1483=1,C1483=0),1,0)</x:f>
        <x:v>1</x:v>
      </x:c>
      <x:c r="L1483" t="str">
        <x:f>IFERROR(INDEX(Customers!$C$2:$C$451,MATCH(A1483,Customers!$A$2:$A$451,0)),"Unknown")</x:f>
        <x:v>Standard</x:v>
      </x:c>
    </x:row>
    <x:row r="1484">
      <x:c r="A1484" t="n">
        <x:v>272</x:v>
      </x:c>
      <x:c r="B1484" s="16" t="n">
        <x:v>46113</x:v>
      </x:c>
      <x:c r="C1484" t="n">
        <x:v>1</x:v>
      </x:c>
      <x:c r="D1484" t="n">
        <x:v>10</x:v>
      </x:c>
      <x:c r="E1484" s="18" t="n">
        <x:v>364.39</x:v>
      </x:c>
      <x:c r="F1484" s="18" t="n">
        <x:v>0</x:v>
      </x:c>
      <x:c r="G1484" s="18" t="n">
        <x:v>1.64</x:v>
      </x:c>
      <x:c r="H1484" s="18" t="n">
        <x:v>0.72</x:v>
      </x:c>
      <x:c r="I1484" s="18" t="n">
        <x:v>2.36</x:v>
      </x:c>
      <x:c r="J1484" t="n">
        <x:f>IF(A1484=A1483,IFERROR(IF(B1484=EDATE(B1483,1),C1483,0),0),0)</x:f>
        <x:v>0</x:v>
      </x:c>
      <x:c r="K1484" t="n">
        <x:f>IF(AND(J1484=1,C1484=0),1,0)</x:f>
        <x:v>0</x:v>
      </x:c>
      <x:c r="L1484" t="str">
        <x:f>IFERROR(INDEX(Customers!$C$2:$C$451,MATCH(A1484,Customers!$A$2:$A$451,0)),"Unknown")</x:f>
        <x:v>Standard</x:v>
      </x:c>
    </x:row>
    <x:row r="1485">
      <x:c r="A1485" t="n">
        <x:v>272</x:v>
      </x:c>
      <x:c r="B1485" s="16" t="n">
        <x:v>46143</x:v>
      </x:c>
      <x:c r="C1485" t="n">
        <x:v>0</x:v>
      </x:c>
      <x:c r="D1485" t="n">
        <x:v>0</x:v>
      </x:c>
      <x:c r="E1485" s="18" t="n">
        <x:v>0</x:v>
      </x:c>
      <x:c r="F1485" s="18" t="n">
        <x:v>0</x:v>
      </x:c>
      <x:c r="G1485" s="18" t="n">
        <x:v>0</x:v>
      </x:c>
      <x:c r="H1485" s="18" t="n">
        <x:v>0</x:v>
      </x:c>
      <x:c r="I1485" s="18" t="n">
        <x:v>0</x:v>
      </x:c>
      <x:c r="J1485" t="n">
        <x:f>IF(A1485=A1484,IFERROR(IF(B1485=EDATE(B1484,1),C1484,0),0),0)</x:f>
        <x:v>1</x:v>
      </x:c>
      <x:c r="K1485" t="n">
        <x:f>IF(AND(J1485=1,C1485=0),1,0)</x:f>
        <x:v>1</x:v>
      </x:c>
      <x:c r="L1485" t="str">
        <x:f>IFERROR(INDEX(Customers!$C$2:$C$451,MATCH(A1485,Customers!$A$2:$A$451,0)),"Unknown")</x:f>
        <x:v>Standard</x:v>
      </x:c>
    </x:row>
    <x:row r="1486">
      <x:c r="A1486" t="n">
        <x:v>272</x:v>
      </x:c>
      <x:c r="B1486" s="16" t="n">
        <x:v>46174</x:v>
      </x:c>
      <x:c r="C1486" t="n">
        <x:v>1</x:v>
      </x:c>
      <x:c r="D1486" t="n">
        <x:v>12</x:v>
      </x:c>
      <x:c r="E1486" s="18" t="n">
        <x:v>909.84</x:v>
      </x:c>
      <x:c r="F1486" s="18" t="n">
        <x:v>0</x:v>
      </x:c>
      <x:c r="G1486" s="18" t="n">
        <x:v>4.09</x:v>
      </x:c>
      <x:c r="H1486" s="18" t="n">
        <x:v>3.29</x:v>
      </x:c>
      <x:c r="I1486" s="18" t="n">
        <x:v>7.38</x:v>
      </x:c>
      <x:c r="J1486" t="n">
        <x:f>IF(A1486=A1485,IFERROR(IF(B1486=EDATE(B1485,1),C1485,0),0),0)</x:f>
        <x:v>0</x:v>
      </x:c>
      <x:c r="K1486" t="n">
        <x:f>IF(AND(J1486=1,C1486=0),1,0)</x:f>
        <x:v>0</x:v>
      </x:c>
      <x:c r="L1486" t="str">
        <x:f>IFERROR(INDEX(Customers!$C$2:$C$451,MATCH(A1486,Customers!$A$2:$A$451,0)),"Unknown")</x:f>
        <x:v>Standard</x:v>
      </x:c>
    </x:row>
    <x:row r="1487">
      <x:c r="A1487" t="n">
        <x:v>272</x:v>
      </x:c>
      <x:c r="B1487" s="16" t="n">
        <x:v>46204</x:v>
      </x:c>
      <x:c r="C1487" t="n">
        <x:v>1</x:v>
      </x:c>
      <x:c r="D1487" t="n">
        <x:v>24</x:v>
      </x:c>
      <x:c r="E1487" s="18" t="n">
        <x:v>2217.45</x:v>
      </x:c>
      <x:c r="F1487" s="18" t="n">
        <x:v>0</x:v>
      </x:c>
      <x:c r="G1487" s="18" t="n">
        <x:v>9.98</x:v>
      </x:c>
      <x:c r="H1487" s="18" t="n">
        <x:v>5.83</x:v>
      </x:c>
      <x:c r="I1487" s="18" t="n">
        <x:v>15.81</x:v>
      </x:c>
      <x:c r="J1487" t="n">
        <x:f>IF(A1487=A1486,IFERROR(IF(B1487=EDATE(B1486,1),C1486,0),0),0)</x:f>
        <x:v>1</x:v>
      </x:c>
      <x:c r="K1487" t="n">
        <x:f>IF(AND(J1487=1,C1487=0),1,0)</x:f>
        <x:v>0</x:v>
      </x:c>
      <x:c r="L1487" t="str">
        <x:f>IFERROR(INDEX(Customers!$C$2:$C$451,MATCH(A1487,Customers!$A$2:$A$451,0)),"Unknown")</x:f>
        <x:v>Standard</x:v>
      </x:c>
    </x:row>
    <x:row r="1488">
      <x:c r="A1488" t="n">
        <x:v>272</x:v>
      </x:c>
      <x:c r="B1488" s="16" t="n">
        <x:v>46235</x:v>
      </x:c>
      <x:c r="C1488" t="n">
        <x:v>1</x:v>
      </x:c>
      <x:c r="D1488" t="n">
        <x:v>28</x:v>
      </x:c>
      <x:c r="E1488" s="18" t="n">
        <x:v>3290.55</x:v>
      </x:c>
      <x:c r="F1488" s="18" t="n">
        <x:v>0</x:v>
      </x:c>
      <x:c r="G1488" s="18" t="n">
        <x:v>14.81</x:v>
      </x:c>
      <x:c r="H1488" s="18" t="n">
        <x:v>5.35</x:v>
      </x:c>
      <x:c r="I1488" s="18" t="n">
        <x:v>20.16</x:v>
      </x:c>
      <x:c r="J1488" t="n">
        <x:f>IF(A1488=A1487,IFERROR(IF(B1488=EDATE(B1487,1),C1487,0),0),0)</x:f>
        <x:v>1</x:v>
      </x:c>
      <x:c r="K1488" t="n">
        <x:f>IF(AND(J1488=1,C1488=0),1,0)</x:f>
        <x:v>0</x:v>
      </x:c>
      <x:c r="L1488" t="str">
        <x:f>IFERROR(INDEX(Customers!$C$2:$C$451,MATCH(A1488,Customers!$A$2:$A$451,0)),"Unknown")</x:f>
        <x:v>Standard</x:v>
      </x:c>
    </x:row>
    <x:row r="1489">
      <x:c r="A1489" t="n">
        <x:v>272</x:v>
      </x:c>
      <x:c r="B1489" s="16" t="n">
        <x:v>46266</x:v>
      </x:c>
      <x:c r="C1489" t="n">
        <x:v>1</x:v>
      </x:c>
      <x:c r="D1489" t="n">
        <x:v>8</x:v>
      </x:c>
      <x:c r="E1489" s="18" t="n">
        <x:v>630.47</x:v>
      </x:c>
      <x:c r="F1489" s="18" t="n">
        <x:v>0</x:v>
      </x:c>
      <x:c r="G1489" s="18" t="n">
        <x:v>2.84</x:v>
      </x:c>
      <x:c r="H1489" s="18" t="n">
        <x:v>1.54</x:v>
      </x:c>
      <x:c r="I1489" s="18" t="n">
        <x:v>4.38</x:v>
      </x:c>
      <x:c r="J1489" t="n">
        <x:f>IF(A1489=A1488,IFERROR(IF(B1489=EDATE(B1488,1),C1488,0),0),0)</x:f>
        <x:v>1</x:v>
      </x:c>
      <x:c r="K1489" t="n">
        <x:f>IF(AND(J1489=1,C1489=0),1,0)</x:f>
        <x:v>0</x:v>
      </x:c>
      <x:c r="L1489" t="str">
        <x:f>IFERROR(INDEX(Customers!$C$2:$C$451,MATCH(A1489,Customers!$A$2:$A$451,0)),"Unknown")</x:f>
        <x:v>Standard</x:v>
      </x:c>
    </x:row>
    <x:row r="1490">
      <x:c r="A1490" t="n">
        <x:v>273</x:v>
      </x:c>
      <x:c r="B1490" s="16" t="n">
        <x:v>46113</x:v>
      </x:c>
      <x:c r="C1490" t="n">
        <x:v>1</x:v>
      </x:c>
      <x:c r="D1490" t="n">
        <x:v>31</x:v>
      </x:c>
      <x:c r="E1490" s="18" t="n">
        <x:v>2956.43</x:v>
      </x:c>
      <x:c r="F1490" s="18" t="n">
        <x:v>0</x:v>
      </x:c>
      <x:c r="G1490" s="18" t="n">
        <x:v>13.3</x:v>
      </x:c>
      <x:c r="H1490" s="18" t="n">
        <x:v>6.83</x:v>
      </x:c>
      <x:c r="I1490" s="18" t="n">
        <x:v>20.13</x:v>
      </x:c>
      <x:c r="J1490" t="n">
        <x:f>IF(A1490=A1489,IFERROR(IF(B1490=EDATE(B1489,1),C1489,0),0),0)</x:f>
        <x:v>0</x:v>
      </x:c>
      <x:c r="K1490" t="n">
        <x:f>IF(AND(J1490=1,C1490=0),1,0)</x:f>
        <x:v>0</x:v>
      </x:c>
      <x:c r="L1490" t="str">
        <x:f>IFERROR(INDEX(Customers!$C$2:$C$451,MATCH(A1490,Customers!$A$2:$A$451,0)),"Unknown")</x:f>
        <x:v>Standard</x:v>
      </x:c>
    </x:row>
    <x:row r="1491">
      <x:c r="A1491" t="n">
        <x:v>273</x:v>
      </x:c>
      <x:c r="B1491" s="16" t="n">
        <x:v>46143</x:v>
      </x:c>
      <x:c r="C1491" t="n">
        <x:v>1</x:v>
      </x:c>
      <x:c r="D1491" t="n">
        <x:v>17</x:v>
      </x:c>
      <x:c r="E1491" s="18" t="n">
        <x:v>879.66</x:v>
      </x:c>
      <x:c r="F1491" s="18" t="n">
        <x:v>0</x:v>
      </x:c>
      <x:c r="G1491" s="18" t="n">
        <x:v>3.96</x:v>
      </x:c>
      <x:c r="H1491" s="18" t="n">
        <x:v>2.31</x:v>
      </x:c>
      <x:c r="I1491" s="18" t="n">
        <x:v>6.27</x:v>
      </x:c>
      <x:c r="J1491" t="n">
        <x:f>IF(A1491=A1490,IFERROR(IF(B1491=EDATE(B1490,1),C1490,0),0),0)</x:f>
        <x:v>1</x:v>
      </x:c>
      <x:c r="K1491" t="n">
        <x:f>IF(AND(J1491=1,C1491=0),1,0)</x:f>
        <x:v>0</x:v>
      </x:c>
      <x:c r="L1491" t="str">
        <x:f>IFERROR(INDEX(Customers!$C$2:$C$451,MATCH(A1491,Customers!$A$2:$A$451,0)),"Unknown")</x:f>
        <x:v>Standard</x:v>
      </x:c>
    </x:row>
    <x:row r="1492">
      <x:c r="A1492" t="n">
        <x:v>273</x:v>
      </x:c>
      <x:c r="B1492" s="16" t="n">
        <x:v>46174</x:v>
      </x:c>
      <x:c r="C1492" t="n">
        <x:v>1</x:v>
      </x:c>
      <x:c r="D1492" t="n">
        <x:v>25</x:v>
      </x:c>
      <x:c r="E1492" s="18" t="n">
        <x:v>1797.58</x:v>
      </x:c>
      <x:c r="F1492" s="18" t="n">
        <x:v>0</x:v>
      </x:c>
      <x:c r="G1492" s="18" t="n">
        <x:v>8.09</x:v>
      </x:c>
      <x:c r="H1492" s="18" t="n">
        <x:v>4.58</x:v>
      </x:c>
      <x:c r="I1492" s="18" t="n">
        <x:v>12.67</x:v>
      </x:c>
      <x:c r="J1492" t="n">
        <x:f>IF(A1492=A1491,IFERROR(IF(B1492=EDATE(B1491,1),C1491,0),0),0)</x:f>
        <x:v>1</x:v>
      </x:c>
      <x:c r="K1492" t="n">
        <x:f>IF(AND(J1492=1,C1492=0),1,0)</x:f>
        <x:v>0</x:v>
      </x:c>
      <x:c r="L1492" t="str">
        <x:f>IFERROR(INDEX(Customers!$C$2:$C$451,MATCH(A1492,Customers!$A$2:$A$451,0)),"Unknown")</x:f>
        <x:v>Standard</x:v>
      </x:c>
    </x:row>
    <x:row r="1493">
      <x:c r="A1493" t="n">
        <x:v>273</x:v>
      </x:c>
      <x:c r="B1493" s="16" t="n">
        <x:v>46204</x:v>
      </x:c>
      <x:c r="C1493" t="n">
        <x:v>0</x:v>
      </x:c>
      <x:c r="D1493" t="n">
        <x:v>0</x:v>
      </x:c>
      <x:c r="E1493" s="18" t="n">
        <x:v>0</x:v>
      </x:c>
      <x:c r="F1493" s="18" t="n">
        <x:v>0</x:v>
      </x:c>
      <x:c r="G1493" s="18" t="n">
        <x:v>0</x:v>
      </x:c>
      <x:c r="H1493" s="18" t="n">
        <x:v>0</x:v>
      </x:c>
      <x:c r="I1493" s="18" t="n">
        <x:v>0</x:v>
      </x:c>
      <x:c r="J1493" t="n">
        <x:f>IF(A1493=A1492,IFERROR(IF(B1493=EDATE(B1492,1),C1492,0),0),0)</x:f>
        <x:v>1</x:v>
      </x:c>
      <x:c r="K1493" t="n">
        <x:f>IF(AND(J1493=1,C1493=0),1,0)</x:f>
        <x:v>1</x:v>
      </x:c>
      <x:c r="L1493" t="str">
        <x:f>IFERROR(INDEX(Customers!$C$2:$C$451,MATCH(A1493,Customers!$A$2:$A$451,0)),"Unknown")</x:f>
        <x:v>Standard</x:v>
      </x:c>
    </x:row>
    <x:row r="1494">
      <x:c r="A1494" t="n">
        <x:v>273</x:v>
      </x:c>
      <x:c r="B1494" s="16" t="n">
        <x:v>46235</x:v>
      </x:c>
      <x:c r="C1494" t="n">
        <x:v>1</x:v>
      </x:c>
      <x:c r="D1494" t="n">
        <x:v>18</x:v>
      </x:c>
      <x:c r="E1494" s="18" t="n">
        <x:v>1168.96</x:v>
      </x:c>
      <x:c r="F1494" s="18" t="n">
        <x:v>0</x:v>
      </x:c>
      <x:c r="G1494" s="18" t="n">
        <x:v>5.26</x:v>
      </x:c>
      <x:c r="H1494" s="18" t="n">
        <x:v>4.27</x:v>
      </x:c>
      <x:c r="I1494" s="18" t="n">
        <x:v>9.53</x:v>
      </x:c>
      <x:c r="J1494" t="n">
        <x:f>IF(A1494=A1493,IFERROR(IF(B1494=EDATE(B1493,1),C1493,0),0),0)</x:f>
        <x:v>0</x:v>
      </x:c>
      <x:c r="K1494" t="n">
        <x:f>IF(AND(J1494=1,C1494=0),1,0)</x:f>
        <x:v>0</x:v>
      </x:c>
      <x:c r="L1494" t="str">
        <x:f>IFERROR(INDEX(Customers!$C$2:$C$451,MATCH(A1494,Customers!$A$2:$A$451,0)),"Unknown")</x:f>
        <x:v>Standard</x:v>
      </x:c>
    </x:row>
    <x:row r="1495">
      <x:c r="A1495" t="n">
        <x:v>273</x:v>
      </x:c>
      <x:c r="B1495" s="16" t="n">
        <x:v>46266</x:v>
      </x:c>
      <x:c r="C1495" t="n">
        <x:v>1</x:v>
      </x:c>
      <x:c r="D1495" t="n">
        <x:v>21</x:v>
      </x:c>
      <x:c r="E1495" s="18" t="n">
        <x:v>2066.75</x:v>
      </x:c>
      <x:c r="F1495" s="18" t="n">
        <x:v>0</x:v>
      </x:c>
      <x:c r="G1495" s="18" t="n">
        <x:v>9.3</x:v>
      </x:c>
      <x:c r="H1495" s="18" t="n">
        <x:v>4.7</x:v>
      </x:c>
      <x:c r="I1495" s="18" t="n">
        <x:v>14</x:v>
      </x:c>
      <x:c r="J1495" t="n">
        <x:f>IF(A1495=A1494,IFERROR(IF(B1495=EDATE(B1494,1),C1494,0),0),0)</x:f>
        <x:v>1</x:v>
      </x:c>
      <x:c r="K1495" t="n">
        <x:f>IF(AND(J1495=1,C1495=0),1,0)</x:f>
        <x:v>0</x:v>
      </x:c>
      <x:c r="L1495" t="str">
        <x:f>IFERROR(INDEX(Customers!$C$2:$C$451,MATCH(A1495,Customers!$A$2:$A$451,0)),"Unknown")</x:f>
        <x:v>Standard</x:v>
      </x:c>
    </x:row>
    <x:row r="1496">
      <x:c r="A1496" t="n">
        <x:v>274</x:v>
      </x:c>
      <x:c r="B1496" s="16" t="n">
        <x:v>46113</x:v>
      </x:c>
      <x:c r="C1496" t="n">
        <x:v>1</x:v>
      </x:c>
      <x:c r="D1496" t="n">
        <x:v>4</x:v>
      </x:c>
      <x:c r="E1496" s="18" t="n">
        <x:v>481.07</x:v>
      </x:c>
      <x:c r="F1496" s="18" t="n">
        <x:v>8</x:v>
      </x:c>
      <x:c r="G1496" s="18" t="n">
        <x:v>2.16</x:v>
      </x:c>
      <x:c r="H1496" s="18" t="n">
        <x:v>1.38</x:v>
      </x:c>
      <x:c r="I1496" s="18" t="n">
        <x:v>11.54</x:v>
      </x:c>
      <x:c r="J1496" t="n">
        <x:f>IF(A1496=A1495,IFERROR(IF(B1496=EDATE(B1495,1),C1495,0),0),0)</x:f>
        <x:v>0</x:v>
      </x:c>
      <x:c r="K1496" t="n">
        <x:f>IF(AND(J1496=1,C1496=0),1,0)</x:f>
        <x:v>0</x:v>
      </x:c>
      <x:c r="L1496" t="str">
        <x:f>IFERROR(INDEX(Customers!$C$2:$C$451,MATCH(A1496,Customers!$A$2:$A$451,0)),"Unknown")</x:f>
        <x:v>Plus</x:v>
      </x:c>
    </x:row>
    <x:row r="1497">
      <x:c r="A1497" t="n">
        <x:v>274</x:v>
      </x:c>
      <x:c r="B1497" s="16" t="n">
        <x:v>46143</x:v>
      </x:c>
      <x:c r="C1497" t="n">
        <x:v>1</x:v>
      </x:c>
      <x:c r="D1497" t="n">
        <x:v>9</x:v>
      </x:c>
      <x:c r="E1497" s="18" t="n">
        <x:v>356.38</x:v>
      </x:c>
      <x:c r="F1497" s="18" t="n">
        <x:v>8</x:v>
      </x:c>
      <x:c r="G1497" s="18" t="n">
        <x:v>1.6</x:v>
      </x:c>
      <x:c r="H1497" s="18" t="n">
        <x:v>1.24</x:v>
      </x:c>
      <x:c r="I1497" s="18" t="n">
        <x:v>10.84</x:v>
      </x:c>
      <x:c r="J1497" t="n">
        <x:f>IF(A1497=A1496,IFERROR(IF(B1497=EDATE(B1496,1),C1496,0),0),0)</x:f>
        <x:v>1</x:v>
      </x:c>
      <x:c r="K1497" t="n">
        <x:f>IF(AND(J1497=1,C1497=0),1,0)</x:f>
        <x:v>0</x:v>
      </x:c>
      <x:c r="L1497" t="str">
        <x:f>IFERROR(INDEX(Customers!$C$2:$C$451,MATCH(A1497,Customers!$A$2:$A$451,0)),"Unknown")</x:f>
        <x:v>Plus</x:v>
      </x:c>
    </x:row>
    <x:row r="1498">
      <x:c r="A1498" t="n">
        <x:v>274</x:v>
      </x:c>
      <x:c r="B1498" s="16" t="n">
        <x:v>46174</x:v>
      </x:c>
      <x:c r="C1498" t="n">
        <x:v>0</x:v>
      </x:c>
      <x:c r="D1498" t="n">
        <x:v>0</x:v>
      </x:c>
      <x:c r="E1498" s="18" t="n">
        <x:v>0</x:v>
      </x:c>
      <x:c r="F1498" s="18" t="n">
        <x:v>0</x:v>
      </x:c>
      <x:c r="G1498" s="18" t="n">
        <x:v>0</x:v>
      </x:c>
      <x:c r="H1498" s="18" t="n">
        <x:v>0</x:v>
      </x:c>
      <x:c r="I1498" s="18" t="n">
        <x:v>0</x:v>
      </x:c>
      <x:c r="J1498" t="n">
        <x:f>IF(A1498=A1497,IFERROR(IF(B1498=EDATE(B1497,1),C1497,0),0),0)</x:f>
        <x:v>1</x:v>
      </x:c>
      <x:c r="K1498" t="n">
        <x:f>IF(AND(J1498=1,C1498=0),1,0)</x:f>
        <x:v>1</x:v>
      </x:c>
      <x:c r="L1498" t="str">
        <x:f>IFERROR(INDEX(Customers!$C$2:$C$451,MATCH(A1498,Customers!$A$2:$A$451,0)),"Unknown")</x:f>
        <x:v>Plus</x:v>
      </x:c>
    </x:row>
    <x:row r="1499">
      <x:c r="A1499" t="n">
        <x:v>274</x:v>
      </x:c>
      <x:c r="B1499" s="16" t="n">
        <x:v>46204</x:v>
      </x:c>
      <x:c r="C1499" t="n">
        <x:v>1</x:v>
      </x:c>
      <x:c r="D1499" t="n">
        <x:v>5</x:v>
      </x:c>
      <x:c r="E1499" s="18" t="n">
        <x:v>542.87</x:v>
      </x:c>
      <x:c r="F1499" s="18" t="n">
        <x:v>8</x:v>
      </x:c>
      <x:c r="G1499" s="18" t="n">
        <x:v>2.44</x:v>
      </x:c>
      <x:c r="H1499" s="18" t="n">
        <x:v>0.54</x:v>
      </x:c>
      <x:c r="I1499" s="18" t="n">
        <x:v>10.98</x:v>
      </x:c>
      <x:c r="J1499" t="n">
        <x:f>IF(A1499=A1498,IFERROR(IF(B1499=EDATE(B1498,1),C1498,0),0),0)</x:f>
        <x:v>0</x:v>
      </x:c>
      <x:c r="K1499" t="n">
        <x:f>IF(AND(J1499=1,C1499=0),1,0)</x:f>
        <x:v>0</x:v>
      </x:c>
      <x:c r="L1499" t="str">
        <x:f>IFERROR(INDEX(Customers!$C$2:$C$451,MATCH(A1499,Customers!$A$2:$A$451,0)),"Unknown")</x:f>
        <x:v>Plus</x:v>
      </x:c>
    </x:row>
    <x:row r="1500">
      <x:c r="A1500" t="n">
        <x:v>274</x:v>
      </x:c>
      <x:c r="B1500" s="16" t="n">
        <x:v>46235</x:v>
      </x:c>
      <x:c r="C1500" t="n">
        <x:v>0</x:v>
      </x:c>
      <x:c r="D1500" t="n">
        <x:v>0</x:v>
      </x:c>
      <x:c r="E1500" s="18" t="n">
        <x:v>0</x:v>
      </x:c>
      <x:c r="F1500" s="18" t="n">
        <x:v>0</x:v>
      </x:c>
      <x:c r="G1500" s="18" t="n">
        <x:v>0</x:v>
      </x:c>
      <x:c r="H1500" s="18" t="n">
        <x:v>0</x:v>
      </x:c>
      <x:c r="I1500" s="18" t="n">
        <x:v>0</x:v>
      </x:c>
      <x:c r="J1500" t="n">
        <x:f>IF(A1500=A1499,IFERROR(IF(B1500=EDATE(B1499,1),C1499,0),0),0)</x:f>
        <x:v>1</x:v>
      </x:c>
      <x:c r="K1500" t="n">
        <x:f>IF(AND(J1500=1,C1500=0),1,0)</x:f>
        <x:v>1</x:v>
      </x:c>
      <x:c r="L1500" t="str">
        <x:f>IFERROR(INDEX(Customers!$C$2:$C$451,MATCH(A1500,Customers!$A$2:$A$451,0)),"Unknown")</x:f>
        <x:v>Plus</x:v>
      </x:c>
    </x:row>
    <x:row r="1501">
      <x:c r="A1501" t="n">
        <x:v>274</x:v>
      </x:c>
      <x:c r="B1501" s="16" t="n">
        <x:v>46266</x:v>
      </x:c>
      <x:c r="C1501" t="n">
        <x:v>0</x:v>
      </x:c>
      <x:c r="D1501" t="n">
        <x:v>0</x:v>
      </x:c>
      <x:c r="E1501" s="18" t="n">
        <x:v>0</x:v>
      </x:c>
      <x:c r="F1501" s="18" t="n">
        <x:v>0</x:v>
      </x:c>
      <x:c r="G1501" s="18" t="n">
        <x:v>0</x:v>
      </x:c>
      <x:c r="H1501" s="18" t="n">
        <x:v>0</x:v>
      </x:c>
      <x:c r="I1501" s="18" t="n">
        <x:v>0</x:v>
      </x:c>
      <x:c r="J1501" t="n">
        <x:f>IF(A1501=A1500,IFERROR(IF(B1501=EDATE(B1500,1),C1500,0),0),0)</x:f>
        <x:v>0</x:v>
      </x:c>
      <x:c r="K1501" t="n">
        <x:f>IF(AND(J1501=1,C1501=0),1,0)</x:f>
        <x:v>0</x:v>
      </x:c>
      <x:c r="L1501" t="str">
        <x:f>IFERROR(INDEX(Customers!$C$2:$C$451,MATCH(A1501,Customers!$A$2:$A$451,0)),"Unknown")</x:f>
        <x:v>Plus</x:v>
      </x:c>
    </x:row>
    <x:row r="1502">
      <x:c r="A1502" t="n">
        <x:v>275</x:v>
      </x:c>
      <x:c r="B1502" s="16" t="n">
        <x:v>46174</x:v>
      </x:c>
      <x:c r="C1502" t="n">
        <x:v>1</x:v>
      </x:c>
      <x:c r="D1502" t="n">
        <x:v>17</x:v>
      </x:c>
      <x:c r="E1502" s="18" t="n">
        <x:v>814.69</x:v>
      </x:c>
      <x:c r="F1502" s="18" t="n">
        <x:v>17</x:v>
      </x:c>
      <x:c r="G1502" s="18" t="n">
        <x:v>3.67</x:v>
      </x:c>
      <x:c r="H1502" s="18" t="n">
        <x:v>1.12</x:v>
      </x:c>
      <x:c r="I1502" s="18" t="n">
        <x:v>21.79</x:v>
      </x:c>
      <x:c r="J1502" t="n">
        <x:f>IF(A1502=A1501,IFERROR(IF(B1502=EDATE(B1501,1),C1501,0),0),0)</x:f>
        <x:v>0</x:v>
      </x:c>
      <x:c r="K1502" t="n">
        <x:f>IF(AND(J1502=1,C1502=0),1,0)</x:f>
        <x:v>0</x:v>
      </x:c>
      <x:c r="L1502" t="str">
        <x:f>IFERROR(INDEX(Customers!$C$2:$C$451,MATCH(A1502,Customers!$A$2:$A$451,0)),"Unknown")</x:f>
        <x:v>Premium</x:v>
      </x:c>
    </x:row>
    <x:row r="1503">
      <x:c r="A1503" t="n">
        <x:v>275</x:v>
      </x:c>
      <x:c r="B1503" s="16" t="n">
        <x:v>46204</x:v>
      </x:c>
      <x:c r="C1503" t="n">
        <x:v>1</x:v>
      </x:c>
      <x:c r="D1503" t="n">
        <x:v>22</x:v>
      </x:c>
      <x:c r="E1503" s="18" t="n">
        <x:v>1340.64</x:v>
      </x:c>
      <x:c r="F1503" s="18" t="n">
        <x:v>17</x:v>
      </x:c>
      <x:c r="G1503" s="18" t="n">
        <x:v>6.03</x:v>
      </x:c>
      <x:c r="H1503" s="18" t="n">
        <x:v>2.16</x:v>
      </x:c>
      <x:c r="I1503" s="18" t="n">
        <x:v>25.19</x:v>
      </x:c>
      <x:c r="J1503" t="n">
        <x:f>IF(A1503=A1502,IFERROR(IF(B1503=EDATE(B1502,1),C1502,0),0),0)</x:f>
        <x:v>1</x:v>
      </x:c>
      <x:c r="K1503" t="n">
        <x:f>IF(AND(J1503=1,C1503=0),1,0)</x:f>
        <x:v>0</x:v>
      </x:c>
      <x:c r="L1503" t="str">
        <x:f>IFERROR(INDEX(Customers!$C$2:$C$451,MATCH(A1503,Customers!$A$2:$A$451,0)),"Unknown")</x:f>
        <x:v>Premium</x:v>
      </x:c>
    </x:row>
    <x:row r="1504">
      <x:c r="A1504" t="n">
        <x:v>275</x:v>
      </x:c>
      <x:c r="B1504" s="16" t="n">
        <x:v>46235</x:v>
      </x:c>
      <x:c r="C1504" t="n">
        <x:v>1</x:v>
      </x:c>
      <x:c r="D1504" t="n">
        <x:v>5</x:v>
      </x:c>
      <x:c r="E1504" s="18" t="n">
        <x:v>222.55</x:v>
      </x:c>
      <x:c r="F1504" s="18" t="n">
        <x:v>17</x:v>
      </x:c>
      <x:c r="G1504" s="18" t="n">
        <x:v>1</x:v>
      </x:c>
      <x:c r="H1504" s="18" t="n">
        <x:v>0.6</x:v>
      </x:c>
      <x:c r="I1504" s="18" t="n">
        <x:v>18.6</x:v>
      </x:c>
      <x:c r="J1504" t="n">
        <x:f>IF(A1504=A1503,IFERROR(IF(B1504=EDATE(B1503,1),C1503,0),0),0)</x:f>
        <x:v>1</x:v>
      </x:c>
      <x:c r="K1504" t="n">
        <x:f>IF(AND(J1504=1,C1504=0),1,0)</x:f>
        <x:v>0</x:v>
      </x:c>
      <x:c r="L1504" t="str">
        <x:f>IFERROR(INDEX(Customers!$C$2:$C$451,MATCH(A1504,Customers!$A$2:$A$451,0)),"Unknown")</x:f>
        <x:v>Premium</x:v>
      </x:c>
    </x:row>
    <x:row r="1505">
      <x:c r="A1505" t="n">
        <x:v>275</x:v>
      </x:c>
      <x:c r="B1505" s="16" t="n">
        <x:v>46266</x:v>
      </x:c>
      <x:c r="C1505" t="n">
        <x:v>1</x:v>
      </x:c>
      <x:c r="D1505" t="n">
        <x:v>10</x:v>
      </x:c>
      <x:c r="E1505" s="18" t="n">
        <x:v>535.83</x:v>
      </x:c>
      <x:c r="F1505" s="18" t="n">
        <x:v>17</x:v>
      </x:c>
      <x:c r="G1505" s="18" t="n">
        <x:v>2.41</x:v>
      </x:c>
      <x:c r="H1505" s="18" t="n">
        <x:v>1.55</x:v>
      </x:c>
      <x:c r="I1505" s="18" t="n">
        <x:v>20.96</x:v>
      </x:c>
      <x:c r="J1505" t="n">
        <x:f>IF(A1505=A1504,IFERROR(IF(B1505=EDATE(B1504,1),C1504,0),0),0)</x:f>
        <x:v>1</x:v>
      </x:c>
      <x:c r="K1505" t="n">
        <x:f>IF(AND(J1505=1,C1505=0),1,0)</x:f>
        <x:v>0</x:v>
      </x:c>
      <x:c r="L1505" t="str">
        <x:f>IFERROR(INDEX(Customers!$C$2:$C$451,MATCH(A1505,Customers!$A$2:$A$451,0)),"Unknown")</x:f>
        <x:v>Premium</x:v>
      </x:c>
    </x:row>
    <x:row r="1506">
      <x:c r="A1506" t="n">
        <x:v>276</x:v>
      </x:c>
      <x:c r="B1506" s="16" t="n">
        <x:v>46113</x:v>
      </x:c>
      <x:c r="C1506" t="n">
        <x:v>1</x:v>
      </x:c>
      <x:c r="D1506" t="n">
        <x:v>18</x:v>
      </x:c>
      <x:c r="E1506" s="18" t="n">
        <x:v>1140.96</x:v>
      </x:c>
      <x:c r="F1506" s="18" t="n">
        <x:v>8</x:v>
      </x:c>
      <x:c r="G1506" s="18" t="n">
        <x:v>5.13</x:v>
      </x:c>
      <x:c r="H1506" s="18" t="n">
        <x:v>3.75</x:v>
      </x:c>
      <x:c r="I1506" s="18" t="n">
        <x:v>16.88</x:v>
      </x:c>
      <x:c r="J1506" t="n">
        <x:f>IF(A1506=A1505,IFERROR(IF(B1506=EDATE(B1505,1),C1505,0),0),0)</x:f>
        <x:v>0</x:v>
      </x:c>
      <x:c r="K1506" t="n">
        <x:f>IF(AND(J1506=1,C1506=0),1,0)</x:f>
        <x:v>0</x:v>
      </x:c>
      <x:c r="L1506" t="str">
        <x:f>IFERROR(INDEX(Customers!$C$2:$C$451,MATCH(A1506,Customers!$A$2:$A$451,0)),"Unknown")</x:f>
        <x:v>Plus</x:v>
      </x:c>
    </x:row>
    <x:row r="1507">
      <x:c r="A1507" t="n">
        <x:v>276</x:v>
      </x:c>
      <x:c r="B1507" s="16" t="n">
        <x:v>46143</x:v>
      </x:c>
      <x:c r="C1507" t="n">
        <x:v>1</x:v>
      </x:c>
      <x:c r="D1507" t="n">
        <x:v>33</x:v>
      </x:c>
      <x:c r="E1507" s="18" t="n">
        <x:v>4096.95</x:v>
      </x:c>
      <x:c r="F1507" s="18" t="n">
        <x:v>8</x:v>
      </x:c>
      <x:c r="G1507" s="18" t="n">
        <x:v>18.44</x:v>
      </x:c>
      <x:c r="H1507" s="18" t="n">
        <x:v>14.37</x:v>
      </x:c>
      <x:c r="I1507" s="18" t="n">
        <x:v>40.81</x:v>
      </x:c>
      <x:c r="J1507" t="n">
        <x:f>IF(A1507=A1506,IFERROR(IF(B1507=EDATE(B1506,1),C1506,0),0),0)</x:f>
        <x:v>1</x:v>
      </x:c>
      <x:c r="K1507" t="n">
        <x:f>IF(AND(J1507=1,C1507=0),1,0)</x:f>
        <x:v>0</x:v>
      </x:c>
      <x:c r="L1507" t="str">
        <x:f>IFERROR(INDEX(Customers!$C$2:$C$451,MATCH(A1507,Customers!$A$2:$A$451,0)),"Unknown")</x:f>
        <x:v>Plus</x:v>
      </x:c>
    </x:row>
    <x:row r="1508">
      <x:c r="A1508" t="n">
        <x:v>276</x:v>
      </x:c>
      <x:c r="B1508" s="16" t="n">
        <x:v>46174</x:v>
      </x:c>
      <x:c r="C1508" t="n">
        <x:v>1</x:v>
      </x:c>
      <x:c r="D1508" t="n">
        <x:v>35</x:v>
      </x:c>
      <x:c r="E1508" s="18" t="n">
        <x:v>2171.14</x:v>
      </x:c>
      <x:c r="F1508" s="18" t="n">
        <x:v>8</x:v>
      </x:c>
      <x:c r="G1508" s="18" t="n">
        <x:v>9.77</x:v>
      </x:c>
      <x:c r="H1508" s="18" t="n">
        <x:v>3.82</x:v>
      </x:c>
      <x:c r="I1508" s="18" t="n">
        <x:v>21.59</x:v>
      </x:c>
      <x:c r="J1508" t="n">
        <x:f>IF(A1508=A1507,IFERROR(IF(B1508=EDATE(B1507,1),C1507,0),0),0)</x:f>
        <x:v>1</x:v>
      </x:c>
      <x:c r="K1508" t="n">
        <x:f>IF(AND(J1508=1,C1508=0),1,0)</x:f>
        <x:v>0</x:v>
      </x:c>
      <x:c r="L1508" t="str">
        <x:f>IFERROR(INDEX(Customers!$C$2:$C$451,MATCH(A1508,Customers!$A$2:$A$451,0)),"Unknown")</x:f>
        <x:v>Plus</x:v>
      </x:c>
    </x:row>
    <x:row r="1509">
      <x:c r="A1509" t="n">
        <x:v>276</x:v>
      </x:c>
      <x:c r="B1509" s="16" t="n">
        <x:v>46204</x:v>
      </x:c>
      <x:c r="C1509" t="n">
        <x:v>1</x:v>
      </x:c>
      <x:c r="D1509" t="n">
        <x:v>7</x:v>
      </x:c>
      <x:c r="E1509" s="18" t="n">
        <x:v>567.65</x:v>
      </x:c>
      <x:c r="F1509" s="18" t="n">
        <x:v>8</x:v>
      </x:c>
      <x:c r="G1509" s="18" t="n">
        <x:v>2.55</x:v>
      </x:c>
      <x:c r="H1509" s="18" t="n">
        <x:v>1.29</x:v>
      </x:c>
      <x:c r="I1509" s="18" t="n">
        <x:v>11.84</x:v>
      </x:c>
      <x:c r="J1509" t="n">
        <x:f>IF(A1509=A1508,IFERROR(IF(B1509=EDATE(B1508,1),C1508,0),0),0)</x:f>
        <x:v>1</x:v>
      </x:c>
      <x:c r="K1509" t="n">
        <x:f>IF(AND(J1509=1,C1509=0),1,0)</x:f>
        <x:v>0</x:v>
      </x:c>
      <x:c r="L1509" t="str">
        <x:f>IFERROR(INDEX(Customers!$C$2:$C$451,MATCH(A1509,Customers!$A$2:$A$451,0)),"Unknown")</x:f>
        <x:v>Plus</x:v>
      </x:c>
    </x:row>
    <x:row r="1510">
      <x:c r="A1510" t="n">
        <x:v>276</x:v>
      </x:c>
      <x:c r="B1510" s="16" t="n">
        <x:v>46235</x:v>
      </x:c>
      <x:c r="C1510" t="n">
        <x:v>1</x:v>
      </x:c>
      <x:c r="D1510" t="n">
        <x:v>26</x:v>
      </x:c>
      <x:c r="E1510" s="18" t="n">
        <x:v>2164.99</x:v>
      </x:c>
      <x:c r="F1510" s="18" t="n">
        <x:v>8</x:v>
      </x:c>
      <x:c r="G1510" s="18" t="n">
        <x:v>9.74</x:v>
      </x:c>
      <x:c r="H1510" s="18" t="n">
        <x:v>3.5</x:v>
      </x:c>
      <x:c r="I1510" s="18" t="n">
        <x:v>21.24</x:v>
      </x:c>
      <x:c r="J1510" t="n">
        <x:f>IF(A1510=A1509,IFERROR(IF(B1510=EDATE(B1509,1),C1509,0),0),0)</x:f>
        <x:v>1</x:v>
      </x:c>
      <x:c r="K1510" t="n">
        <x:f>IF(AND(J1510=1,C1510=0),1,0)</x:f>
        <x:v>0</x:v>
      </x:c>
      <x:c r="L1510" t="str">
        <x:f>IFERROR(INDEX(Customers!$C$2:$C$451,MATCH(A1510,Customers!$A$2:$A$451,0)),"Unknown")</x:f>
        <x:v>Plus</x:v>
      </x:c>
    </x:row>
    <x:row r="1511">
      <x:c r="A1511" t="n">
        <x:v>276</x:v>
      </x:c>
      <x:c r="B1511" s="16" t="n">
        <x:v>46266</x:v>
      </x:c>
      <x:c r="C1511" t="n">
        <x:v>1</x:v>
      </x:c>
      <x:c r="D1511" t="n">
        <x:v>28</x:v>
      </x:c>
      <x:c r="E1511" s="18" t="n">
        <x:v>3071.91</x:v>
      </x:c>
      <x:c r="F1511" s="18" t="n">
        <x:v>8</x:v>
      </x:c>
      <x:c r="G1511" s="18" t="n">
        <x:v>13.82</x:v>
      </x:c>
      <x:c r="H1511" s="18" t="n">
        <x:v>6.36</x:v>
      </x:c>
      <x:c r="I1511" s="18" t="n">
        <x:v>28.18</x:v>
      </x:c>
      <x:c r="J1511" t="n">
        <x:f>IF(A1511=A1510,IFERROR(IF(B1511=EDATE(B1510,1),C1510,0),0),0)</x:f>
        <x:v>1</x:v>
      </x:c>
      <x:c r="K1511" t="n">
        <x:f>IF(AND(J1511=1,C1511=0),1,0)</x:f>
        <x:v>0</x:v>
      </x:c>
      <x:c r="L1511" t="str">
        <x:f>IFERROR(INDEX(Customers!$C$2:$C$451,MATCH(A1511,Customers!$A$2:$A$451,0)),"Unknown")</x:f>
        <x:v>Plus</x:v>
      </x:c>
    </x:row>
    <x:row r="1512">
      <x:c r="A1512" t="n">
        <x:v>277</x:v>
      </x:c>
      <x:c r="B1512" s="16" t="n">
        <x:v>46143</x:v>
      </x:c>
      <x:c r="C1512" t="n">
        <x:v>1</x:v>
      </x:c>
      <x:c r="D1512" t="n">
        <x:v>21</x:v>
      </x:c>
      <x:c r="E1512" s="18" t="n">
        <x:v>2476.1</x:v>
      </x:c>
      <x:c r="F1512" s="18" t="n">
        <x:v>34</x:v>
      </x:c>
      <x:c r="G1512" s="18" t="n">
        <x:v>11.14</x:v>
      </x:c>
      <x:c r="H1512" s="18" t="n">
        <x:v>7.23</x:v>
      </x:c>
      <x:c r="I1512" s="18" t="n">
        <x:v>52.37</x:v>
      </x:c>
      <x:c r="J1512" t="n">
        <x:f>IF(A1512=A1511,IFERROR(IF(B1512=EDATE(B1511,1),C1511,0),0),0)</x:f>
        <x:v>0</x:v>
      </x:c>
      <x:c r="K1512" t="n">
        <x:f>IF(AND(J1512=1,C1512=0),1,0)</x:f>
        <x:v>0</x:v>
      </x:c>
      <x:c r="L1512" t="str">
        <x:f>IFERROR(INDEX(Customers!$C$2:$C$451,MATCH(A1512,Customers!$A$2:$A$451,0)),"Unknown")</x:f>
        <x:v>Metal</x:v>
      </x:c>
    </x:row>
    <x:row r="1513">
      <x:c r="A1513" t="n">
        <x:v>277</x:v>
      </x:c>
      <x:c r="B1513" s="16" t="n">
        <x:v>46174</x:v>
      </x:c>
      <x:c r="C1513" t="n">
        <x:v>1</x:v>
      </x:c>
      <x:c r="D1513" t="n">
        <x:v>28</x:v>
      </x:c>
      <x:c r="E1513" s="18" t="n">
        <x:v>3761.59</x:v>
      </x:c>
      <x:c r="F1513" s="18" t="n">
        <x:v>34</x:v>
      </x:c>
      <x:c r="G1513" s="18" t="n">
        <x:v>16.93</x:v>
      </x:c>
      <x:c r="H1513" s="18" t="n">
        <x:v>7</x:v>
      </x:c>
      <x:c r="I1513" s="18" t="n">
        <x:v>57.93</x:v>
      </x:c>
      <x:c r="J1513" t="n">
        <x:f>IF(A1513=A1512,IFERROR(IF(B1513=EDATE(B1512,1),C1512,0),0),0)</x:f>
        <x:v>1</x:v>
      </x:c>
      <x:c r="K1513" t="n">
        <x:f>IF(AND(J1513=1,C1513=0),1,0)</x:f>
        <x:v>0</x:v>
      </x:c>
      <x:c r="L1513" t="str">
        <x:f>IFERROR(INDEX(Customers!$C$2:$C$451,MATCH(A1513,Customers!$A$2:$A$451,0)),"Unknown")</x:f>
        <x:v>Metal</x:v>
      </x:c>
    </x:row>
    <x:row r="1514">
      <x:c r="A1514" t="n">
        <x:v>277</x:v>
      </x:c>
      <x:c r="B1514" s="16" t="n">
        <x:v>46204</x:v>
      </x:c>
      <x:c r="C1514" t="n">
        <x:v>1</x:v>
      </x:c>
      <x:c r="D1514" t="n">
        <x:v>34</x:v>
      </x:c>
      <x:c r="E1514" s="18" t="n">
        <x:v>1335.85</x:v>
      </x:c>
      <x:c r="F1514" s="18" t="n">
        <x:v>34</x:v>
      </x:c>
      <x:c r="G1514" s="18" t="n">
        <x:v>6.01</x:v>
      </x:c>
      <x:c r="H1514" s="18" t="n">
        <x:v>3.03</x:v>
      </x:c>
      <x:c r="I1514" s="18" t="n">
        <x:v>43.04</x:v>
      </x:c>
      <x:c r="J1514" t="n">
        <x:f>IF(A1514=A1513,IFERROR(IF(B1514=EDATE(B1513,1),C1513,0),0),0)</x:f>
        <x:v>1</x:v>
      </x:c>
      <x:c r="K1514" t="n">
        <x:f>IF(AND(J1514=1,C1514=0),1,0)</x:f>
        <x:v>0</x:v>
      </x:c>
      <x:c r="L1514" t="str">
        <x:f>IFERROR(INDEX(Customers!$C$2:$C$451,MATCH(A1514,Customers!$A$2:$A$451,0)),"Unknown")</x:f>
        <x:v>Metal</x:v>
      </x:c>
    </x:row>
    <x:row r="1515">
      <x:c r="A1515" t="n">
        <x:v>277</x:v>
      </x:c>
      <x:c r="B1515" s="16" t="n">
        <x:v>46235</x:v>
      </x:c>
      <x:c r="C1515" t="n">
        <x:v>1</x:v>
      </x:c>
      <x:c r="D1515" t="n">
        <x:v>5</x:v>
      </x:c>
      <x:c r="E1515" s="18" t="n">
        <x:v>247.5</x:v>
      </x:c>
      <x:c r="F1515" s="18" t="n">
        <x:v>34</x:v>
      </x:c>
      <x:c r="G1515" s="18" t="n">
        <x:v>1.11</x:v>
      </x:c>
      <x:c r="H1515" s="18" t="n">
        <x:v>0.56</x:v>
      </x:c>
      <x:c r="I1515" s="18" t="n">
        <x:v>35.67</x:v>
      </x:c>
      <x:c r="J1515" t="n">
        <x:f>IF(A1515=A1514,IFERROR(IF(B1515=EDATE(B1514,1),C1514,0),0),0)</x:f>
        <x:v>1</x:v>
      </x:c>
      <x:c r="K1515" t="n">
        <x:f>IF(AND(J1515=1,C1515=0),1,0)</x:f>
        <x:v>0</x:v>
      </x:c>
      <x:c r="L1515" t="str">
        <x:f>IFERROR(INDEX(Customers!$C$2:$C$451,MATCH(A1515,Customers!$A$2:$A$451,0)),"Unknown")</x:f>
        <x:v>Metal</x:v>
      </x:c>
    </x:row>
    <x:row r="1516">
      <x:c r="A1516" t="n">
        <x:v>277</x:v>
      </x:c>
      <x:c r="B1516" s="16" t="n">
        <x:v>46266</x:v>
      </x:c>
      <x:c r="C1516" t="n">
        <x:v>1</x:v>
      </x:c>
      <x:c r="D1516" t="n">
        <x:v>23</x:v>
      </x:c>
      <x:c r="E1516" s="18" t="n">
        <x:v>1049.32</x:v>
      </x:c>
      <x:c r="F1516" s="18" t="n">
        <x:v>34</x:v>
      </x:c>
      <x:c r="G1516" s="18" t="n">
        <x:v>4.72</x:v>
      </x:c>
      <x:c r="H1516" s="18" t="n">
        <x:v>2.77</x:v>
      </x:c>
      <x:c r="I1516" s="18" t="n">
        <x:v>41.49</x:v>
      </x:c>
      <x:c r="J1516" t="n">
        <x:f>IF(A1516=A1515,IFERROR(IF(B1516=EDATE(B1515,1),C1515,0),0),0)</x:f>
        <x:v>1</x:v>
      </x:c>
      <x:c r="K1516" t="n">
        <x:f>IF(AND(J1516=1,C1516=0),1,0)</x:f>
        <x:v>0</x:v>
      </x:c>
      <x:c r="L1516" t="str">
        <x:f>IFERROR(INDEX(Customers!$C$2:$C$451,MATCH(A1516,Customers!$A$2:$A$451,0)),"Unknown")</x:f>
        <x:v>Metal</x:v>
      </x:c>
    </x:row>
    <x:row r="1517">
      <x:c r="A1517" t="n">
        <x:v>278</x:v>
      </x:c>
      <x:c r="B1517" s="16" t="n">
        <x:v>46174</x:v>
      </x:c>
      <x:c r="C1517" t="n">
        <x:v>1</x:v>
      </x:c>
      <x:c r="D1517" t="n">
        <x:v>33</x:v>
      </x:c>
      <x:c r="E1517" s="18" t="n">
        <x:v>3077.31</x:v>
      </x:c>
      <x:c r="F1517" s="18" t="n">
        <x:v>0</x:v>
      </x:c>
      <x:c r="G1517" s="18" t="n">
        <x:v>13.85</x:v>
      </x:c>
      <x:c r="H1517" s="18" t="n">
        <x:v>3.61</x:v>
      </x:c>
      <x:c r="I1517" s="18" t="n">
        <x:v>17.46</x:v>
      </x:c>
      <x:c r="J1517" t="n">
        <x:f>IF(A1517=A1516,IFERROR(IF(B1517=EDATE(B1516,1),C1516,0),0),0)</x:f>
        <x:v>0</x:v>
      </x:c>
      <x:c r="K1517" t="n">
        <x:f>IF(AND(J1517=1,C1517=0),1,0)</x:f>
        <x:v>0</x:v>
      </x:c>
      <x:c r="L1517" t="str">
        <x:f>IFERROR(INDEX(Customers!$C$2:$C$451,MATCH(A1517,Customers!$A$2:$A$451,0)),"Unknown")</x:f>
        <x:v>Standard</x:v>
      </x:c>
    </x:row>
    <x:row r="1518">
      <x:c r="A1518" t="n">
        <x:v>278</x:v>
      </x:c>
      <x:c r="B1518" s="16" t="n">
        <x:v>46204</x:v>
      </x:c>
      <x:c r="C1518" t="n">
        <x:v>1</x:v>
      </x:c>
      <x:c r="D1518" t="n">
        <x:v>7</x:v>
      </x:c>
      <x:c r="E1518" s="18" t="n">
        <x:v>540.1</x:v>
      </x:c>
      <x:c r="F1518" s="18" t="n">
        <x:v>0</x:v>
      </x:c>
      <x:c r="G1518" s="18" t="n">
        <x:v>2.43</x:v>
      </x:c>
      <x:c r="H1518" s="18" t="n">
        <x:v>0.58</x:v>
      </x:c>
      <x:c r="I1518" s="18" t="n">
        <x:v>3.01</x:v>
      </x:c>
      <x:c r="J1518" t="n">
        <x:f>IF(A1518=A1517,IFERROR(IF(B1518=EDATE(B1517,1),C1517,0),0),0)</x:f>
        <x:v>1</x:v>
      </x:c>
      <x:c r="K1518" t="n">
        <x:f>IF(AND(J1518=1,C1518=0),1,0)</x:f>
        <x:v>0</x:v>
      </x:c>
      <x:c r="L1518" t="str">
        <x:f>IFERROR(INDEX(Customers!$C$2:$C$451,MATCH(A1518,Customers!$A$2:$A$451,0)),"Unknown")</x:f>
        <x:v>Standard</x:v>
      </x:c>
    </x:row>
    <x:row r="1519">
      <x:c r="A1519" t="n">
        <x:v>278</x:v>
      </x:c>
      <x:c r="B1519" s="16" t="n">
        <x:v>46235</x:v>
      </x:c>
      <x:c r="C1519" t="n">
        <x:v>1</x:v>
      </x:c>
      <x:c r="D1519" t="n">
        <x:v>26</x:v>
      </x:c>
      <x:c r="E1519" s="18" t="n">
        <x:v>1128.74</x:v>
      </x:c>
      <x:c r="F1519" s="18" t="n">
        <x:v>0</x:v>
      </x:c>
      <x:c r="G1519" s="18" t="n">
        <x:v>5.08</x:v>
      </x:c>
      <x:c r="H1519" s="18" t="n">
        <x:v>2.19</x:v>
      </x:c>
      <x:c r="I1519" s="18" t="n">
        <x:v>7.27</x:v>
      </x:c>
      <x:c r="J1519" t="n">
        <x:f>IF(A1519=A1518,IFERROR(IF(B1519=EDATE(B1518,1),C1518,0),0),0)</x:f>
        <x:v>1</x:v>
      </x:c>
      <x:c r="K1519" t="n">
        <x:f>IF(AND(J1519=1,C1519=0),1,0)</x:f>
        <x:v>0</x:v>
      </x:c>
      <x:c r="L1519" t="str">
        <x:f>IFERROR(INDEX(Customers!$C$2:$C$451,MATCH(A1519,Customers!$A$2:$A$451,0)),"Unknown")</x:f>
        <x:v>Standard</x:v>
      </x:c>
    </x:row>
    <x:row r="1520">
      <x:c r="A1520" t="n">
        <x:v>278</x:v>
      </x:c>
      <x:c r="B1520" s="16" t="n">
        <x:v>46266</x:v>
      </x:c>
      <x:c r="C1520" t="n">
        <x:v>1</x:v>
      </x:c>
      <x:c r="D1520" t="n">
        <x:v>29</x:v>
      </x:c>
      <x:c r="E1520" s="18" t="n">
        <x:v>1715.76</x:v>
      </x:c>
      <x:c r="F1520" s="18" t="n">
        <x:v>0</x:v>
      </x:c>
      <x:c r="G1520" s="18" t="n">
        <x:v>7.72</x:v>
      </x:c>
      <x:c r="H1520" s="18" t="n">
        <x:v>6.08</x:v>
      </x:c>
      <x:c r="I1520" s="18" t="n">
        <x:v>13.8</x:v>
      </x:c>
      <x:c r="J1520" t="n">
        <x:f>IF(A1520=A1519,IFERROR(IF(B1520=EDATE(B1519,1),C1519,0),0),0)</x:f>
        <x:v>1</x:v>
      </x:c>
      <x:c r="K1520" t="n">
        <x:f>IF(AND(J1520=1,C1520=0),1,0)</x:f>
        <x:v>0</x:v>
      </x:c>
      <x:c r="L1520" t="str">
        <x:f>IFERROR(INDEX(Customers!$C$2:$C$451,MATCH(A1520,Customers!$A$2:$A$451,0)),"Unknown")</x:f>
        <x:v>Standard</x:v>
      </x:c>
    </x:row>
    <x:row r="1521">
      <x:c r="A1521" t="n">
        <x:v>279</x:v>
      </x:c>
      <x:c r="B1521" s="16" t="n">
        <x:v>46113</x:v>
      </x:c>
      <x:c r="C1521" t="n">
        <x:v>1</x:v>
      </x:c>
      <x:c r="D1521" t="n">
        <x:v>14</x:v>
      </x:c>
      <x:c r="E1521" s="18" t="n">
        <x:v>1184.09</x:v>
      </x:c>
      <x:c r="F1521" s="18" t="n">
        <x:v>0</x:v>
      </x:c>
      <x:c r="G1521" s="18" t="n">
        <x:v>5.33</x:v>
      </x:c>
      <x:c r="H1521" s="18" t="n">
        <x:v>1.15</x:v>
      </x:c>
      <x:c r="I1521" s="18" t="n">
        <x:v>6.48</x:v>
      </x:c>
      <x:c r="J1521" t="n">
        <x:f>IF(A1521=A1520,IFERROR(IF(B1521=EDATE(B1520,1),C1520,0),0),0)</x:f>
        <x:v>0</x:v>
      </x:c>
      <x:c r="K1521" t="n">
        <x:f>IF(AND(J1521=1,C1521=0),1,0)</x:f>
        <x:v>0</x:v>
      </x:c>
      <x:c r="L1521" t="str">
        <x:f>IFERROR(INDEX(Customers!$C$2:$C$451,MATCH(A1521,Customers!$A$2:$A$451,0)),"Unknown")</x:f>
        <x:v>Standard</x:v>
      </x:c>
    </x:row>
    <x:row r="1522">
      <x:c r="A1522" t="n">
        <x:v>279</x:v>
      </x:c>
      <x:c r="B1522" s="16" t="n">
        <x:v>46143</x:v>
      </x:c>
      <x:c r="C1522" t="n">
        <x:v>0</x:v>
      </x:c>
      <x:c r="D1522" t="n">
        <x:v>0</x:v>
      </x:c>
      <x:c r="E1522" s="18" t="n">
        <x:v>0</x:v>
      </x:c>
      <x:c r="F1522" s="18" t="n">
        <x:v>0</x:v>
      </x:c>
      <x:c r="G1522" s="18" t="n">
        <x:v>0</x:v>
      </x:c>
      <x:c r="H1522" s="18" t="n">
        <x:v>0</x:v>
      </x:c>
      <x:c r="I1522" s="18" t="n">
        <x:v>0</x:v>
      </x:c>
      <x:c r="J1522" t="n">
        <x:f>IF(A1522=A1521,IFERROR(IF(B1522=EDATE(B1521,1),C1521,0),0),0)</x:f>
        <x:v>1</x:v>
      </x:c>
      <x:c r="K1522" t="n">
        <x:f>IF(AND(J1522=1,C1522=0),1,0)</x:f>
        <x:v>1</x:v>
      </x:c>
      <x:c r="L1522" t="str">
        <x:f>IFERROR(INDEX(Customers!$C$2:$C$451,MATCH(A1522,Customers!$A$2:$A$451,0)),"Unknown")</x:f>
        <x:v>Standard</x:v>
      </x:c>
    </x:row>
    <x:row r="1523">
      <x:c r="A1523" t="n">
        <x:v>279</x:v>
      </x:c>
      <x:c r="B1523" s="16" t="n">
        <x:v>46174</x:v>
      </x:c>
      <x:c r="C1523" t="n">
        <x:v>1</x:v>
      </x:c>
      <x:c r="D1523" t="n">
        <x:v>36</x:v>
      </x:c>
      <x:c r="E1523" s="18" t="n">
        <x:v>4084.05</x:v>
      </x:c>
      <x:c r="F1523" s="18" t="n">
        <x:v>0</x:v>
      </x:c>
      <x:c r="G1523" s="18" t="n">
        <x:v>18.38</x:v>
      </x:c>
      <x:c r="H1523" s="18" t="n">
        <x:v>7.48</x:v>
      </x:c>
      <x:c r="I1523" s="18" t="n">
        <x:v>25.86</x:v>
      </x:c>
      <x:c r="J1523" t="n">
        <x:f>IF(A1523=A1522,IFERROR(IF(B1523=EDATE(B1522,1),C1522,0),0),0)</x:f>
        <x:v>0</x:v>
      </x:c>
      <x:c r="K1523" t="n">
        <x:f>IF(AND(J1523=1,C1523=0),1,0)</x:f>
        <x:v>0</x:v>
      </x:c>
      <x:c r="L1523" t="str">
        <x:f>IFERROR(INDEX(Customers!$C$2:$C$451,MATCH(A1523,Customers!$A$2:$A$451,0)),"Unknown")</x:f>
        <x:v>Standard</x:v>
      </x:c>
    </x:row>
    <x:row r="1524">
      <x:c r="A1524" t="n">
        <x:v>279</x:v>
      </x:c>
      <x:c r="B1524" s="16" t="n">
        <x:v>46204</x:v>
      </x:c>
      <x:c r="C1524" t="n">
        <x:v>1</x:v>
      </x:c>
      <x:c r="D1524" t="n">
        <x:v>10</x:v>
      </x:c>
      <x:c r="E1524" s="18" t="n">
        <x:v>1197.74</x:v>
      </x:c>
      <x:c r="F1524" s="18" t="n">
        <x:v>0</x:v>
      </x:c>
      <x:c r="G1524" s="18" t="n">
        <x:v>5.39</x:v>
      </x:c>
      <x:c r="H1524" s="18" t="n">
        <x:v>2.03</x:v>
      </x:c>
      <x:c r="I1524" s="18" t="n">
        <x:v>7.42</x:v>
      </x:c>
      <x:c r="J1524" t="n">
        <x:f>IF(A1524=A1523,IFERROR(IF(B1524=EDATE(B1523,1),C1523,0),0),0)</x:f>
        <x:v>1</x:v>
      </x:c>
      <x:c r="K1524" t="n">
        <x:f>IF(AND(J1524=1,C1524=0),1,0)</x:f>
        <x:v>0</x:v>
      </x:c>
      <x:c r="L1524" t="str">
        <x:f>IFERROR(INDEX(Customers!$C$2:$C$451,MATCH(A1524,Customers!$A$2:$A$451,0)),"Unknown")</x:f>
        <x:v>Standard</x:v>
      </x:c>
    </x:row>
    <x:row r="1525">
      <x:c r="A1525" t="n">
        <x:v>279</x:v>
      </x:c>
      <x:c r="B1525" s="16" t="n">
        <x:v>46235</x:v>
      </x:c>
      <x:c r="C1525" t="n">
        <x:v>1</x:v>
      </x:c>
      <x:c r="D1525" t="n">
        <x:v>6</x:v>
      </x:c>
      <x:c r="E1525" s="18" t="n">
        <x:v>646.72</x:v>
      </x:c>
      <x:c r="F1525" s="18" t="n">
        <x:v>0</x:v>
      </x:c>
      <x:c r="G1525" s="18" t="n">
        <x:v>2.91</x:v>
      </x:c>
      <x:c r="H1525" s="18" t="n">
        <x:v>0.86</x:v>
      </x:c>
      <x:c r="I1525" s="18" t="n">
        <x:v>3.77</x:v>
      </x:c>
      <x:c r="J1525" t="n">
        <x:f>IF(A1525=A1524,IFERROR(IF(B1525=EDATE(B1524,1),C1524,0),0),0)</x:f>
        <x:v>1</x:v>
      </x:c>
      <x:c r="K1525" t="n">
        <x:f>IF(AND(J1525=1,C1525=0),1,0)</x:f>
        <x:v>0</x:v>
      </x:c>
      <x:c r="L1525" t="str">
        <x:f>IFERROR(INDEX(Customers!$C$2:$C$451,MATCH(A1525,Customers!$A$2:$A$451,0)),"Unknown")</x:f>
        <x:v>Standard</x:v>
      </x:c>
    </x:row>
    <x:row r="1526">
      <x:c r="A1526" t="n">
        <x:v>279</x:v>
      </x:c>
      <x:c r="B1526" s="16" t="n">
        <x:v>46266</x:v>
      </x:c>
      <x:c r="C1526" t="n">
        <x:v>0</x:v>
      </x:c>
      <x:c r="D1526" t="n">
        <x:v>0</x:v>
      </x:c>
      <x:c r="E1526" s="18" t="n">
        <x:v>0</x:v>
      </x:c>
      <x:c r="F1526" s="18" t="n">
        <x:v>0</x:v>
      </x:c>
      <x:c r="G1526" s="18" t="n">
        <x:v>0</x:v>
      </x:c>
      <x:c r="H1526" s="18" t="n">
        <x:v>0</x:v>
      </x:c>
      <x:c r="I1526" s="18" t="n">
        <x:v>0</x:v>
      </x:c>
      <x:c r="J1526" t="n">
        <x:f>IF(A1526=A1525,IFERROR(IF(B1526=EDATE(B1525,1),C1525,0),0),0)</x:f>
        <x:v>1</x:v>
      </x:c>
      <x:c r="K1526" t="n">
        <x:f>IF(AND(J1526=1,C1526=0),1,0)</x:f>
        <x:v>1</x:v>
      </x:c>
      <x:c r="L1526" t="str">
        <x:f>IFERROR(INDEX(Customers!$C$2:$C$451,MATCH(A1526,Customers!$A$2:$A$451,0)),"Unknown")</x:f>
        <x:v>Standard</x:v>
      </x:c>
    </x:row>
    <x:row r="1527">
      <x:c r="A1527" t="n">
        <x:v>280</x:v>
      </x:c>
      <x:c r="B1527" s="16" t="n">
        <x:v>46113</x:v>
      </x:c>
      <x:c r="C1527" t="n">
        <x:v>1</x:v>
      </x:c>
      <x:c r="D1527" t="n">
        <x:v>7</x:v>
      </x:c>
      <x:c r="E1527" s="18" t="n">
        <x:v>264.36</x:v>
      </x:c>
      <x:c r="F1527" s="18" t="n">
        <x:v>0</x:v>
      </x:c>
      <x:c r="G1527" s="18" t="n">
        <x:v>1.19</x:v>
      </x:c>
      <x:c r="H1527" s="18" t="n">
        <x:v>0.8</x:v>
      </x:c>
      <x:c r="I1527" s="18" t="n">
        <x:v>1.99</x:v>
      </x:c>
      <x:c r="J1527" t="n">
        <x:f>IF(A1527=A1526,IFERROR(IF(B1527=EDATE(B1526,1),C1526,0),0),0)</x:f>
        <x:v>0</x:v>
      </x:c>
      <x:c r="K1527" t="n">
        <x:f>IF(AND(J1527=1,C1527=0),1,0)</x:f>
        <x:v>0</x:v>
      </x:c>
      <x:c r="L1527" t="str">
        <x:f>IFERROR(INDEX(Customers!$C$2:$C$451,MATCH(A1527,Customers!$A$2:$A$451,0)),"Unknown")</x:f>
        <x:v>Standard</x:v>
      </x:c>
    </x:row>
    <x:row r="1528">
      <x:c r="A1528" t="n">
        <x:v>280</x:v>
      </x:c>
      <x:c r="B1528" s="16" t="n">
        <x:v>46143</x:v>
      </x:c>
      <x:c r="C1528" t="n">
        <x:v>1</x:v>
      </x:c>
      <x:c r="D1528" t="n">
        <x:v>5</x:v>
      </x:c>
      <x:c r="E1528" s="18" t="n">
        <x:v>398.74</x:v>
      </x:c>
      <x:c r="F1528" s="18" t="n">
        <x:v>0</x:v>
      </x:c>
      <x:c r="G1528" s="18" t="n">
        <x:v>1.79</x:v>
      </x:c>
      <x:c r="H1528" s="18" t="n">
        <x:v>0.99</x:v>
      </x:c>
      <x:c r="I1528" s="18" t="n">
        <x:v>2.78</x:v>
      </x:c>
      <x:c r="J1528" t="n">
        <x:f>IF(A1528=A1527,IFERROR(IF(B1528=EDATE(B1527,1),C1527,0),0),0)</x:f>
        <x:v>1</x:v>
      </x:c>
      <x:c r="K1528" t="n">
        <x:f>IF(AND(J1528=1,C1528=0),1,0)</x:f>
        <x:v>0</x:v>
      </x:c>
      <x:c r="L1528" t="str">
        <x:f>IFERROR(INDEX(Customers!$C$2:$C$451,MATCH(A1528,Customers!$A$2:$A$451,0)),"Unknown")</x:f>
        <x:v>Standard</x:v>
      </x:c>
    </x:row>
    <x:row r="1529">
      <x:c r="A1529" t="n">
        <x:v>280</x:v>
      </x:c>
      <x:c r="B1529" s="16" t="n">
        <x:v>46174</x:v>
      </x:c>
      <x:c r="C1529" t="n">
        <x:v>1</x:v>
      </x:c>
      <x:c r="D1529" t="n">
        <x:v>4</x:v>
      </x:c>
      <x:c r="E1529" s="18" t="n">
        <x:v>421.52</x:v>
      </x:c>
      <x:c r="F1529" s="18" t="n">
        <x:v>0</x:v>
      </x:c>
      <x:c r="G1529" s="18" t="n">
        <x:v>1.9</x:v>
      </x:c>
      <x:c r="H1529" s="18" t="n">
        <x:v>0.99</x:v>
      </x:c>
      <x:c r="I1529" s="18" t="n">
        <x:v>2.89</x:v>
      </x:c>
      <x:c r="J1529" t="n">
        <x:f>IF(A1529=A1528,IFERROR(IF(B1529=EDATE(B1528,1),C1528,0),0),0)</x:f>
        <x:v>1</x:v>
      </x:c>
      <x:c r="K1529" t="n">
        <x:f>IF(AND(J1529=1,C1529=0),1,0)</x:f>
        <x:v>0</x:v>
      </x:c>
      <x:c r="L1529" t="str">
        <x:f>IFERROR(INDEX(Customers!$C$2:$C$451,MATCH(A1529,Customers!$A$2:$A$451,0)),"Unknown")</x:f>
        <x:v>Standard</x:v>
      </x:c>
    </x:row>
    <x:row r="1530">
      <x:c r="A1530" t="n">
        <x:v>280</x:v>
      </x:c>
      <x:c r="B1530" s="16" t="n">
        <x:v>46204</x:v>
      </x:c>
      <x:c r="C1530" t="n">
        <x:v>1</x:v>
      </x:c>
      <x:c r="D1530" t="n">
        <x:v>11</x:v>
      </x:c>
      <x:c r="E1530" s="18" t="n">
        <x:v>406.65</x:v>
      </x:c>
      <x:c r="F1530" s="18" t="n">
        <x:v>0</x:v>
      </x:c>
      <x:c r="G1530" s="18" t="n">
        <x:v>1.83</x:v>
      </x:c>
      <x:c r="H1530" s="18" t="n">
        <x:v>1.02</x:v>
      </x:c>
      <x:c r="I1530" s="18" t="n">
        <x:v>2.85</x:v>
      </x:c>
      <x:c r="J1530" t="n">
        <x:f>IF(A1530=A1529,IFERROR(IF(B1530=EDATE(B1529,1),C1529,0),0),0)</x:f>
        <x:v>1</x:v>
      </x:c>
      <x:c r="K1530" t="n">
        <x:f>IF(AND(J1530=1,C1530=0),1,0)</x:f>
        <x:v>0</x:v>
      </x:c>
      <x:c r="L1530" t="str">
        <x:f>IFERROR(INDEX(Customers!$C$2:$C$451,MATCH(A1530,Customers!$A$2:$A$451,0)),"Unknown")</x:f>
        <x:v>Standard</x:v>
      </x:c>
    </x:row>
    <x:row r="1531">
      <x:c r="A1531" t="n">
        <x:v>280</x:v>
      </x:c>
      <x:c r="B1531" s="16" t="n">
        <x:v>46235</x:v>
      </x:c>
      <x:c r="C1531" t="n">
        <x:v>1</x:v>
      </x:c>
      <x:c r="D1531" t="n">
        <x:v>24</x:v>
      </x:c>
      <x:c r="E1531" s="18" t="n">
        <x:v>2352.96</x:v>
      </x:c>
      <x:c r="F1531" s="18" t="n">
        <x:v>0</x:v>
      </x:c>
      <x:c r="G1531" s="18" t="n">
        <x:v>10.59</x:v>
      </x:c>
      <x:c r="H1531" s="18" t="n">
        <x:v>6.71</x:v>
      </x:c>
      <x:c r="I1531" s="18" t="n">
        <x:v>17.3</x:v>
      </x:c>
      <x:c r="J1531" t="n">
        <x:f>IF(A1531=A1530,IFERROR(IF(B1531=EDATE(B1530,1),C1530,0),0),0)</x:f>
        <x:v>1</x:v>
      </x:c>
      <x:c r="K1531" t="n">
        <x:f>IF(AND(J1531=1,C1531=0),1,0)</x:f>
        <x:v>0</x:v>
      </x:c>
      <x:c r="L1531" t="str">
        <x:f>IFERROR(INDEX(Customers!$C$2:$C$451,MATCH(A1531,Customers!$A$2:$A$451,0)),"Unknown")</x:f>
        <x:v>Standard</x:v>
      </x:c>
    </x:row>
    <x:row r="1532">
      <x:c r="A1532" t="n">
        <x:v>280</x:v>
      </x:c>
      <x:c r="B1532" s="16" t="n">
        <x:v>46266</x:v>
      </x:c>
      <x:c r="C1532" t="n">
        <x:v>0</x:v>
      </x:c>
      <x:c r="D1532" t="n">
        <x:v>0</x:v>
      </x:c>
      <x:c r="E1532" s="18" t="n">
        <x:v>0</x:v>
      </x:c>
      <x:c r="F1532" s="18" t="n">
        <x:v>0</x:v>
      </x:c>
      <x:c r="G1532" s="18" t="n">
        <x:v>0</x:v>
      </x:c>
      <x:c r="H1532" s="18" t="n">
        <x:v>0</x:v>
      </x:c>
      <x:c r="I1532" s="18" t="n">
        <x:v>0</x:v>
      </x:c>
      <x:c r="J1532" t="n">
        <x:f>IF(A1532=A1531,IFERROR(IF(B1532=EDATE(B1531,1),C1531,0),0),0)</x:f>
        <x:v>1</x:v>
      </x:c>
      <x:c r="K1532" t="n">
        <x:f>IF(AND(J1532=1,C1532=0),1,0)</x:f>
        <x:v>1</x:v>
      </x:c>
      <x:c r="L1532" t="str">
        <x:f>IFERROR(INDEX(Customers!$C$2:$C$451,MATCH(A1532,Customers!$A$2:$A$451,0)),"Unknown")</x:f>
        <x:v>Standard</x:v>
      </x:c>
    </x:row>
    <x:row r="1533">
      <x:c r="A1533" t="n">
        <x:v>281</x:v>
      </x:c>
      <x:c r="B1533" s="16" t="n">
        <x:v>46113</x:v>
      </x:c>
      <x:c r="C1533" t="n">
        <x:v>1</x:v>
      </x:c>
      <x:c r="D1533" t="n">
        <x:v>32</x:v>
      </x:c>
      <x:c r="E1533" s="18" t="n">
        <x:v>4084.77</x:v>
      </x:c>
      <x:c r="F1533" s="18" t="n">
        <x:v>8</x:v>
      </x:c>
      <x:c r="G1533" s="18" t="n">
        <x:v>18.38</x:v>
      </x:c>
      <x:c r="H1533" s="18" t="n">
        <x:v>5.46</x:v>
      </x:c>
      <x:c r="I1533" s="18" t="n">
        <x:v>31.84</x:v>
      </x:c>
      <x:c r="J1533" t="n">
        <x:f>IF(A1533=A1532,IFERROR(IF(B1533=EDATE(B1532,1),C1532,0),0),0)</x:f>
        <x:v>0</x:v>
      </x:c>
      <x:c r="K1533" t="n">
        <x:f>IF(AND(J1533=1,C1533=0),1,0)</x:f>
        <x:v>0</x:v>
      </x:c>
      <x:c r="L1533" t="str">
        <x:f>IFERROR(INDEX(Customers!$C$2:$C$451,MATCH(A1533,Customers!$A$2:$A$451,0)),"Unknown")</x:f>
        <x:v>Plus</x:v>
      </x:c>
    </x:row>
    <x:row r="1534">
      <x:c r="A1534" t="n">
        <x:v>281</x:v>
      </x:c>
      <x:c r="B1534" s="16" t="n">
        <x:v>46143</x:v>
      </x:c>
      <x:c r="C1534" t="n">
        <x:v>1</x:v>
      </x:c>
      <x:c r="D1534" t="n">
        <x:v>31</x:v>
      </x:c>
      <x:c r="E1534" s="18" t="n">
        <x:v>2605.28</x:v>
      </x:c>
      <x:c r="F1534" s="18" t="n">
        <x:v>8</x:v>
      </x:c>
      <x:c r="G1534" s="18" t="n">
        <x:v>11.72</x:v>
      </x:c>
      <x:c r="H1534" s="18" t="n">
        <x:v>7.4</x:v>
      </x:c>
      <x:c r="I1534" s="18" t="n">
        <x:v>27.12</x:v>
      </x:c>
      <x:c r="J1534" t="n">
        <x:f>IF(A1534=A1533,IFERROR(IF(B1534=EDATE(B1533,1),C1533,0),0),0)</x:f>
        <x:v>1</x:v>
      </x:c>
      <x:c r="K1534" t="n">
        <x:f>IF(AND(J1534=1,C1534=0),1,0)</x:f>
        <x:v>0</x:v>
      </x:c>
      <x:c r="L1534" t="str">
        <x:f>IFERROR(INDEX(Customers!$C$2:$C$451,MATCH(A1534,Customers!$A$2:$A$451,0)),"Unknown")</x:f>
        <x:v>Plus</x:v>
      </x:c>
    </x:row>
    <x:row r="1535">
      <x:c r="A1535" t="n">
        <x:v>281</x:v>
      </x:c>
      <x:c r="B1535" s="16" t="n">
        <x:v>46174</x:v>
      </x:c>
      <x:c r="C1535" t="n">
        <x:v>1</x:v>
      </x:c>
      <x:c r="D1535" t="n">
        <x:v>28</x:v>
      </x:c>
      <x:c r="E1535" s="18" t="n">
        <x:v>1331.79</x:v>
      </x:c>
      <x:c r="F1535" s="18" t="n">
        <x:v>8</x:v>
      </x:c>
      <x:c r="G1535" s="18" t="n">
        <x:v>5.99</x:v>
      </x:c>
      <x:c r="H1535" s="18" t="n">
        <x:v>4.71</x:v>
      </x:c>
      <x:c r="I1535" s="18" t="n">
        <x:v>18.7</x:v>
      </x:c>
      <x:c r="J1535" t="n">
        <x:f>IF(A1535=A1534,IFERROR(IF(B1535=EDATE(B1534,1),C1534,0),0),0)</x:f>
        <x:v>1</x:v>
      </x:c>
      <x:c r="K1535" t="n">
        <x:f>IF(AND(J1535=1,C1535=0),1,0)</x:f>
        <x:v>0</x:v>
      </x:c>
      <x:c r="L1535" t="str">
        <x:f>IFERROR(INDEX(Customers!$C$2:$C$451,MATCH(A1535,Customers!$A$2:$A$451,0)),"Unknown")</x:f>
        <x:v>Plus</x:v>
      </x:c>
    </x:row>
    <x:row r="1536">
      <x:c r="A1536" t="n">
        <x:v>281</x:v>
      </x:c>
      <x:c r="B1536" s="16" t="n">
        <x:v>46204</x:v>
      </x:c>
      <x:c r="C1536" t="n">
        <x:v>1</x:v>
      </x:c>
      <x:c r="D1536" t="n">
        <x:v>9</x:v>
      </x:c>
      <x:c r="E1536" s="18" t="n">
        <x:v>772</x:v>
      </x:c>
      <x:c r="F1536" s="18" t="n">
        <x:v>8</x:v>
      </x:c>
      <x:c r="G1536" s="18" t="n">
        <x:v>3.47</x:v>
      </x:c>
      <x:c r="H1536" s="18" t="n">
        <x:v>2.47</x:v>
      </x:c>
      <x:c r="I1536" s="18" t="n">
        <x:v>13.94</x:v>
      </x:c>
      <x:c r="J1536" t="n">
        <x:f>IF(A1536=A1535,IFERROR(IF(B1536=EDATE(B1535,1),C1535,0),0),0)</x:f>
        <x:v>1</x:v>
      </x:c>
      <x:c r="K1536" t="n">
        <x:f>IF(AND(J1536=1,C1536=0),1,0)</x:f>
        <x:v>0</x:v>
      </x:c>
      <x:c r="L1536" t="str">
        <x:f>IFERROR(INDEX(Customers!$C$2:$C$451,MATCH(A1536,Customers!$A$2:$A$451,0)),"Unknown")</x:f>
        <x:v>Plus</x:v>
      </x:c>
    </x:row>
    <x:row r="1537">
      <x:c r="A1537" t="n">
        <x:v>281</x:v>
      </x:c>
      <x:c r="B1537" s="16" t="n">
        <x:v>46235</x:v>
      </x:c>
      <x:c r="C1537" t="n">
        <x:v>1</x:v>
      </x:c>
      <x:c r="D1537" t="n">
        <x:v>4</x:v>
      </x:c>
      <x:c r="E1537" s="18" t="n">
        <x:v>203.47</x:v>
      </x:c>
      <x:c r="F1537" s="18" t="n">
        <x:v>8</x:v>
      </x:c>
      <x:c r="G1537" s="18" t="n">
        <x:v>0.92</x:v>
      </x:c>
      <x:c r="H1537" s="18" t="n">
        <x:v>0.26</x:v>
      </x:c>
      <x:c r="I1537" s="18" t="n">
        <x:v>9.18</x:v>
      </x:c>
      <x:c r="J1537" t="n">
        <x:f>IF(A1537=A1536,IFERROR(IF(B1537=EDATE(B1536,1),C1536,0),0),0)</x:f>
        <x:v>1</x:v>
      </x:c>
      <x:c r="K1537" t="n">
        <x:f>IF(AND(J1537=1,C1537=0),1,0)</x:f>
        <x:v>0</x:v>
      </x:c>
      <x:c r="L1537" t="str">
        <x:f>IFERROR(INDEX(Customers!$C$2:$C$451,MATCH(A1537,Customers!$A$2:$A$451,0)),"Unknown")</x:f>
        <x:v>Plus</x:v>
      </x:c>
    </x:row>
    <x:row r="1538">
      <x:c r="A1538" t="n">
        <x:v>281</x:v>
      </x:c>
      <x:c r="B1538" s="16" t="n">
        <x:v>46266</x:v>
      </x:c>
      <x:c r="C1538" t="n">
        <x:v>1</x:v>
      </x:c>
      <x:c r="D1538" t="n">
        <x:v>33</x:v>
      </x:c>
      <x:c r="E1538" s="18" t="n">
        <x:v>2805.4</x:v>
      </x:c>
      <x:c r="F1538" s="18" t="n">
        <x:v>8</x:v>
      </x:c>
      <x:c r="G1538" s="18" t="n">
        <x:v>12.62</x:v>
      </x:c>
      <x:c r="H1538" s="18" t="n">
        <x:v>5.64</x:v>
      </x:c>
      <x:c r="I1538" s="18" t="n">
        <x:v>26.26</x:v>
      </x:c>
      <x:c r="J1538" t="n">
        <x:f>IF(A1538=A1537,IFERROR(IF(B1538=EDATE(B1537,1),C1537,0),0),0)</x:f>
        <x:v>1</x:v>
      </x:c>
      <x:c r="K1538" t="n">
        <x:f>IF(AND(J1538=1,C1538=0),1,0)</x:f>
        <x:v>0</x:v>
      </x:c>
      <x:c r="L1538" t="str">
        <x:f>IFERROR(INDEX(Customers!$C$2:$C$451,MATCH(A1538,Customers!$A$2:$A$451,0)),"Unknown")</x:f>
        <x:v>Plus</x:v>
      </x:c>
    </x:row>
    <x:row r="1539">
      <x:c r="A1539" t="n">
        <x:v>282</x:v>
      </x:c>
      <x:c r="B1539" s="16" t="n">
        <x:v>46113</x:v>
      </x:c>
      <x:c r="C1539" t="n">
        <x:v>1</x:v>
      </x:c>
      <x:c r="D1539" t="n">
        <x:v>29</x:v>
      </x:c>
      <x:c r="E1539" s="18" t="n">
        <x:v>1094.78</x:v>
      </x:c>
      <x:c r="F1539" s="18" t="n">
        <x:v>0</x:v>
      </x:c>
      <x:c r="G1539" s="18" t="n">
        <x:v>4.93</x:v>
      </x:c>
      <x:c r="H1539" s="18" t="n">
        <x:v>3.16</x:v>
      </x:c>
      <x:c r="I1539" s="18" t="n">
        <x:v>8.09</x:v>
      </x:c>
      <x:c r="J1539" t="n">
        <x:f>IF(A1539=A1538,IFERROR(IF(B1539=EDATE(B1538,1),C1538,0),0),0)</x:f>
        <x:v>0</x:v>
      </x:c>
      <x:c r="K1539" t="n">
        <x:f>IF(AND(J1539=1,C1539=0),1,0)</x:f>
        <x:v>0</x:v>
      </x:c>
      <x:c r="L1539" t="str">
        <x:f>IFERROR(INDEX(Customers!$C$2:$C$451,MATCH(A1539,Customers!$A$2:$A$451,0)),"Unknown")</x:f>
        <x:v>Standard</x:v>
      </x:c>
    </x:row>
    <x:row r="1540">
      <x:c r="A1540" t="n">
        <x:v>282</x:v>
      </x:c>
      <x:c r="B1540" s="16" t="n">
        <x:v>46143</x:v>
      </x:c>
      <x:c r="C1540" t="n">
        <x:v>1</x:v>
      </x:c>
      <x:c r="D1540" t="n">
        <x:v>10</x:v>
      </x:c>
      <x:c r="E1540" s="18" t="n">
        <x:v>925.79</x:v>
      </x:c>
      <x:c r="F1540" s="18" t="n">
        <x:v>0</x:v>
      </x:c>
      <x:c r="G1540" s="18" t="n">
        <x:v>4.17</x:v>
      </x:c>
      <x:c r="H1540" s="18" t="n">
        <x:v>1.89</x:v>
      </x:c>
      <x:c r="I1540" s="18" t="n">
        <x:v>6.06</x:v>
      </x:c>
      <x:c r="J1540" t="n">
        <x:f>IF(A1540=A1539,IFERROR(IF(B1540=EDATE(B1539,1),C1539,0),0),0)</x:f>
        <x:v>1</x:v>
      </x:c>
      <x:c r="K1540" t="n">
        <x:f>IF(AND(J1540=1,C1540=0),1,0)</x:f>
        <x:v>0</x:v>
      </x:c>
      <x:c r="L1540" t="str">
        <x:f>IFERROR(INDEX(Customers!$C$2:$C$451,MATCH(A1540,Customers!$A$2:$A$451,0)),"Unknown")</x:f>
        <x:v>Standard</x:v>
      </x:c>
    </x:row>
    <x:row r="1541">
      <x:c r="A1541" t="n">
        <x:v>282</x:v>
      </x:c>
      <x:c r="B1541" s="16" t="n">
        <x:v>46174</x:v>
      </x:c>
      <x:c r="C1541" t="n">
        <x:v>1</x:v>
      </x:c>
      <x:c r="D1541" t="n">
        <x:v>8</x:v>
      </x:c>
      <x:c r="E1541" s="18" t="n">
        <x:v>330.13</x:v>
      </x:c>
      <x:c r="F1541" s="18" t="n">
        <x:v>0</x:v>
      </x:c>
      <x:c r="G1541" s="18" t="n">
        <x:v>1.49</x:v>
      </x:c>
      <x:c r="H1541" s="18" t="n">
        <x:v>0.46</x:v>
      </x:c>
      <x:c r="I1541" s="18" t="n">
        <x:v>1.95</x:v>
      </x:c>
      <x:c r="J1541" t="n">
        <x:f>IF(A1541=A1540,IFERROR(IF(B1541=EDATE(B1540,1),C1540,0),0),0)</x:f>
        <x:v>1</x:v>
      </x:c>
      <x:c r="K1541" t="n">
        <x:f>IF(AND(J1541=1,C1541=0),1,0)</x:f>
        <x:v>0</x:v>
      </x:c>
      <x:c r="L1541" t="str">
        <x:f>IFERROR(INDEX(Customers!$C$2:$C$451,MATCH(A1541,Customers!$A$2:$A$451,0)),"Unknown")</x:f>
        <x:v>Standard</x:v>
      </x:c>
    </x:row>
    <x:row r="1542">
      <x:c r="A1542" t="n">
        <x:v>282</x:v>
      </x:c>
      <x:c r="B1542" s="16" t="n">
        <x:v>46204</x:v>
      </x:c>
      <x:c r="C1542" t="n">
        <x:v>0</x:v>
      </x:c>
      <x:c r="D1542" t="n">
        <x:v>0</x:v>
      </x:c>
      <x:c r="E1542" s="18" t="n">
        <x:v>0</x:v>
      </x:c>
      <x:c r="F1542" s="18" t="n">
        <x:v>0</x:v>
      </x:c>
      <x:c r="G1542" s="18" t="n">
        <x:v>0</x:v>
      </x:c>
      <x:c r="H1542" s="18" t="n">
        <x:v>0</x:v>
      </x:c>
      <x:c r="I1542" s="18" t="n">
        <x:v>0</x:v>
      </x:c>
      <x:c r="J1542" t="n">
        <x:f>IF(A1542=A1541,IFERROR(IF(B1542=EDATE(B1541,1),C1541,0),0),0)</x:f>
        <x:v>1</x:v>
      </x:c>
      <x:c r="K1542" t="n">
        <x:f>IF(AND(J1542=1,C1542=0),1,0)</x:f>
        <x:v>1</x:v>
      </x:c>
      <x:c r="L1542" t="str">
        <x:f>IFERROR(INDEX(Customers!$C$2:$C$451,MATCH(A1542,Customers!$A$2:$A$451,0)),"Unknown")</x:f>
        <x:v>Standard</x:v>
      </x:c>
    </x:row>
    <x:row r="1543">
      <x:c r="A1543" t="n">
        <x:v>282</x:v>
      </x:c>
      <x:c r="B1543" s="16" t="n">
        <x:v>46235</x:v>
      </x:c>
      <x:c r="C1543" t="n">
        <x:v>0</x:v>
      </x:c>
      <x:c r="D1543" t="n">
        <x:v>0</x:v>
      </x:c>
      <x:c r="E1543" s="18" t="n">
        <x:v>0</x:v>
      </x:c>
      <x:c r="F1543" s="18" t="n">
        <x:v>0</x:v>
      </x:c>
      <x:c r="G1543" s="18" t="n">
        <x:v>0</x:v>
      </x:c>
      <x:c r="H1543" s="18" t="n">
        <x:v>0</x:v>
      </x:c>
      <x:c r="I1543" s="18" t="n">
        <x:v>0</x:v>
      </x:c>
      <x:c r="J1543" t="n">
        <x:f>IF(A1543=A1542,IFERROR(IF(B1543=EDATE(B1542,1),C1542,0),0),0)</x:f>
        <x:v>0</x:v>
      </x:c>
      <x:c r="K1543" t="n">
        <x:f>IF(AND(J1543=1,C1543=0),1,0)</x:f>
        <x:v>0</x:v>
      </x:c>
      <x:c r="L1543" t="str">
        <x:f>IFERROR(INDEX(Customers!$C$2:$C$451,MATCH(A1543,Customers!$A$2:$A$451,0)),"Unknown")</x:f>
        <x:v>Standard</x:v>
      </x:c>
    </x:row>
    <x:row r="1544">
      <x:c r="A1544" t="n">
        <x:v>282</x:v>
      </x:c>
      <x:c r="B1544" s="16" t="n">
        <x:v>46266</x:v>
      </x:c>
      <x:c r="C1544" t="n">
        <x:v>0</x:v>
      </x:c>
      <x:c r="D1544" t="n">
        <x:v>0</x:v>
      </x:c>
      <x:c r="E1544" s="18" t="n">
        <x:v>0</x:v>
      </x:c>
      <x:c r="F1544" s="18" t="n">
        <x:v>0</x:v>
      </x:c>
      <x:c r="G1544" s="18" t="n">
        <x:v>0</x:v>
      </x:c>
      <x:c r="H1544" s="18" t="n">
        <x:v>0</x:v>
      </x:c>
      <x:c r="I1544" s="18" t="n">
        <x:v>0</x:v>
      </x:c>
      <x:c r="J1544" t="n">
        <x:f>IF(A1544=A1543,IFERROR(IF(B1544=EDATE(B1543,1),C1543,0),0),0)</x:f>
        <x:v>0</x:v>
      </x:c>
      <x:c r="K1544" t="n">
        <x:f>IF(AND(J1544=1,C1544=0),1,0)</x:f>
        <x:v>0</x:v>
      </x:c>
      <x:c r="L1544" t="str">
        <x:f>IFERROR(INDEX(Customers!$C$2:$C$451,MATCH(A1544,Customers!$A$2:$A$451,0)),"Unknown")</x:f>
        <x:v>Standard</x:v>
      </x:c>
    </x:row>
    <x:row r="1545">
      <x:c r="A1545" t="n">
        <x:v>283</x:v>
      </x:c>
      <x:c r="B1545" s="16" t="n">
        <x:v>46174</x:v>
      </x:c>
      <x:c r="C1545" t="n">
        <x:v>1</x:v>
      </x:c>
      <x:c r="D1545" t="n">
        <x:v>22</x:v>
      </x:c>
      <x:c r="E1545" s="18" t="n">
        <x:v>784.91</x:v>
      </x:c>
      <x:c r="F1545" s="18" t="n">
        <x:v>0</x:v>
      </x:c>
      <x:c r="G1545" s="18" t="n">
        <x:v>3.53</x:v>
      </x:c>
      <x:c r="H1545" s="18" t="n">
        <x:v>0.63</x:v>
      </x:c>
      <x:c r="I1545" s="18" t="n">
        <x:v>4.16</x:v>
      </x:c>
      <x:c r="J1545" t="n">
        <x:f>IF(A1545=A1544,IFERROR(IF(B1545=EDATE(B1544,1),C1544,0),0),0)</x:f>
        <x:v>0</x:v>
      </x:c>
      <x:c r="K1545" t="n">
        <x:f>IF(AND(J1545=1,C1545=0),1,0)</x:f>
        <x:v>0</x:v>
      </x:c>
      <x:c r="L1545" t="str">
        <x:f>IFERROR(INDEX(Customers!$C$2:$C$451,MATCH(A1545,Customers!$A$2:$A$451,0)),"Unknown")</x:f>
        <x:v>Standard</x:v>
      </x:c>
    </x:row>
    <x:row r="1546">
      <x:c r="A1546" t="n">
        <x:v>283</x:v>
      </x:c>
      <x:c r="B1546" s="16" t="n">
        <x:v>46204</x:v>
      </x:c>
      <x:c r="C1546" t="n">
        <x:v>1</x:v>
      </x:c>
      <x:c r="D1546" t="n">
        <x:v>19</x:v>
      </x:c>
      <x:c r="E1546" s="18" t="n">
        <x:v>2630.27</x:v>
      </x:c>
      <x:c r="F1546" s="18" t="n">
        <x:v>0</x:v>
      </x:c>
      <x:c r="G1546" s="18" t="n">
        <x:v>11.84</x:v>
      </x:c>
      <x:c r="H1546" s="18" t="n">
        <x:v>8.25</x:v>
      </x:c>
      <x:c r="I1546" s="18" t="n">
        <x:v>20.09</x:v>
      </x:c>
      <x:c r="J1546" t="n">
        <x:f>IF(A1546=A1545,IFERROR(IF(B1546=EDATE(B1545,1),C1545,0),0),0)</x:f>
        <x:v>1</x:v>
      </x:c>
      <x:c r="K1546" t="n">
        <x:f>IF(AND(J1546=1,C1546=0),1,0)</x:f>
        <x:v>0</x:v>
      </x:c>
      <x:c r="L1546" t="str">
        <x:f>IFERROR(INDEX(Customers!$C$2:$C$451,MATCH(A1546,Customers!$A$2:$A$451,0)),"Unknown")</x:f>
        <x:v>Standard</x:v>
      </x:c>
    </x:row>
    <x:row r="1547">
      <x:c r="A1547" t="n">
        <x:v>283</x:v>
      </x:c>
      <x:c r="B1547" s="16" t="n">
        <x:v>46235</x:v>
      </x:c>
      <x:c r="C1547" t="n">
        <x:v>1</x:v>
      </x:c>
      <x:c r="D1547" t="n">
        <x:v>24</x:v>
      </x:c>
      <x:c r="E1547" s="18" t="n">
        <x:v>2853.53</x:v>
      </x:c>
      <x:c r="F1547" s="18" t="n">
        <x:v>0</x:v>
      </x:c>
      <x:c r="G1547" s="18" t="n">
        <x:v>12.84</x:v>
      </x:c>
      <x:c r="H1547" s="18" t="n">
        <x:v>10.47</x:v>
      </x:c>
      <x:c r="I1547" s="18" t="n">
        <x:v>23.31</x:v>
      </x:c>
      <x:c r="J1547" t="n">
        <x:f>IF(A1547=A1546,IFERROR(IF(B1547=EDATE(B1546,1),C1546,0),0),0)</x:f>
        <x:v>1</x:v>
      </x:c>
      <x:c r="K1547" t="n">
        <x:f>IF(AND(J1547=1,C1547=0),1,0)</x:f>
        <x:v>0</x:v>
      </x:c>
      <x:c r="L1547" t="str">
        <x:f>IFERROR(INDEX(Customers!$C$2:$C$451,MATCH(A1547,Customers!$A$2:$A$451,0)),"Unknown")</x:f>
        <x:v>Standard</x:v>
      </x:c>
    </x:row>
    <x:row r="1548">
      <x:c r="A1548" t="n">
        <x:v>283</x:v>
      </x:c>
      <x:c r="B1548" s="16" t="n">
        <x:v>46266</x:v>
      </x:c>
      <x:c r="C1548" t="n">
        <x:v>1</x:v>
      </x:c>
      <x:c r="D1548" t="n">
        <x:v>11</x:v>
      </x:c>
      <x:c r="E1548" s="18" t="n">
        <x:v>434.57</x:v>
      </x:c>
      <x:c r="F1548" s="18" t="n">
        <x:v>0</x:v>
      </x:c>
      <x:c r="G1548" s="18" t="n">
        <x:v>1.96</x:v>
      </x:c>
      <x:c r="H1548" s="18" t="n">
        <x:v>0.35</x:v>
      </x:c>
      <x:c r="I1548" s="18" t="n">
        <x:v>2.31</x:v>
      </x:c>
      <x:c r="J1548" t="n">
        <x:f>IF(A1548=A1547,IFERROR(IF(B1548=EDATE(B1547,1),C1547,0),0),0)</x:f>
        <x:v>1</x:v>
      </x:c>
      <x:c r="K1548" t="n">
        <x:f>IF(AND(J1548=1,C1548=0),1,0)</x:f>
        <x:v>0</x:v>
      </x:c>
      <x:c r="L1548" t="str">
        <x:f>IFERROR(INDEX(Customers!$C$2:$C$451,MATCH(A1548,Customers!$A$2:$A$451,0)),"Unknown")</x:f>
        <x:v>Standard</x:v>
      </x:c>
    </x:row>
    <x:row r="1549">
      <x:c r="A1549" t="n">
        <x:v>284</x:v>
      </x:c>
      <x:c r="B1549" s="16" t="n">
        <x:v>46113</x:v>
      </x:c>
      <x:c r="C1549" t="n">
        <x:v>0</x:v>
      </x:c>
      <x:c r="D1549" t="n">
        <x:v>0</x:v>
      </x:c>
      <x:c r="E1549" s="18" t="n">
        <x:v>0</x:v>
      </x:c>
      <x:c r="F1549" s="18" t="n">
        <x:v>0</x:v>
      </x:c>
      <x:c r="G1549" s="18" t="n">
        <x:v>0</x:v>
      </x:c>
      <x:c r="H1549" s="18" t="n">
        <x:v>0</x:v>
      </x:c>
      <x:c r="I1549" s="18" t="n">
        <x:v>0</x:v>
      </x:c>
      <x:c r="J1549" t="n">
        <x:f>IF(A1549=A1548,IFERROR(IF(B1549=EDATE(B1548,1),C1548,0),0),0)</x:f>
        <x:v>0</x:v>
      </x:c>
      <x:c r="K1549" t="n">
        <x:f>IF(AND(J1549=1,C1549=0),1,0)</x:f>
        <x:v>0</x:v>
      </x:c>
      <x:c r="L1549" t="str">
        <x:f>IFERROR(INDEX(Customers!$C$2:$C$451,MATCH(A1549,Customers!$A$2:$A$451,0)),"Unknown")</x:f>
        <x:v>Standard</x:v>
      </x:c>
    </x:row>
    <x:row r="1550">
      <x:c r="A1550" t="n">
        <x:v>284</x:v>
      </x:c>
      <x:c r="B1550" s="16" t="n">
        <x:v>46143</x:v>
      </x:c>
      <x:c r="C1550" t="n">
        <x:v>0</x:v>
      </x:c>
      <x:c r="D1550" t="n">
        <x:v>0</x:v>
      </x:c>
      <x:c r="E1550" s="18" t="n">
        <x:v>0</x:v>
      </x:c>
      <x:c r="F1550" s="18" t="n">
        <x:v>0</x:v>
      </x:c>
      <x:c r="G1550" s="18" t="n">
        <x:v>0</x:v>
      </x:c>
      <x:c r="H1550" s="18" t="n">
        <x:v>0</x:v>
      </x:c>
      <x:c r="I1550" s="18" t="n">
        <x:v>0</x:v>
      </x:c>
      <x:c r="J1550" t="n">
        <x:f>IF(A1550=A1549,IFERROR(IF(B1550=EDATE(B1549,1),C1549,0),0),0)</x:f>
        <x:v>0</x:v>
      </x:c>
      <x:c r="K1550" t="n">
        <x:f>IF(AND(J1550=1,C1550=0),1,0)</x:f>
        <x:v>0</x:v>
      </x:c>
      <x:c r="L1550" t="str">
        <x:f>IFERROR(INDEX(Customers!$C$2:$C$451,MATCH(A1550,Customers!$A$2:$A$451,0)),"Unknown")</x:f>
        <x:v>Standard</x:v>
      </x:c>
    </x:row>
    <x:row r="1551">
      <x:c r="A1551" t="n">
        <x:v>284</x:v>
      </x:c>
      <x:c r="B1551" s="16" t="n">
        <x:v>46174</x:v>
      </x:c>
      <x:c r="C1551" t="n">
        <x:v>1</x:v>
      </x:c>
      <x:c r="D1551" t="n">
        <x:v>9</x:v>
      </x:c>
      <x:c r="E1551" s="18" t="n">
        <x:v>960.17</x:v>
      </x:c>
      <x:c r="F1551" s="18" t="n">
        <x:v>0</x:v>
      </x:c>
      <x:c r="G1551" s="18" t="n">
        <x:v>4.32</x:v>
      </x:c>
      <x:c r="H1551" s="18" t="n">
        <x:v>2.13</x:v>
      </x:c>
      <x:c r="I1551" s="18" t="n">
        <x:v>6.45</x:v>
      </x:c>
      <x:c r="J1551" t="n">
        <x:f>IF(A1551=A1550,IFERROR(IF(B1551=EDATE(B1550,1),C1550,0),0),0)</x:f>
        <x:v>0</x:v>
      </x:c>
      <x:c r="K1551" t="n">
        <x:f>IF(AND(J1551=1,C1551=0),1,0)</x:f>
        <x:v>0</x:v>
      </x:c>
      <x:c r="L1551" t="str">
        <x:f>IFERROR(INDEX(Customers!$C$2:$C$451,MATCH(A1551,Customers!$A$2:$A$451,0)),"Unknown")</x:f>
        <x:v>Standard</x:v>
      </x:c>
    </x:row>
    <x:row r="1552">
      <x:c r="A1552" t="n">
        <x:v>284</x:v>
      </x:c>
      <x:c r="B1552" s="16" t="n">
        <x:v>46204</x:v>
      </x:c>
      <x:c r="C1552" t="n">
        <x:v>1</x:v>
      </x:c>
      <x:c r="D1552" t="n">
        <x:v>29</x:v>
      </x:c>
      <x:c r="E1552" s="18" t="n">
        <x:v>1854.53</x:v>
      </x:c>
      <x:c r="F1552" s="18" t="n">
        <x:v>0</x:v>
      </x:c>
      <x:c r="G1552" s="18" t="n">
        <x:v>8.35</x:v>
      </x:c>
      <x:c r="H1552" s="18" t="n">
        <x:v>4.39</x:v>
      </x:c>
      <x:c r="I1552" s="18" t="n">
        <x:v>12.74</x:v>
      </x:c>
      <x:c r="J1552" t="n">
        <x:f>IF(A1552=A1551,IFERROR(IF(B1552=EDATE(B1551,1),C1551,0),0),0)</x:f>
        <x:v>1</x:v>
      </x:c>
      <x:c r="K1552" t="n">
        <x:f>IF(AND(J1552=1,C1552=0),1,0)</x:f>
        <x:v>0</x:v>
      </x:c>
      <x:c r="L1552" t="str">
        <x:f>IFERROR(INDEX(Customers!$C$2:$C$451,MATCH(A1552,Customers!$A$2:$A$451,0)),"Unknown")</x:f>
        <x:v>Standard</x:v>
      </x:c>
    </x:row>
    <x:row r="1553">
      <x:c r="A1553" t="n">
        <x:v>284</x:v>
      </x:c>
      <x:c r="B1553" s="16" t="n">
        <x:v>46235</x:v>
      </x:c>
      <x:c r="C1553" t="n">
        <x:v>1</x:v>
      </x:c>
      <x:c r="D1553" t="n">
        <x:v>23</x:v>
      </x:c>
      <x:c r="E1553" s="18" t="n">
        <x:v>1388.95</x:v>
      </x:c>
      <x:c r="F1553" s="18" t="n">
        <x:v>0</x:v>
      </x:c>
      <x:c r="G1553" s="18" t="n">
        <x:v>6.25</x:v>
      </x:c>
      <x:c r="H1553" s="18" t="n">
        <x:v>2.05</x:v>
      </x:c>
      <x:c r="I1553" s="18" t="n">
        <x:v>8.3</x:v>
      </x:c>
      <x:c r="J1553" t="n">
        <x:f>IF(A1553=A1552,IFERROR(IF(B1553=EDATE(B1552,1),C1552,0),0),0)</x:f>
        <x:v>1</x:v>
      </x:c>
      <x:c r="K1553" t="n">
        <x:f>IF(AND(J1553=1,C1553=0),1,0)</x:f>
        <x:v>0</x:v>
      </x:c>
      <x:c r="L1553" t="str">
        <x:f>IFERROR(INDEX(Customers!$C$2:$C$451,MATCH(A1553,Customers!$A$2:$A$451,0)),"Unknown")</x:f>
        <x:v>Standard</x:v>
      </x:c>
    </x:row>
    <x:row r="1554">
      <x:c r="A1554" t="n">
        <x:v>284</x:v>
      </x:c>
      <x:c r="B1554" s="16" t="n">
        <x:v>46266</x:v>
      </x:c>
      <x:c r="C1554" t="n">
        <x:v>0</x:v>
      </x:c>
      <x:c r="D1554" t="n">
        <x:v>0</x:v>
      </x:c>
      <x:c r="E1554" s="18" t="n">
        <x:v>0</x:v>
      </x:c>
      <x:c r="F1554" s="18" t="n">
        <x:v>0</x:v>
      </x:c>
      <x:c r="G1554" s="18" t="n">
        <x:v>0</x:v>
      </x:c>
      <x:c r="H1554" s="18" t="n">
        <x:v>0</x:v>
      </x:c>
      <x:c r="I1554" s="18" t="n">
        <x:v>0</x:v>
      </x:c>
      <x:c r="J1554" t="n">
        <x:f>IF(A1554=A1553,IFERROR(IF(B1554=EDATE(B1553,1),C1553,0),0),0)</x:f>
        <x:v>1</x:v>
      </x:c>
      <x:c r="K1554" t="n">
        <x:f>IF(AND(J1554=1,C1554=0),1,0)</x:f>
        <x:v>1</x:v>
      </x:c>
      <x:c r="L1554" t="str">
        <x:f>IFERROR(INDEX(Customers!$C$2:$C$451,MATCH(A1554,Customers!$A$2:$A$451,0)),"Unknown")</x:f>
        <x:v>Standard</x:v>
      </x:c>
    </x:row>
    <x:row r="1555">
      <x:c r="A1555" t="n">
        <x:v>285</x:v>
      </x:c>
      <x:c r="B1555" s="16" t="n">
        <x:v>46113</x:v>
      </x:c>
      <x:c r="C1555" t="n">
        <x:v>1</x:v>
      </x:c>
      <x:c r="D1555" t="n">
        <x:v>7</x:v>
      </x:c>
      <x:c r="E1555" s="18" t="n">
        <x:v>366.67</x:v>
      </x:c>
      <x:c r="F1555" s="18" t="n">
        <x:v>34</x:v>
      </x:c>
      <x:c r="G1555" s="18" t="n">
        <x:v>1.65</x:v>
      </x:c>
      <x:c r="H1555" s="18" t="n">
        <x:v>0.49</x:v>
      </x:c>
      <x:c r="I1555" s="18" t="n">
        <x:v>36.14</x:v>
      </x:c>
      <x:c r="J1555" t="n">
        <x:f>IF(A1555=A1554,IFERROR(IF(B1555=EDATE(B1554,1),C1554,0),0),0)</x:f>
        <x:v>0</x:v>
      </x:c>
      <x:c r="K1555" t="n">
        <x:f>IF(AND(J1555=1,C1555=0),1,0)</x:f>
        <x:v>0</x:v>
      </x:c>
      <x:c r="L1555" t="str">
        <x:f>IFERROR(INDEX(Customers!$C$2:$C$451,MATCH(A1555,Customers!$A$2:$A$451,0)),"Unknown")</x:f>
        <x:v>Metal</x:v>
      </x:c>
    </x:row>
    <x:row r="1556">
      <x:c r="A1556" t="n">
        <x:v>285</x:v>
      </x:c>
      <x:c r="B1556" s="16" t="n">
        <x:v>46143</x:v>
      </x:c>
      <x:c r="C1556" t="n">
        <x:v>1</x:v>
      </x:c>
      <x:c r="D1556" t="n">
        <x:v>36</x:v>
      </x:c>
      <x:c r="E1556" s="18" t="n">
        <x:v>1774.31</x:v>
      </x:c>
      <x:c r="F1556" s="18" t="n">
        <x:v>34</x:v>
      </x:c>
      <x:c r="G1556" s="18" t="n">
        <x:v>7.98</x:v>
      </x:c>
      <x:c r="H1556" s="18" t="n">
        <x:v>3.84</x:v>
      </x:c>
      <x:c r="I1556" s="18" t="n">
        <x:v>45.82</x:v>
      </x:c>
      <x:c r="J1556" t="n">
        <x:f>IF(A1556=A1555,IFERROR(IF(B1556=EDATE(B1555,1),C1555,0),0),0)</x:f>
        <x:v>1</x:v>
      </x:c>
      <x:c r="K1556" t="n">
        <x:f>IF(AND(J1556=1,C1556=0),1,0)</x:f>
        <x:v>0</x:v>
      </x:c>
      <x:c r="L1556" t="str">
        <x:f>IFERROR(INDEX(Customers!$C$2:$C$451,MATCH(A1556,Customers!$A$2:$A$451,0)),"Unknown")</x:f>
        <x:v>Metal</x:v>
      </x:c>
    </x:row>
    <x:row r="1557">
      <x:c r="A1557" t="n">
        <x:v>285</x:v>
      </x:c>
      <x:c r="B1557" s="16" t="n">
        <x:v>46174</x:v>
      </x:c>
      <x:c r="C1557" t="n">
        <x:v>1</x:v>
      </x:c>
      <x:c r="D1557" t="n">
        <x:v>26</x:v>
      </x:c>
      <x:c r="E1557" s="18" t="n">
        <x:v>2091.21</x:v>
      </x:c>
      <x:c r="F1557" s="18" t="n">
        <x:v>34</x:v>
      </x:c>
      <x:c r="G1557" s="18" t="n">
        <x:v>9.41</x:v>
      </x:c>
      <x:c r="H1557" s="18" t="n">
        <x:v>2.62</x:v>
      </x:c>
      <x:c r="I1557" s="18" t="n">
        <x:v>46.03</x:v>
      </x:c>
      <x:c r="J1557" t="n">
        <x:f>IF(A1557=A1556,IFERROR(IF(B1557=EDATE(B1556,1),C1556,0),0),0)</x:f>
        <x:v>1</x:v>
      </x:c>
      <x:c r="K1557" t="n">
        <x:f>IF(AND(J1557=1,C1557=0),1,0)</x:f>
        <x:v>0</x:v>
      </x:c>
      <x:c r="L1557" t="str">
        <x:f>IFERROR(INDEX(Customers!$C$2:$C$451,MATCH(A1557,Customers!$A$2:$A$451,0)),"Unknown")</x:f>
        <x:v>Metal</x:v>
      </x:c>
    </x:row>
    <x:row r="1558">
      <x:c r="A1558" t="n">
        <x:v>285</x:v>
      </x:c>
      <x:c r="B1558" s="16" t="n">
        <x:v>46204</x:v>
      </x:c>
      <x:c r="C1558" t="n">
        <x:v>0</x:v>
      </x:c>
      <x:c r="D1558" t="n">
        <x:v>0</x:v>
      </x:c>
      <x:c r="E1558" s="18" t="n">
        <x:v>0</x:v>
      </x:c>
      <x:c r="F1558" s="18" t="n">
        <x:v>0</x:v>
      </x:c>
      <x:c r="G1558" s="18" t="n">
        <x:v>0</x:v>
      </x:c>
      <x:c r="H1558" s="18" t="n">
        <x:v>0</x:v>
      </x:c>
      <x:c r="I1558" s="18" t="n">
        <x:v>0</x:v>
      </x:c>
      <x:c r="J1558" t="n">
        <x:f>IF(A1558=A1557,IFERROR(IF(B1558=EDATE(B1557,1),C1557,0),0),0)</x:f>
        <x:v>1</x:v>
      </x:c>
      <x:c r="K1558" t="n">
        <x:f>IF(AND(J1558=1,C1558=0),1,0)</x:f>
        <x:v>1</x:v>
      </x:c>
      <x:c r="L1558" t="str">
        <x:f>IFERROR(INDEX(Customers!$C$2:$C$451,MATCH(A1558,Customers!$A$2:$A$451,0)),"Unknown")</x:f>
        <x:v>Metal</x:v>
      </x:c>
    </x:row>
    <x:row r="1559">
      <x:c r="A1559" t="n">
        <x:v>285</x:v>
      </x:c>
      <x:c r="B1559" s="16" t="n">
        <x:v>46235</x:v>
      </x:c>
      <x:c r="C1559" t="n">
        <x:v>0</x:v>
      </x:c>
      <x:c r="D1559" t="n">
        <x:v>0</x:v>
      </x:c>
      <x:c r="E1559" s="18" t="n">
        <x:v>0</x:v>
      </x:c>
      <x:c r="F1559" s="18" t="n">
        <x:v>0</x:v>
      </x:c>
      <x:c r="G1559" s="18" t="n">
        <x:v>0</x:v>
      </x:c>
      <x:c r="H1559" s="18" t="n">
        <x:v>0</x:v>
      </x:c>
      <x:c r="I1559" s="18" t="n">
        <x:v>0</x:v>
      </x:c>
      <x:c r="J1559" t="n">
        <x:f>IF(A1559=A1558,IFERROR(IF(B1559=EDATE(B1558,1),C1558,0),0),0)</x:f>
        <x:v>0</x:v>
      </x:c>
      <x:c r="K1559" t="n">
        <x:f>IF(AND(J1559=1,C1559=0),1,0)</x:f>
        <x:v>0</x:v>
      </x:c>
      <x:c r="L1559" t="str">
        <x:f>IFERROR(INDEX(Customers!$C$2:$C$451,MATCH(A1559,Customers!$A$2:$A$451,0)),"Unknown")</x:f>
        <x:v>Metal</x:v>
      </x:c>
    </x:row>
    <x:row r="1560">
      <x:c r="A1560" t="n">
        <x:v>285</x:v>
      </x:c>
      <x:c r="B1560" s="16" t="n">
        <x:v>46266</x:v>
      </x:c>
      <x:c r="C1560" t="n">
        <x:v>0</x:v>
      </x:c>
      <x:c r="D1560" t="n">
        <x:v>0</x:v>
      </x:c>
      <x:c r="E1560" s="18" t="n">
        <x:v>0</x:v>
      </x:c>
      <x:c r="F1560" s="18" t="n">
        <x:v>0</x:v>
      </x:c>
      <x:c r="G1560" s="18" t="n">
        <x:v>0</x:v>
      </x:c>
      <x:c r="H1560" s="18" t="n">
        <x:v>0</x:v>
      </x:c>
      <x:c r="I1560" s="18" t="n">
        <x:v>0</x:v>
      </x:c>
      <x:c r="J1560" t="n">
        <x:f>IF(A1560=A1559,IFERROR(IF(B1560=EDATE(B1559,1),C1559,0),0),0)</x:f>
        <x:v>0</x:v>
      </x:c>
      <x:c r="K1560" t="n">
        <x:f>IF(AND(J1560=1,C1560=0),1,0)</x:f>
        <x:v>0</x:v>
      </x:c>
      <x:c r="L1560" t="str">
        <x:f>IFERROR(INDEX(Customers!$C$2:$C$451,MATCH(A1560,Customers!$A$2:$A$451,0)),"Unknown")</x:f>
        <x:v>Metal</x:v>
      </x:c>
    </x:row>
    <x:row r="1561">
      <x:c r="A1561" t="n">
        <x:v>286</x:v>
      </x:c>
      <x:c r="B1561" s="16" t="n">
        <x:v>46113</x:v>
      </x:c>
      <x:c r="C1561" t="n">
        <x:v>1</x:v>
      </x:c>
      <x:c r="D1561" t="n">
        <x:v>9</x:v>
      </x:c>
      <x:c r="E1561" s="18" t="n">
        <x:v>1145.37</x:v>
      </x:c>
      <x:c r="F1561" s="18" t="n">
        <x:v>17</x:v>
      </x:c>
      <x:c r="G1561" s="18" t="n">
        <x:v>5.15</x:v>
      </x:c>
      <x:c r="H1561" s="18" t="n">
        <x:v>4.16</x:v>
      </x:c>
      <x:c r="I1561" s="18" t="n">
        <x:v>26.31</x:v>
      </x:c>
      <x:c r="J1561" t="n">
        <x:f>IF(A1561=A1560,IFERROR(IF(B1561=EDATE(B1560,1),C1560,0),0),0)</x:f>
        <x:v>0</x:v>
      </x:c>
      <x:c r="K1561" t="n">
        <x:f>IF(AND(J1561=1,C1561=0),1,0)</x:f>
        <x:v>0</x:v>
      </x:c>
      <x:c r="L1561" t="str">
        <x:f>IFERROR(INDEX(Customers!$C$2:$C$451,MATCH(A1561,Customers!$A$2:$A$451,0)),"Unknown")</x:f>
        <x:v>Premium</x:v>
      </x:c>
    </x:row>
    <x:row r="1562">
      <x:c r="A1562" t="n">
        <x:v>286</x:v>
      </x:c>
      <x:c r="B1562" s="16" t="n">
        <x:v>46143</x:v>
      </x:c>
      <x:c r="C1562" t="n">
        <x:v>1</x:v>
      </x:c>
      <x:c r="D1562" t="n">
        <x:v>7</x:v>
      </x:c>
      <x:c r="E1562" s="18" t="n">
        <x:v>951.87</x:v>
      </x:c>
      <x:c r="F1562" s="18" t="n">
        <x:v>17</x:v>
      </x:c>
      <x:c r="G1562" s="18" t="n">
        <x:v>4.28</x:v>
      </x:c>
      <x:c r="H1562" s="18" t="n">
        <x:v>2.48</x:v>
      </x:c>
      <x:c r="I1562" s="18" t="n">
        <x:v>23.76</x:v>
      </x:c>
      <x:c r="J1562" t="n">
        <x:f>IF(A1562=A1561,IFERROR(IF(B1562=EDATE(B1561,1),C1561,0),0),0)</x:f>
        <x:v>1</x:v>
      </x:c>
      <x:c r="K1562" t="n">
        <x:f>IF(AND(J1562=1,C1562=0),1,0)</x:f>
        <x:v>0</x:v>
      </x:c>
      <x:c r="L1562" t="str">
        <x:f>IFERROR(INDEX(Customers!$C$2:$C$451,MATCH(A1562,Customers!$A$2:$A$451,0)),"Unknown")</x:f>
        <x:v>Premium</x:v>
      </x:c>
    </x:row>
    <x:row r="1563">
      <x:c r="A1563" t="n">
        <x:v>286</x:v>
      </x:c>
      <x:c r="B1563" s="16" t="n">
        <x:v>46174</x:v>
      </x:c>
      <x:c r="C1563" t="n">
        <x:v>1</x:v>
      </x:c>
      <x:c r="D1563" t="n">
        <x:v>19</x:v>
      </x:c>
      <x:c r="E1563" s="18" t="n">
        <x:v>1612</x:v>
      </x:c>
      <x:c r="F1563" s="18" t="n">
        <x:v>17</x:v>
      </x:c>
      <x:c r="G1563" s="18" t="n">
        <x:v>7.25</x:v>
      </x:c>
      <x:c r="H1563" s="18" t="n">
        <x:v>4.83</x:v>
      </x:c>
      <x:c r="I1563" s="18" t="n">
        <x:v>29.08</x:v>
      </x:c>
      <x:c r="J1563" t="n">
        <x:f>IF(A1563=A1562,IFERROR(IF(B1563=EDATE(B1562,1),C1562,0),0),0)</x:f>
        <x:v>1</x:v>
      </x:c>
      <x:c r="K1563" t="n">
        <x:f>IF(AND(J1563=1,C1563=0),1,0)</x:f>
        <x:v>0</x:v>
      </x:c>
      <x:c r="L1563" t="str">
        <x:f>IFERROR(INDEX(Customers!$C$2:$C$451,MATCH(A1563,Customers!$A$2:$A$451,0)),"Unknown")</x:f>
        <x:v>Premium</x:v>
      </x:c>
    </x:row>
    <x:row r="1564">
      <x:c r="A1564" t="n">
        <x:v>286</x:v>
      </x:c>
      <x:c r="B1564" s="16" t="n">
        <x:v>46204</x:v>
      </x:c>
      <x:c r="C1564" t="n">
        <x:v>1</x:v>
      </x:c>
      <x:c r="D1564" t="n">
        <x:v>33</x:v>
      </x:c>
      <x:c r="E1564" s="18" t="n">
        <x:v>3592.77</x:v>
      </x:c>
      <x:c r="F1564" s="18" t="n">
        <x:v>17</x:v>
      </x:c>
      <x:c r="G1564" s="18" t="n">
        <x:v>16.17</x:v>
      </x:c>
      <x:c r="H1564" s="18" t="n">
        <x:v>13.42</x:v>
      </x:c>
      <x:c r="I1564" s="18" t="n">
        <x:v>46.59</x:v>
      </x:c>
      <x:c r="J1564" t="n">
        <x:f>IF(A1564=A1563,IFERROR(IF(B1564=EDATE(B1563,1),C1563,0),0),0)</x:f>
        <x:v>1</x:v>
      </x:c>
      <x:c r="K1564" t="n">
        <x:f>IF(AND(J1564=1,C1564=0),1,0)</x:f>
        <x:v>0</x:v>
      </x:c>
      <x:c r="L1564" t="str">
        <x:f>IFERROR(INDEX(Customers!$C$2:$C$451,MATCH(A1564,Customers!$A$2:$A$451,0)),"Unknown")</x:f>
        <x:v>Premium</x:v>
      </x:c>
    </x:row>
    <x:row r="1565">
      <x:c r="A1565" t="n">
        <x:v>286</x:v>
      </x:c>
      <x:c r="B1565" s="16" t="n">
        <x:v>46235</x:v>
      </x:c>
      <x:c r="C1565" t="n">
        <x:v>0</x:v>
      </x:c>
      <x:c r="D1565" t="n">
        <x:v>0</x:v>
      </x:c>
      <x:c r="E1565" s="18" t="n">
        <x:v>0</x:v>
      </x:c>
      <x:c r="F1565" s="18" t="n">
        <x:v>0</x:v>
      </x:c>
      <x:c r="G1565" s="18" t="n">
        <x:v>0</x:v>
      </x:c>
      <x:c r="H1565" s="18" t="n">
        <x:v>0</x:v>
      </x:c>
      <x:c r="I1565" s="18" t="n">
        <x:v>0</x:v>
      </x:c>
      <x:c r="J1565" t="n">
        <x:f>IF(A1565=A1564,IFERROR(IF(B1565=EDATE(B1564,1),C1564,0),0),0)</x:f>
        <x:v>1</x:v>
      </x:c>
      <x:c r="K1565" t="n">
        <x:f>IF(AND(J1565=1,C1565=0),1,0)</x:f>
        <x:v>1</x:v>
      </x:c>
      <x:c r="L1565" t="str">
        <x:f>IFERROR(INDEX(Customers!$C$2:$C$451,MATCH(A1565,Customers!$A$2:$A$451,0)),"Unknown")</x:f>
        <x:v>Premium</x:v>
      </x:c>
    </x:row>
    <x:row r="1566">
      <x:c r="A1566" t="n">
        <x:v>286</x:v>
      </x:c>
      <x:c r="B1566" s="16" t="n">
        <x:v>46266</x:v>
      </x:c>
      <x:c r="C1566" t="n">
        <x:v>1</x:v>
      </x:c>
      <x:c r="D1566" t="n">
        <x:v>7</x:v>
      </x:c>
      <x:c r="E1566" s="18" t="n">
        <x:v>460.63</x:v>
      </x:c>
      <x:c r="F1566" s="18" t="n">
        <x:v>17</x:v>
      </x:c>
      <x:c r="G1566" s="18" t="n">
        <x:v>2.07</x:v>
      </x:c>
      <x:c r="H1566" s="18" t="n">
        <x:v>1.14</x:v>
      </x:c>
      <x:c r="I1566" s="18" t="n">
        <x:v>20.21</x:v>
      </x:c>
      <x:c r="J1566" t="n">
        <x:f>IF(A1566=A1565,IFERROR(IF(B1566=EDATE(B1565,1),C1565,0),0),0)</x:f>
        <x:v>0</x:v>
      </x:c>
      <x:c r="K1566" t="n">
        <x:f>IF(AND(J1566=1,C1566=0),1,0)</x:f>
        <x:v>0</x:v>
      </x:c>
      <x:c r="L1566" t="str">
        <x:f>IFERROR(INDEX(Customers!$C$2:$C$451,MATCH(A1566,Customers!$A$2:$A$451,0)),"Unknown")</x:f>
        <x:v>Premium</x:v>
      </x:c>
    </x:row>
    <x:row r="1567">
      <x:c r="A1567" t="n">
        <x:v>287</x:v>
      </x:c>
      <x:c r="B1567" s="16" t="n">
        <x:v>46113</x:v>
      </x:c>
      <x:c r="C1567" t="n">
        <x:v>1</x:v>
      </x:c>
      <x:c r="D1567" t="n">
        <x:v>31</x:v>
      </x:c>
      <x:c r="E1567" s="18" t="n">
        <x:v>3475.21</x:v>
      </x:c>
      <x:c r="F1567" s="18" t="n">
        <x:v>0</x:v>
      </x:c>
      <x:c r="G1567" s="18" t="n">
        <x:v>15.64</x:v>
      </x:c>
      <x:c r="H1567" s="18" t="n">
        <x:v>7.97</x:v>
      </x:c>
      <x:c r="I1567" s="18" t="n">
        <x:v>23.61</x:v>
      </x:c>
      <x:c r="J1567" t="n">
        <x:f>IF(A1567=A1566,IFERROR(IF(B1567=EDATE(B1566,1),C1566,0),0),0)</x:f>
        <x:v>0</x:v>
      </x:c>
      <x:c r="K1567" t="n">
        <x:f>IF(AND(J1567=1,C1567=0),1,0)</x:f>
        <x:v>0</x:v>
      </x:c>
      <x:c r="L1567" t="str">
        <x:f>IFERROR(INDEX(Customers!$C$2:$C$451,MATCH(A1567,Customers!$A$2:$A$451,0)),"Unknown")</x:f>
        <x:v>Standard</x:v>
      </x:c>
    </x:row>
    <x:row r="1568">
      <x:c r="A1568" t="n">
        <x:v>287</x:v>
      </x:c>
      <x:c r="B1568" s="16" t="n">
        <x:v>46143</x:v>
      </x:c>
      <x:c r="C1568" t="n">
        <x:v>1</x:v>
      </x:c>
      <x:c r="D1568" t="n">
        <x:v>30</x:v>
      </x:c>
      <x:c r="E1568" s="18" t="n">
        <x:v>2766.62</x:v>
      </x:c>
      <x:c r="F1568" s="18" t="n">
        <x:v>0</x:v>
      </x:c>
      <x:c r="G1568" s="18" t="n">
        <x:v>12.45</x:v>
      </x:c>
      <x:c r="H1568" s="18" t="n">
        <x:v>2.61</x:v>
      </x:c>
      <x:c r="I1568" s="18" t="n">
        <x:v>15.06</x:v>
      </x:c>
      <x:c r="J1568" t="n">
        <x:f>IF(A1568=A1567,IFERROR(IF(B1568=EDATE(B1567,1),C1567,0),0),0)</x:f>
        <x:v>1</x:v>
      </x:c>
      <x:c r="K1568" t="n">
        <x:f>IF(AND(J1568=1,C1568=0),1,0)</x:f>
        <x:v>0</x:v>
      </x:c>
      <x:c r="L1568" t="str">
        <x:f>IFERROR(INDEX(Customers!$C$2:$C$451,MATCH(A1568,Customers!$A$2:$A$451,0)),"Unknown")</x:f>
        <x:v>Standard</x:v>
      </x:c>
    </x:row>
    <x:row r="1569">
      <x:c r="A1569" t="n">
        <x:v>287</x:v>
      </x:c>
      <x:c r="B1569" s="16" t="n">
        <x:v>46174</x:v>
      </x:c>
      <x:c r="C1569" t="n">
        <x:v>0</x:v>
      </x:c>
      <x:c r="D1569" t="n">
        <x:v>0</x:v>
      </x:c>
      <x:c r="E1569" s="18" t="n">
        <x:v>0</x:v>
      </x:c>
      <x:c r="F1569" s="18" t="n">
        <x:v>0</x:v>
      </x:c>
      <x:c r="G1569" s="18" t="n">
        <x:v>0</x:v>
      </x:c>
      <x:c r="H1569" s="18" t="n">
        <x:v>0</x:v>
      </x:c>
      <x:c r="I1569" s="18" t="n">
        <x:v>0</x:v>
      </x:c>
      <x:c r="J1569" t="n">
        <x:f>IF(A1569=A1568,IFERROR(IF(B1569=EDATE(B1568,1),C1568,0),0),0)</x:f>
        <x:v>1</x:v>
      </x:c>
      <x:c r="K1569" t="n">
        <x:f>IF(AND(J1569=1,C1569=0),1,0)</x:f>
        <x:v>1</x:v>
      </x:c>
      <x:c r="L1569" t="str">
        <x:f>IFERROR(INDEX(Customers!$C$2:$C$451,MATCH(A1569,Customers!$A$2:$A$451,0)),"Unknown")</x:f>
        <x:v>Standard</x:v>
      </x:c>
    </x:row>
    <x:row r="1570">
      <x:c r="A1570" t="n">
        <x:v>287</x:v>
      </x:c>
      <x:c r="B1570" s="16" t="n">
        <x:v>46204</x:v>
      </x:c>
      <x:c r="C1570" t="n">
        <x:v>1</x:v>
      </x:c>
      <x:c r="D1570" t="n">
        <x:v>18</x:v>
      </x:c>
      <x:c r="E1570" s="18" t="n">
        <x:v>940.01</x:v>
      </x:c>
      <x:c r="F1570" s="18" t="n">
        <x:v>0</x:v>
      </x:c>
      <x:c r="G1570" s="18" t="n">
        <x:v>4.23</x:v>
      </x:c>
      <x:c r="H1570" s="18" t="n">
        <x:v>2.19</x:v>
      </x:c>
      <x:c r="I1570" s="18" t="n">
        <x:v>6.42</x:v>
      </x:c>
      <x:c r="J1570" t="n">
        <x:f>IF(A1570=A1569,IFERROR(IF(B1570=EDATE(B1569,1),C1569,0),0),0)</x:f>
        <x:v>0</x:v>
      </x:c>
      <x:c r="K1570" t="n">
        <x:f>IF(AND(J1570=1,C1570=0),1,0)</x:f>
        <x:v>0</x:v>
      </x:c>
      <x:c r="L1570" t="str">
        <x:f>IFERROR(INDEX(Customers!$C$2:$C$451,MATCH(A1570,Customers!$A$2:$A$451,0)),"Unknown")</x:f>
        <x:v>Standard</x:v>
      </x:c>
    </x:row>
    <x:row r="1571">
      <x:c r="A1571" t="n">
        <x:v>287</x:v>
      </x:c>
      <x:c r="B1571" s="16" t="n">
        <x:v>46235</x:v>
      </x:c>
      <x:c r="C1571" t="n">
        <x:v>1</x:v>
      </x:c>
      <x:c r="D1571" t="n">
        <x:v>26</x:v>
      </x:c>
      <x:c r="E1571" s="18" t="n">
        <x:v>1643.18</x:v>
      </x:c>
      <x:c r="F1571" s="18" t="n">
        <x:v>0</x:v>
      </x:c>
      <x:c r="G1571" s="18" t="n">
        <x:v>7.39</x:v>
      </x:c>
      <x:c r="H1571" s="18" t="n">
        <x:v>3.92</x:v>
      </x:c>
      <x:c r="I1571" s="18" t="n">
        <x:v>11.31</x:v>
      </x:c>
      <x:c r="J1571" t="n">
        <x:f>IF(A1571=A1570,IFERROR(IF(B1571=EDATE(B1570,1),C1570,0),0),0)</x:f>
        <x:v>1</x:v>
      </x:c>
      <x:c r="K1571" t="n">
        <x:f>IF(AND(J1571=1,C1571=0),1,0)</x:f>
        <x:v>0</x:v>
      </x:c>
      <x:c r="L1571" t="str">
        <x:f>IFERROR(INDEX(Customers!$C$2:$C$451,MATCH(A1571,Customers!$A$2:$A$451,0)),"Unknown")</x:f>
        <x:v>Standard</x:v>
      </x:c>
    </x:row>
    <x:row r="1572">
      <x:c r="A1572" t="n">
        <x:v>287</x:v>
      </x:c>
      <x:c r="B1572" s="16" t="n">
        <x:v>46266</x:v>
      </x:c>
      <x:c r="C1572" t="n">
        <x:v>1</x:v>
      </x:c>
      <x:c r="D1572" t="n">
        <x:v>14</x:v>
      </x:c>
      <x:c r="E1572" s="18" t="n">
        <x:v>1145.86</x:v>
      </x:c>
      <x:c r="F1572" s="18" t="n">
        <x:v>0</x:v>
      </x:c>
      <x:c r="G1572" s="18" t="n">
        <x:v>5.16</x:v>
      </x:c>
      <x:c r="H1572" s="18" t="n">
        <x:v>2.46</x:v>
      </x:c>
      <x:c r="I1572" s="18" t="n">
        <x:v>7.62</x:v>
      </x:c>
      <x:c r="J1572" t="n">
        <x:f>IF(A1572=A1571,IFERROR(IF(B1572=EDATE(B1571,1),C1571,0),0),0)</x:f>
        <x:v>1</x:v>
      </x:c>
      <x:c r="K1572" t="n">
        <x:f>IF(AND(J1572=1,C1572=0),1,0)</x:f>
        <x:v>0</x:v>
      </x:c>
      <x:c r="L1572" t="str">
        <x:f>IFERROR(INDEX(Customers!$C$2:$C$451,MATCH(A1572,Customers!$A$2:$A$451,0)),"Unknown")</x:f>
        <x:v>Standard</x:v>
      </x:c>
    </x:row>
    <x:row r="1573">
      <x:c r="A1573" t="n">
        <x:v>288</x:v>
      </x:c>
      <x:c r="B1573" s="16" t="n">
        <x:v>46113</x:v>
      </x:c>
      <x:c r="C1573" t="n">
        <x:v>1</x:v>
      </x:c>
      <x:c r="D1573" t="n">
        <x:v>19</x:v>
      </x:c>
      <x:c r="E1573" s="18" t="n">
        <x:v>739.36</x:v>
      </x:c>
      <x:c r="F1573" s="18" t="n">
        <x:v>17</x:v>
      </x:c>
      <x:c r="G1573" s="18" t="n">
        <x:v>3.33</x:v>
      </x:c>
      <x:c r="H1573" s="18" t="n">
        <x:v>1.96</x:v>
      </x:c>
      <x:c r="I1573" s="18" t="n">
        <x:v>22.29</x:v>
      </x:c>
      <x:c r="J1573" t="n">
        <x:f>IF(A1573=A1572,IFERROR(IF(B1573=EDATE(B1572,1),C1572,0),0),0)</x:f>
        <x:v>0</x:v>
      </x:c>
      <x:c r="K1573" t="n">
        <x:f>IF(AND(J1573=1,C1573=0),1,0)</x:f>
        <x:v>0</x:v>
      </x:c>
      <x:c r="L1573" t="str">
        <x:f>IFERROR(INDEX(Customers!$C$2:$C$451,MATCH(A1573,Customers!$A$2:$A$451,0)),"Unknown")</x:f>
        <x:v>Premium</x:v>
      </x:c>
    </x:row>
    <x:row r="1574">
      <x:c r="A1574" t="n">
        <x:v>288</x:v>
      </x:c>
      <x:c r="B1574" s="16" t="n">
        <x:v>46143</x:v>
      </x:c>
      <x:c r="C1574" t="n">
        <x:v>1</x:v>
      </x:c>
      <x:c r="D1574" t="n">
        <x:v>22</x:v>
      </x:c>
      <x:c r="E1574" s="18" t="n">
        <x:v>1958.7</x:v>
      </x:c>
      <x:c r="F1574" s="18" t="n">
        <x:v>17</x:v>
      </x:c>
      <x:c r="G1574" s="18" t="n">
        <x:v>8.81</x:v>
      </x:c>
      <x:c r="H1574" s="18" t="n">
        <x:v>6.62</x:v>
      </x:c>
      <x:c r="I1574" s="18" t="n">
        <x:v>32.43</x:v>
      </x:c>
      <x:c r="J1574" t="n">
        <x:f>IF(A1574=A1573,IFERROR(IF(B1574=EDATE(B1573,1),C1573,0),0),0)</x:f>
        <x:v>1</x:v>
      </x:c>
      <x:c r="K1574" t="n">
        <x:f>IF(AND(J1574=1,C1574=0),1,0)</x:f>
        <x:v>0</x:v>
      </x:c>
      <x:c r="L1574" t="str">
        <x:f>IFERROR(INDEX(Customers!$C$2:$C$451,MATCH(A1574,Customers!$A$2:$A$451,0)),"Unknown")</x:f>
        <x:v>Premium</x:v>
      </x:c>
    </x:row>
    <x:row r="1575">
      <x:c r="A1575" t="n">
        <x:v>288</x:v>
      </x:c>
      <x:c r="B1575" s="16" t="n">
        <x:v>46174</x:v>
      </x:c>
      <x:c r="C1575" t="n">
        <x:v>1</x:v>
      </x:c>
      <x:c r="D1575" t="n">
        <x:v>29</x:v>
      </x:c>
      <x:c r="E1575" s="18" t="n">
        <x:v>2514.36</x:v>
      </x:c>
      <x:c r="F1575" s="18" t="n">
        <x:v>17</x:v>
      </x:c>
      <x:c r="G1575" s="18" t="n">
        <x:v>11.31</x:v>
      </x:c>
      <x:c r="H1575" s="18" t="n">
        <x:v>8.41</x:v>
      </x:c>
      <x:c r="I1575" s="18" t="n">
        <x:v>36.72</x:v>
      </x:c>
      <x:c r="J1575" t="n">
        <x:f>IF(A1575=A1574,IFERROR(IF(B1575=EDATE(B1574,1),C1574,0),0),0)</x:f>
        <x:v>1</x:v>
      </x:c>
      <x:c r="K1575" t="n">
        <x:f>IF(AND(J1575=1,C1575=0),1,0)</x:f>
        <x:v>0</x:v>
      </x:c>
      <x:c r="L1575" t="str">
        <x:f>IFERROR(INDEX(Customers!$C$2:$C$451,MATCH(A1575,Customers!$A$2:$A$451,0)),"Unknown")</x:f>
        <x:v>Premium</x:v>
      </x:c>
    </x:row>
    <x:row r="1576">
      <x:c r="A1576" t="n">
        <x:v>288</x:v>
      </x:c>
      <x:c r="B1576" s="16" t="n">
        <x:v>46204</x:v>
      </x:c>
      <x:c r="C1576" t="n">
        <x:v>1</x:v>
      </x:c>
      <x:c r="D1576" t="n">
        <x:v>11</x:v>
      </x:c>
      <x:c r="E1576" s="18" t="n">
        <x:v>1329.02</x:v>
      </x:c>
      <x:c r="F1576" s="18" t="n">
        <x:v>17</x:v>
      </x:c>
      <x:c r="G1576" s="18" t="n">
        <x:v>5.98</x:v>
      </x:c>
      <x:c r="H1576" s="18" t="n">
        <x:v>3.64</x:v>
      </x:c>
      <x:c r="I1576" s="18" t="n">
        <x:v>26.62</x:v>
      </x:c>
      <x:c r="J1576" t="n">
        <x:f>IF(A1576=A1575,IFERROR(IF(B1576=EDATE(B1575,1),C1575,0),0),0)</x:f>
        <x:v>1</x:v>
      </x:c>
      <x:c r="K1576" t="n">
        <x:f>IF(AND(J1576=1,C1576=0),1,0)</x:f>
        <x:v>0</x:v>
      </x:c>
      <x:c r="L1576" t="str">
        <x:f>IFERROR(INDEX(Customers!$C$2:$C$451,MATCH(A1576,Customers!$A$2:$A$451,0)),"Unknown")</x:f>
        <x:v>Premium</x:v>
      </x:c>
    </x:row>
    <x:row r="1577">
      <x:c r="A1577" t="n">
        <x:v>288</x:v>
      </x:c>
      <x:c r="B1577" s="16" t="n">
        <x:v>46235</x:v>
      </x:c>
      <x:c r="C1577" t="n">
        <x:v>1</x:v>
      </x:c>
      <x:c r="D1577" t="n">
        <x:v>4</x:v>
      </x:c>
      <x:c r="E1577" s="18" t="n">
        <x:v>186.84</x:v>
      </x:c>
      <x:c r="F1577" s="18" t="n">
        <x:v>17</x:v>
      </x:c>
      <x:c r="G1577" s="18" t="n">
        <x:v>0.84</x:v>
      </x:c>
      <x:c r="H1577" s="18" t="n">
        <x:v>0.46</x:v>
      </x:c>
      <x:c r="I1577" s="18" t="n">
        <x:v>18.3</x:v>
      </x:c>
      <x:c r="J1577" t="n">
        <x:f>IF(A1577=A1576,IFERROR(IF(B1577=EDATE(B1576,1),C1576,0),0),0)</x:f>
        <x:v>1</x:v>
      </x:c>
      <x:c r="K1577" t="n">
        <x:f>IF(AND(J1577=1,C1577=0),1,0)</x:f>
        <x:v>0</x:v>
      </x:c>
      <x:c r="L1577" t="str">
        <x:f>IFERROR(INDEX(Customers!$C$2:$C$451,MATCH(A1577,Customers!$A$2:$A$451,0)),"Unknown")</x:f>
        <x:v>Premium</x:v>
      </x:c>
    </x:row>
    <x:row r="1578">
      <x:c r="A1578" t="n">
        <x:v>288</x:v>
      </x:c>
      <x:c r="B1578" s="16" t="n">
        <x:v>46266</x:v>
      </x:c>
      <x:c r="C1578" t="n">
        <x:v>1</x:v>
      </x:c>
      <x:c r="D1578" t="n">
        <x:v>18</x:v>
      </x:c>
      <x:c r="E1578" s="18" t="n">
        <x:v>880.46</x:v>
      </x:c>
      <x:c r="F1578" s="18" t="n">
        <x:v>17</x:v>
      </x:c>
      <x:c r="G1578" s="18" t="n">
        <x:v>3.96</x:v>
      </x:c>
      <x:c r="H1578" s="18" t="n">
        <x:v>2.96</x:v>
      </x:c>
      <x:c r="I1578" s="18" t="n">
        <x:v>23.92</x:v>
      </x:c>
      <x:c r="J1578" t="n">
        <x:f>IF(A1578=A1577,IFERROR(IF(B1578=EDATE(B1577,1),C1577,0),0),0)</x:f>
        <x:v>1</x:v>
      </x:c>
      <x:c r="K1578" t="n">
        <x:f>IF(AND(J1578=1,C1578=0),1,0)</x:f>
        <x:v>0</x:v>
      </x:c>
      <x:c r="L1578" t="str">
        <x:f>IFERROR(INDEX(Customers!$C$2:$C$451,MATCH(A1578,Customers!$A$2:$A$451,0)),"Unknown")</x:f>
        <x:v>Premium</x:v>
      </x:c>
    </x:row>
    <x:row r="1579">
      <x:c r="A1579" t="n">
        <x:v>289</x:v>
      </x:c>
      <x:c r="B1579" s="16" t="n">
        <x:v>46113</x:v>
      </x:c>
      <x:c r="C1579" t="n">
        <x:v>1</x:v>
      </x:c>
      <x:c r="D1579" t="n">
        <x:v>20</x:v>
      </x:c>
      <x:c r="E1579" s="18" t="n">
        <x:v>1107.96</x:v>
      </x:c>
      <x:c r="F1579" s="18" t="n">
        <x:v>34</x:v>
      </x:c>
      <x:c r="G1579" s="18" t="n">
        <x:v>4.99</x:v>
      </x:c>
      <x:c r="H1579" s="18" t="n">
        <x:v>3.15</x:v>
      </x:c>
      <x:c r="I1579" s="18" t="n">
        <x:v>42.14</x:v>
      </x:c>
      <x:c r="J1579" t="n">
        <x:f>IF(A1579=A1578,IFERROR(IF(B1579=EDATE(B1578,1),C1578,0),0),0)</x:f>
        <x:v>0</x:v>
      </x:c>
      <x:c r="K1579" t="n">
        <x:f>IF(AND(J1579=1,C1579=0),1,0)</x:f>
        <x:v>0</x:v>
      </x:c>
      <x:c r="L1579" t="str">
        <x:f>IFERROR(INDEX(Customers!$C$2:$C$451,MATCH(A1579,Customers!$A$2:$A$451,0)),"Unknown")</x:f>
        <x:v>Metal</x:v>
      </x:c>
    </x:row>
    <x:row r="1580">
      <x:c r="A1580" t="n">
        <x:v>289</x:v>
      </x:c>
      <x:c r="B1580" s="16" t="n">
        <x:v>46143</x:v>
      </x:c>
      <x:c r="C1580" t="n">
        <x:v>0</x:v>
      </x:c>
      <x:c r="D1580" t="n">
        <x:v>0</x:v>
      </x:c>
      <x:c r="E1580" s="18" t="n">
        <x:v>0</x:v>
      </x:c>
      <x:c r="F1580" s="18" t="n">
        <x:v>0</x:v>
      </x:c>
      <x:c r="G1580" s="18" t="n">
        <x:v>0</x:v>
      </x:c>
      <x:c r="H1580" s="18" t="n">
        <x:v>0</x:v>
      </x:c>
      <x:c r="I1580" s="18" t="n">
        <x:v>0</x:v>
      </x:c>
      <x:c r="J1580" t="n">
        <x:f>IF(A1580=A1579,IFERROR(IF(B1580=EDATE(B1579,1),C1579,0),0),0)</x:f>
        <x:v>1</x:v>
      </x:c>
      <x:c r="K1580" t="n">
        <x:f>IF(AND(J1580=1,C1580=0),1,0)</x:f>
        <x:v>1</x:v>
      </x:c>
      <x:c r="L1580" t="str">
        <x:f>IFERROR(INDEX(Customers!$C$2:$C$451,MATCH(A1580,Customers!$A$2:$A$451,0)),"Unknown")</x:f>
        <x:v>Metal</x:v>
      </x:c>
    </x:row>
    <x:row r="1581">
      <x:c r="A1581" t="n">
        <x:v>289</x:v>
      </x:c>
      <x:c r="B1581" s="16" t="n">
        <x:v>46174</x:v>
      </x:c>
      <x:c r="C1581" t="n">
        <x:v>1</x:v>
      </x:c>
      <x:c r="D1581" t="n">
        <x:v>23</x:v>
      </x:c>
      <x:c r="E1581" s="18" t="n">
        <x:v>2641.94</x:v>
      </x:c>
      <x:c r="F1581" s="18" t="n">
        <x:v>34</x:v>
      </x:c>
      <x:c r="G1581" s="18" t="n">
        <x:v>11.89</x:v>
      </x:c>
      <x:c r="H1581" s="18" t="n">
        <x:v>6.16</x:v>
      </x:c>
      <x:c r="I1581" s="18" t="n">
        <x:v>52.05</x:v>
      </x:c>
      <x:c r="J1581" t="n">
        <x:f>IF(A1581=A1580,IFERROR(IF(B1581=EDATE(B1580,1),C1580,0),0),0)</x:f>
        <x:v>0</x:v>
      </x:c>
      <x:c r="K1581" t="n">
        <x:f>IF(AND(J1581=1,C1581=0),1,0)</x:f>
        <x:v>0</x:v>
      </x:c>
      <x:c r="L1581" t="str">
        <x:f>IFERROR(INDEX(Customers!$C$2:$C$451,MATCH(A1581,Customers!$A$2:$A$451,0)),"Unknown")</x:f>
        <x:v>Metal</x:v>
      </x:c>
    </x:row>
    <x:row r="1582">
      <x:c r="A1582" t="n">
        <x:v>289</x:v>
      </x:c>
      <x:c r="B1582" s="16" t="n">
        <x:v>46204</x:v>
      </x:c>
      <x:c r="C1582" t="n">
        <x:v>1</x:v>
      </x:c>
      <x:c r="D1582" t="n">
        <x:v>21</x:v>
      </x:c>
      <x:c r="E1582" s="18" t="n">
        <x:v>2666.3</x:v>
      </x:c>
      <x:c r="F1582" s="18" t="n">
        <x:v>34</x:v>
      </x:c>
      <x:c r="G1582" s="18" t="n">
        <x:v>12</x:v>
      </x:c>
      <x:c r="H1582" s="18" t="n">
        <x:v>9.98</x:v>
      </x:c>
      <x:c r="I1582" s="18" t="n">
        <x:v>55.98</x:v>
      </x:c>
      <x:c r="J1582" t="n">
        <x:f>IF(A1582=A1581,IFERROR(IF(B1582=EDATE(B1581,1),C1581,0),0),0)</x:f>
        <x:v>1</x:v>
      </x:c>
      <x:c r="K1582" t="n">
        <x:f>IF(AND(J1582=1,C1582=0),1,0)</x:f>
        <x:v>0</x:v>
      </x:c>
      <x:c r="L1582" t="str">
        <x:f>IFERROR(INDEX(Customers!$C$2:$C$451,MATCH(A1582,Customers!$A$2:$A$451,0)),"Unknown")</x:f>
        <x:v>Metal</x:v>
      </x:c>
    </x:row>
    <x:row r="1583">
      <x:c r="A1583" t="n">
        <x:v>289</x:v>
      </x:c>
      <x:c r="B1583" s="16" t="n">
        <x:v>46235</x:v>
      </x:c>
      <x:c r="C1583" t="n">
        <x:v>1</x:v>
      </x:c>
      <x:c r="D1583" t="n">
        <x:v>19</x:v>
      </x:c>
      <x:c r="E1583" s="18" t="n">
        <x:v>1546.17</x:v>
      </x:c>
      <x:c r="F1583" s="18" t="n">
        <x:v>34</x:v>
      </x:c>
      <x:c r="G1583" s="18" t="n">
        <x:v>6.96</x:v>
      </x:c>
      <x:c r="H1583" s="18" t="n">
        <x:v>3.93</x:v>
      </x:c>
      <x:c r="I1583" s="18" t="n">
        <x:v>44.89</x:v>
      </x:c>
      <x:c r="J1583" t="n">
        <x:f>IF(A1583=A1582,IFERROR(IF(B1583=EDATE(B1582,1),C1582,0),0),0)</x:f>
        <x:v>1</x:v>
      </x:c>
      <x:c r="K1583" t="n">
        <x:f>IF(AND(J1583=1,C1583=0),1,0)</x:f>
        <x:v>0</x:v>
      </x:c>
      <x:c r="L1583" t="str">
        <x:f>IFERROR(INDEX(Customers!$C$2:$C$451,MATCH(A1583,Customers!$A$2:$A$451,0)),"Unknown")</x:f>
        <x:v>Metal</x:v>
      </x:c>
    </x:row>
    <x:row r="1584">
      <x:c r="A1584" t="n">
        <x:v>289</x:v>
      </x:c>
      <x:c r="B1584" s="16" t="n">
        <x:v>46266</x:v>
      </x:c>
      <x:c r="C1584" t="n">
        <x:v>1</x:v>
      </x:c>
      <x:c r="D1584" t="n">
        <x:v>17</x:v>
      </x:c>
      <x:c r="E1584" s="18" t="n">
        <x:v>944.55</x:v>
      </x:c>
      <x:c r="F1584" s="18" t="n">
        <x:v>34</x:v>
      </x:c>
      <x:c r="G1584" s="18" t="n">
        <x:v>4.25</x:v>
      </x:c>
      <x:c r="H1584" s="18" t="n">
        <x:v>3.38</x:v>
      </x:c>
      <x:c r="I1584" s="18" t="n">
        <x:v>41.63</x:v>
      </x:c>
      <x:c r="J1584" t="n">
        <x:f>IF(A1584=A1583,IFERROR(IF(B1584=EDATE(B1583,1),C1583,0),0),0)</x:f>
        <x:v>1</x:v>
      </x:c>
      <x:c r="K1584" t="n">
        <x:f>IF(AND(J1584=1,C1584=0),1,0)</x:f>
        <x:v>0</x:v>
      </x:c>
      <x:c r="L1584" t="str">
        <x:f>IFERROR(INDEX(Customers!$C$2:$C$451,MATCH(A1584,Customers!$A$2:$A$451,0)),"Unknown")</x:f>
        <x:v>Metal</x:v>
      </x:c>
    </x:row>
    <x:row r="1585">
      <x:c r="A1585" t="n">
        <x:v>290</x:v>
      </x:c>
      <x:c r="B1585" s="16" t="n">
        <x:v>46143</x:v>
      </x:c>
      <x:c r="C1585" t="n">
        <x:v>1</x:v>
      </x:c>
      <x:c r="D1585" t="n">
        <x:v>12</x:v>
      </x:c>
      <x:c r="E1585" s="18" t="n">
        <x:v>1088.52</x:v>
      </x:c>
      <x:c r="F1585" s="18" t="n">
        <x:v>0</x:v>
      </x:c>
      <x:c r="G1585" s="18" t="n">
        <x:v>4.9</x:v>
      </x:c>
      <x:c r="H1585" s="18" t="n">
        <x:v>3.94</x:v>
      </x:c>
      <x:c r="I1585" s="18" t="n">
        <x:v>8.84</x:v>
      </x:c>
      <x:c r="J1585" t="n">
        <x:f>IF(A1585=A1584,IFERROR(IF(B1585=EDATE(B1584,1),C1584,0),0),0)</x:f>
        <x:v>0</x:v>
      </x:c>
      <x:c r="K1585" t="n">
        <x:f>IF(AND(J1585=1,C1585=0),1,0)</x:f>
        <x:v>0</x:v>
      </x:c>
      <x:c r="L1585" t="str">
        <x:f>IFERROR(INDEX(Customers!$C$2:$C$451,MATCH(A1585,Customers!$A$2:$A$451,0)),"Unknown")</x:f>
        <x:v>Standard</x:v>
      </x:c>
    </x:row>
    <x:row r="1586">
      <x:c r="A1586" t="n">
        <x:v>290</x:v>
      </x:c>
      <x:c r="B1586" s="16" t="n">
        <x:v>46174</x:v>
      </x:c>
      <x:c r="C1586" t="n">
        <x:v>1</x:v>
      </x:c>
      <x:c r="D1586" t="n">
        <x:v>14</x:v>
      </x:c>
      <x:c r="E1586" s="18" t="n">
        <x:v>1437.08</x:v>
      </x:c>
      <x:c r="F1586" s="18" t="n">
        <x:v>0</x:v>
      </x:c>
      <x:c r="G1586" s="18" t="n">
        <x:v>6.47</x:v>
      </x:c>
      <x:c r="H1586" s="18" t="n">
        <x:v>4.36</x:v>
      </x:c>
      <x:c r="I1586" s="18" t="n">
        <x:v>10.83</x:v>
      </x:c>
      <x:c r="J1586" t="n">
        <x:f>IF(A1586=A1585,IFERROR(IF(B1586=EDATE(B1585,1),C1585,0),0),0)</x:f>
        <x:v>1</x:v>
      </x:c>
      <x:c r="K1586" t="n">
        <x:f>IF(AND(J1586=1,C1586=0),1,0)</x:f>
        <x:v>0</x:v>
      </x:c>
      <x:c r="L1586" t="str">
        <x:f>IFERROR(INDEX(Customers!$C$2:$C$451,MATCH(A1586,Customers!$A$2:$A$451,0)),"Unknown")</x:f>
        <x:v>Standard</x:v>
      </x:c>
    </x:row>
    <x:row r="1587">
      <x:c r="A1587" t="n">
        <x:v>290</x:v>
      </x:c>
      <x:c r="B1587" s="16" t="n">
        <x:v>46204</x:v>
      </x:c>
      <x:c r="C1587" t="n">
        <x:v>0</x:v>
      </x:c>
      <x:c r="D1587" t="n">
        <x:v>0</x:v>
      </x:c>
      <x:c r="E1587" s="18" t="n">
        <x:v>0</x:v>
      </x:c>
      <x:c r="F1587" s="18" t="n">
        <x:v>0</x:v>
      </x:c>
      <x:c r="G1587" s="18" t="n">
        <x:v>0</x:v>
      </x:c>
      <x:c r="H1587" s="18" t="n">
        <x:v>0</x:v>
      </x:c>
      <x:c r="I1587" s="18" t="n">
        <x:v>0</x:v>
      </x:c>
      <x:c r="J1587" t="n">
        <x:f>IF(A1587=A1586,IFERROR(IF(B1587=EDATE(B1586,1),C1586,0),0),0)</x:f>
        <x:v>1</x:v>
      </x:c>
      <x:c r="K1587" t="n">
        <x:f>IF(AND(J1587=1,C1587=0),1,0)</x:f>
        <x:v>1</x:v>
      </x:c>
      <x:c r="L1587" t="str">
        <x:f>IFERROR(INDEX(Customers!$C$2:$C$451,MATCH(A1587,Customers!$A$2:$A$451,0)),"Unknown")</x:f>
        <x:v>Standard</x:v>
      </x:c>
    </x:row>
    <x:row r="1588">
      <x:c r="A1588" t="n">
        <x:v>290</x:v>
      </x:c>
      <x:c r="B1588" s="16" t="n">
        <x:v>46235</x:v>
      </x:c>
      <x:c r="C1588" t="n">
        <x:v>1</x:v>
      </x:c>
      <x:c r="D1588" t="n">
        <x:v>8</x:v>
      </x:c>
      <x:c r="E1588" s="18" t="n">
        <x:v>712.67</x:v>
      </x:c>
      <x:c r="F1588" s="18" t="n">
        <x:v>0</x:v>
      </x:c>
      <x:c r="G1588" s="18" t="n">
        <x:v>3.21</x:v>
      </x:c>
      <x:c r="H1588" s="18" t="n">
        <x:v>1.71</x:v>
      </x:c>
      <x:c r="I1588" s="18" t="n">
        <x:v>4.92</x:v>
      </x:c>
      <x:c r="J1588" t="n">
        <x:f>IF(A1588=A1587,IFERROR(IF(B1588=EDATE(B1587,1),C1587,0),0),0)</x:f>
        <x:v>0</x:v>
      </x:c>
      <x:c r="K1588" t="n">
        <x:f>IF(AND(J1588=1,C1588=0),1,0)</x:f>
        <x:v>0</x:v>
      </x:c>
      <x:c r="L1588" t="str">
        <x:f>IFERROR(INDEX(Customers!$C$2:$C$451,MATCH(A1588,Customers!$A$2:$A$451,0)),"Unknown")</x:f>
        <x:v>Standard</x:v>
      </x:c>
    </x:row>
    <x:row r="1589">
      <x:c r="A1589" t="n">
        <x:v>290</x:v>
      </x:c>
      <x:c r="B1589" s="16" t="n">
        <x:v>46266</x:v>
      </x:c>
      <x:c r="C1589" t="n">
        <x:v>1</x:v>
      </x:c>
      <x:c r="D1589" t="n">
        <x:v>18</x:v>
      </x:c>
      <x:c r="E1589" s="18" t="n">
        <x:v>1054.81</x:v>
      </x:c>
      <x:c r="F1589" s="18" t="n">
        <x:v>0</x:v>
      </x:c>
      <x:c r="G1589" s="18" t="n">
        <x:v>4.75</x:v>
      </x:c>
      <x:c r="H1589" s="18" t="n">
        <x:v>2.85</x:v>
      </x:c>
      <x:c r="I1589" s="18" t="n">
        <x:v>7.6</x:v>
      </x:c>
      <x:c r="J1589" t="n">
        <x:f>IF(A1589=A1588,IFERROR(IF(B1589=EDATE(B1588,1),C1588,0),0),0)</x:f>
        <x:v>1</x:v>
      </x:c>
      <x:c r="K1589" t="n">
        <x:f>IF(AND(J1589=1,C1589=0),1,0)</x:f>
        <x:v>0</x:v>
      </x:c>
      <x:c r="L1589" t="str">
        <x:f>IFERROR(INDEX(Customers!$C$2:$C$451,MATCH(A1589,Customers!$A$2:$A$451,0)),"Unknown")</x:f>
        <x:v>Standard</x:v>
      </x:c>
    </x:row>
    <x:row r="1590">
      <x:c r="A1590" t="n">
        <x:v>291</x:v>
      </x:c>
      <x:c r="B1590" s="16" t="n">
        <x:v>46174</x:v>
      </x:c>
      <x:c r="C1590" t="n">
        <x:v>1</x:v>
      </x:c>
      <x:c r="D1590" t="n">
        <x:v>28</x:v>
      </x:c>
      <x:c r="E1590" s="18" t="n">
        <x:v>1631.6</x:v>
      </x:c>
      <x:c r="F1590" s="18" t="n">
        <x:v>0</x:v>
      </x:c>
      <x:c r="G1590" s="18" t="n">
        <x:v>7.34</x:v>
      </x:c>
      <x:c r="H1590" s="18" t="n">
        <x:v>2.17</x:v>
      </x:c>
      <x:c r="I1590" s="18" t="n">
        <x:v>9.51</x:v>
      </x:c>
      <x:c r="J1590" t="n">
        <x:f>IF(A1590=A1589,IFERROR(IF(B1590=EDATE(B1589,1),C1589,0),0),0)</x:f>
        <x:v>0</x:v>
      </x:c>
      <x:c r="K1590" t="n">
        <x:f>IF(AND(J1590=1,C1590=0),1,0)</x:f>
        <x:v>0</x:v>
      </x:c>
      <x:c r="L1590" t="str">
        <x:f>IFERROR(INDEX(Customers!$C$2:$C$451,MATCH(A1590,Customers!$A$2:$A$451,0)),"Unknown")</x:f>
        <x:v>Standard</x:v>
      </x:c>
    </x:row>
    <x:row r="1591">
      <x:c r="A1591" t="n">
        <x:v>291</x:v>
      </x:c>
      <x:c r="B1591" s="16" t="n">
        <x:v>46204</x:v>
      </x:c>
      <x:c r="C1591" t="n">
        <x:v>1</x:v>
      </x:c>
      <x:c r="D1591" t="n">
        <x:v>30</x:v>
      </x:c>
      <x:c r="E1591" s="18" t="n">
        <x:v>2218.88</x:v>
      </x:c>
      <x:c r="F1591" s="18" t="n">
        <x:v>0</x:v>
      </x:c>
      <x:c r="G1591" s="18" t="n">
        <x:v>9.98</x:v>
      </x:c>
      <x:c r="H1591" s="18" t="n">
        <x:v>2.76</x:v>
      </x:c>
      <x:c r="I1591" s="18" t="n">
        <x:v>12.74</x:v>
      </x:c>
      <x:c r="J1591" t="n">
        <x:f>IF(A1591=A1590,IFERROR(IF(B1591=EDATE(B1590,1),C1590,0),0),0)</x:f>
        <x:v>1</x:v>
      </x:c>
      <x:c r="K1591" t="n">
        <x:f>IF(AND(J1591=1,C1591=0),1,0)</x:f>
        <x:v>0</x:v>
      </x:c>
      <x:c r="L1591" t="str">
        <x:f>IFERROR(INDEX(Customers!$C$2:$C$451,MATCH(A1591,Customers!$A$2:$A$451,0)),"Unknown")</x:f>
        <x:v>Standard</x:v>
      </x:c>
    </x:row>
    <x:row r="1592">
      <x:c r="A1592" t="n">
        <x:v>291</x:v>
      </x:c>
      <x:c r="B1592" s="16" t="n">
        <x:v>46235</x:v>
      </x:c>
      <x:c r="C1592" t="n">
        <x:v>1</x:v>
      </x:c>
      <x:c r="D1592" t="n">
        <x:v>24</x:v>
      </x:c>
      <x:c r="E1592" s="18" t="n">
        <x:v>3282.09</x:v>
      </x:c>
      <x:c r="F1592" s="18" t="n">
        <x:v>0</x:v>
      </x:c>
      <x:c r="G1592" s="18" t="n">
        <x:v>14.77</x:v>
      </x:c>
      <x:c r="H1592" s="18" t="n">
        <x:v>10.2</x:v>
      </x:c>
      <x:c r="I1592" s="18" t="n">
        <x:v>24.97</x:v>
      </x:c>
      <x:c r="J1592" t="n">
        <x:f>IF(A1592=A1591,IFERROR(IF(B1592=EDATE(B1591,1),C1591,0),0),0)</x:f>
        <x:v>1</x:v>
      </x:c>
      <x:c r="K1592" t="n">
        <x:f>IF(AND(J1592=1,C1592=0),1,0)</x:f>
        <x:v>0</x:v>
      </x:c>
      <x:c r="L1592" t="str">
        <x:f>IFERROR(INDEX(Customers!$C$2:$C$451,MATCH(A1592,Customers!$A$2:$A$451,0)),"Unknown")</x:f>
        <x:v>Standard</x:v>
      </x:c>
    </x:row>
    <x:row r="1593">
      <x:c r="A1593" t="n">
        <x:v>291</x:v>
      </x:c>
      <x:c r="B1593" s="16" t="n">
        <x:v>46266</x:v>
      </x:c>
      <x:c r="C1593" t="n">
        <x:v>1</x:v>
      </x:c>
      <x:c r="D1593" t="n">
        <x:v>10</x:v>
      </x:c>
      <x:c r="E1593" s="18" t="n">
        <x:v>866.48</x:v>
      </x:c>
      <x:c r="F1593" s="18" t="n">
        <x:v>0</x:v>
      </x:c>
      <x:c r="G1593" s="18" t="n">
        <x:v>3.9</x:v>
      </x:c>
      <x:c r="H1593" s="18" t="n">
        <x:v>1.34</x:v>
      </x:c>
      <x:c r="I1593" s="18" t="n">
        <x:v>5.24</x:v>
      </x:c>
      <x:c r="J1593" t="n">
        <x:f>IF(A1593=A1592,IFERROR(IF(B1593=EDATE(B1592,1),C1592,0),0),0)</x:f>
        <x:v>1</x:v>
      </x:c>
      <x:c r="K1593" t="n">
        <x:f>IF(AND(J1593=1,C1593=0),1,0)</x:f>
        <x:v>0</x:v>
      </x:c>
      <x:c r="L1593" t="str">
        <x:f>IFERROR(INDEX(Customers!$C$2:$C$451,MATCH(A1593,Customers!$A$2:$A$451,0)),"Unknown")</x:f>
        <x:v>Standard</x:v>
      </x:c>
    </x:row>
    <x:row r="1594">
      <x:c r="A1594" t="n">
        <x:v>292</x:v>
      </x:c>
      <x:c r="B1594" s="16" t="n">
        <x:v>46174</x:v>
      </x:c>
      <x:c r="C1594" t="n">
        <x:v>1</x:v>
      </x:c>
      <x:c r="D1594" t="n">
        <x:v>4</x:v>
      </x:c>
      <x:c r="E1594" s="18" t="n">
        <x:v>163.45</x:v>
      </x:c>
      <x:c r="F1594" s="18" t="n">
        <x:v>17</x:v>
      </x:c>
      <x:c r="G1594" s="18" t="n">
        <x:v>0.74</x:v>
      </x:c>
      <x:c r="H1594" s="18" t="n">
        <x:v>0.27</x:v>
      </x:c>
      <x:c r="I1594" s="18" t="n">
        <x:v>18.01</x:v>
      </x:c>
      <x:c r="J1594" t="n">
        <x:f>IF(A1594=A1593,IFERROR(IF(B1594=EDATE(B1593,1),C1593,0),0),0)</x:f>
        <x:v>0</x:v>
      </x:c>
      <x:c r="K1594" t="n">
        <x:f>IF(AND(J1594=1,C1594=0),1,0)</x:f>
        <x:v>0</x:v>
      </x:c>
      <x:c r="L1594" t="str">
        <x:f>IFERROR(INDEX(Customers!$C$2:$C$451,MATCH(A1594,Customers!$A$2:$A$451,0)),"Unknown")</x:f>
        <x:v>Premium</x:v>
      </x:c>
    </x:row>
    <x:row r="1595">
      <x:c r="A1595" t="n">
        <x:v>292</x:v>
      </x:c>
      <x:c r="B1595" s="16" t="n">
        <x:v>46204</x:v>
      </x:c>
      <x:c r="C1595" t="n">
        <x:v>1</x:v>
      </x:c>
      <x:c r="D1595" t="n">
        <x:v>12</x:v>
      </x:c>
      <x:c r="E1595" s="18" t="n">
        <x:v>740.4</x:v>
      </x:c>
      <x:c r="F1595" s="18" t="n">
        <x:v>17</x:v>
      </x:c>
      <x:c r="G1595" s="18" t="n">
        <x:v>3.33</x:v>
      </x:c>
      <x:c r="H1595" s="18" t="n">
        <x:v>2.47</x:v>
      </x:c>
      <x:c r="I1595" s="18" t="n">
        <x:v>22.8</x:v>
      </x:c>
      <x:c r="J1595" t="n">
        <x:f>IF(A1595=A1594,IFERROR(IF(B1595=EDATE(B1594,1),C1594,0),0),0)</x:f>
        <x:v>1</x:v>
      </x:c>
      <x:c r="K1595" t="n">
        <x:f>IF(AND(J1595=1,C1595=0),1,0)</x:f>
        <x:v>0</x:v>
      </x:c>
      <x:c r="L1595" t="str">
        <x:f>IFERROR(INDEX(Customers!$C$2:$C$451,MATCH(A1595,Customers!$A$2:$A$451,0)),"Unknown")</x:f>
        <x:v>Premium</x:v>
      </x:c>
    </x:row>
    <x:row r="1596">
      <x:c r="A1596" t="n">
        <x:v>292</x:v>
      </x:c>
      <x:c r="B1596" s="16" t="n">
        <x:v>46235</x:v>
      </x:c>
      <x:c r="C1596" t="n">
        <x:v>1</x:v>
      </x:c>
      <x:c r="D1596" t="n">
        <x:v>16</x:v>
      </x:c>
      <x:c r="E1596" s="18" t="n">
        <x:v>1466.58</x:v>
      </x:c>
      <x:c r="F1596" s="18" t="n">
        <x:v>17</x:v>
      </x:c>
      <x:c r="G1596" s="18" t="n">
        <x:v>6.6</x:v>
      </x:c>
      <x:c r="H1596" s="18" t="n">
        <x:v>2.19</x:v>
      </x:c>
      <x:c r="I1596" s="18" t="n">
        <x:v>25.79</x:v>
      </x:c>
      <x:c r="J1596" t="n">
        <x:f>IF(A1596=A1595,IFERROR(IF(B1596=EDATE(B1595,1),C1595,0),0),0)</x:f>
        <x:v>1</x:v>
      </x:c>
      <x:c r="K1596" t="n">
        <x:f>IF(AND(J1596=1,C1596=0),1,0)</x:f>
        <x:v>0</x:v>
      </x:c>
      <x:c r="L1596" t="str">
        <x:f>IFERROR(INDEX(Customers!$C$2:$C$451,MATCH(A1596,Customers!$A$2:$A$451,0)),"Unknown")</x:f>
        <x:v>Premium</x:v>
      </x:c>
    </x:row>
    <x:row r="1597">
      <x:c r="A1597" t="n">
        <x:v>292</x:v>
      </x:c>
      <x:c r="B1597" s="16" t="n">
        <x:v>46266</x:v>
      </x:c>
      <x:c r="C1597" t="n">
        <x:v>1</x:v>
      </x:c>
      <x:c r="D1597" t="n">
        <x:v>15</x:v>
      </x:c>
      <x:c r="E1597" s="18" t="n">
        <x:v>542.69</x:v>
      </x:c>
      <x:c r="F1597" s="18" t="n">
        <x:v>17</x:v>
      </x:c>
      <x:c r="G1597" s="18" t="n">
        <x:v>2.44</x:v>
      </x:c>
      <x:c r="H1597" s="18" t="n">
        <x:v>0.45</x:v>
      </x:c>
      <x:c r="I1597" s="18" t="n">
        <x:v>19.89</x:v>
      </x:c>
      <x:c r="J1597" t="n">
        <x:f>IF(A1597=A1596,IFERROR(IF(B1597=EDATE(B1596,1),C1596,0),0),0)</x:f>
        <x:v>1</x:v>
      </x:c>
      <x:c r="K1597" t="n">
        <x:f>IF(AND(J1597=1,C1597=0),1,0)</x:f>
        <x:v>0</x:v>
      </x:c>
      <x:c r="L1597" t="str">
        <x:f>IFERROR(INDEX(Customers!$C$2:$C$451,MATCH(A1597,Customers!$A$2:$A$451,0)),"Unknown")</x:f>
        <x:v>Premium</x:v>
      </x:c>
    </x:row>
    <x:row r="1598">
      <x:c r="A1598" t="n">
        <x:v>293</x:v>
      </x:c>
      <x:c r="B1598" s="16" t="n">
        <x:v>46113</x:v>
      </x:c>
      <x:c r="C1598" t="n">
        <x:v>1</x:v>
      </x:c>
      <x:c r="D1598" t="n">
        <x:v>33</x:v>
      </x:c>
      <x:c r="E1598" s="18" t="n">
        <x:v>2397.41</x:v>
      </x:c>
      <x:c r="F1598" s="18" t="n">
        <x:v>0</x:v>
      </x:c>
      <x:c r="G1598" s="18" t="n">
        <x:v>10.79</x:v>
      </x:c>
      <x:c r="H1598" s="18" t="n">
        <x:v>3.37</x:v>
      </x:c>
      <x:c r="I1598" s="18" t="n">
        <x:v>14.16</x:v>
      </x:c>
      <x:c r="J1598" t="n">
        <x:f>IF(A1598=A1597,IFERROR(IF(B1598=EDATE(B1597,1),C1597,0),0),0)</x:f>
        <x:v>0</x:v>
      </x:c>
      <x:c r="K1598" t="n">
        <x:f>IF(AND(J1598=1,C1598=0),1,0)</x:f>
        <x:v>0</x:v>
      </x:c>
      <x:c r="L1598" t="str">
        <x:f>IFERROR(INDEX(Customers!$C$2:$C$451,MATCH(A1598,Customers!$A$2:$A$451,0)),"Unknown")</x:f>
        <x:v>Standard</x:v>
      </x:c>
    </x:row>
    <x:row r="1599">
      <x:c r="A1599" t="n">
        <x:v>293</x:v>
      </x:c>
      <x:c r="B1599" s="16" t="n">
        <x:v>46143</x:v>
      </x:c>
      <x:c r="C1599" t="n">
        <x:v>1</x:v>
      </x:c>
      <x:c r="D1599" t="n">
        <x:v>34</x:v>
      </x:c>
      <x:c r="E1599" s="18" t="n">
        <x:v>2301.74</x:v>
      </x:c>
      <x:c r="F1599" s="18" t="n">
        <x:v>0</x:v>
      </x:c>
      <x:c r="G1599" s="18" t="n">
        <x:v>10.36</x:v>
      </x:c>
      <x:c r="H1599" s="18" t="n">
        <x:v>4.66</x:v>
      </x:c>
      <x:c r="I1599" s="18" t="n">
        <x:v>15.02</x:v>
      </x:c>
      <x:c r="J1599" t="n">
        <x:f>IF(A1599=A1598,IFERROR(IF(B1599=EDATE(B1598,1),C1598,0),0),0)</x:f>
        <x:v>1</x:v>
      </x:c>
      <x:c r="K1599" t="n">
        <x:f>IF(AND(J1599=1,C1599=0),1,0)</x:f>
        <x:v>0</x:v>
      </x:c>
      <x:c r="L1599" t="str">
        <x:f>IFERROR(INDEX(Customers!$C$2:$C$451,MATCH(A1599,Customers!$A$2:$A$451,0)),"Unknown")</x:f>
        <x:v>Standard</x:v>
      </x:c>
    </x:row>
    <x:row r="1600">
      <x:c r="A1600" t="n">
        <x:v>293</x:v>
      </x:c>
      <x:c r="B1600" s="16" t="n">
        <x:v>46174</x:v>
      </x:c>
      <x:c r="C1600" t="n">
        <x:v>1</x:v>
      </x:c>
      <x:c r="D1600" t="n">
        <x:v>29</x:v>
      </x:c>
      <x:c r="E1600" s="18" t="n">
        <x:v>2819.15</x:v>
      </x:c>
      <x:c r="F1600" s="18" t="n">
        <x:v>0</x:v>
      </x:c>
      <x:c r="G1600" s="18" t="n">
        <x:v>12.69</x:v>
      </x:c>
      <x:c r="H1600" s="18" t="n">
        <x:v>6.98</x:v>
      </x:c>
      <x:c r="I1600" s="18" t="n">
        <x:v>19.67</x:v>
      </x:c>
      <x:c r="J1600" t="n">
        <x:f>IF(A1600=A1599,IFERROR(IF(B1600=EDATE(B1599,1),C1599,0),0),0)</x:f>
        <x:v>1</x:v>
      </x:c>
      <x:c r="K1600" t="n">
        <x:f>IF(AND(J1600=1,C1600=0),1,0)</x:f>
        <x:v>0</x:v>
      </x:c>
      <x:c r="L1600" t="str">
        <x:f>IFERROR(INDEX(Customers!$C$2:$C$451,MATCH(A1600,Customers!$A$2:$A$451,0)),"Unknown")</x:f>
        <x:v>Standard</x:v>
      </x:c>
    </x:row>
    <x:row r="1601">
      <x:c r="A1601" t="n">
        <x:v>293</x:v>
      </x:c>
      <x:c r="B1601" s="16" t="n">
        <x:v>46204</x:v>
      </x:c>
      <x:c r="C1601" t="n">
        <x:v>1</x:v>
      </x:c>
      <x:c r="D1601" t="n">
        <x:v>27</x:v>
      </x:c>
      <x:c r="E1601" s="18" t="n">
        <x:v>3744.22</x:v>
      </x:c>
      <x:c r="F1601" s="18" t="n">
        <x:v>0</x:v>
      </x:c>
      <x:c r="G1601" s="18" t="n">
        <x:v>16.85</x:v>
      </x:c>
      <x:c r="H1601" s="18" t="n">
        <x:v>6.77</x:v>
      </x:c>
      <x:c r="I1601" s="18" t="n">
        <x:v>23.62</x:v>
      </x:c>
      <x:c r="J1601" t="n">
        <x:f>IF(A1601=A1600,IFERROR(IF(B1601=EDATE(B1600,1),C1600,0),0),0)</x:f>
        <x:v>1</x:v>
      </x:c>
      <x:c r="K1601" t="n">
        <x:f>IF(AND(J1601=1,C1601=0),1,0)</x:f>
        <x:v>0</x:v>
      </x:c>
      <x:c r="L1601" t="str">
        <x:f>IFERROR(INDEX(Customers!$C$2:$C$451,MATCH(A1601,Customers!$A$2:$A$451,0)),"Unknown")</x:f>
        <x:v>Standard</x:v>
      </x:c>
    </x:row>
    <x:row r="1602">
      <x:c r="A1602" t="n">
        <x:v>293</x:v>
      </x:c>
      <x:c r="B1602" s="16" t="n">
        <x:v>46235</x:v>
      </x:c>
      <x:c r="C1602" t="n">
        <x:v>1</x:v>
      </x:c>
      <x:c r="D1602" t="n">
        <x:v>16</x:v>
      </x:c>
      <x:c r="E1602" s="18" t="n">
        <x:v>2202.99</x:v>
      </x:c>
      <x:c r="F1602" s="18" t="n">
        <x:v>0</x:v>
      </x:c>
      <x:c r="G1602" s="18" t="n">
        <x:v>9.91</x:v>
      </x:c>
      <x:c r="H1602" s="18" t="n">
        <x:v>3.88</x:v>
      </x:c>
      <x:c r="I1602" s="18" t="n">
        <x:v>13.79</x:v>
      </x:c>
      <x:c r="J1602" t="n">
        <x:f>IF(A1602=A1601,IFERROR(IF(B1602=EDATE(B1601,1),C1601,0),0),0)</x:f>
        <x:v>1</x:v>
      </x:c>
      <x:c r="K1602" t="n">
        <x:f>IF(AND(J1602=1,C1602=0),1,0)</x:f>
        <x:v>0</x:v>
      </x:c>
      <x:c r="L1602" t="str">
        <x:f>IFERROR(INDEX(Customers!$C$2:$C$451,MATCH(A1602,Customers!$A$2:$A$451,0)),"Unknown")</x:f>
        <x:v>Standard</x:v>
      </x:c>
    </x:row>
    <x:row r="1603">
      <x:c r="A1603" t="n">
        <x:v>293</x:v>
      </x:c>
      <x:c r="B1603" s="16" t="n">
        <x:v>46266</x:v>
      </x:c>
      <x:c r="C1603" t="n">
        <x:v>1</x:v>
      </x:c>
      <x:c r="D1603" t="n">
        <x:v>27</x:v>
      </x:c>
      <x:c r="E1603" s="18" t="n">
        <x:v>3408.72</x:v>
      </x:c>
      <x:c r="F1603" s="18" t="n">
        <x:v>0</x:v>
      </x:c>
      <x:c r="G1603" s="18" t="n">
        <x:v>15.34</x:v>
      </x:c>
      <x:c r="H1603" s="18" t="n">
        <x:v>11.39</x:v>
      </x:c>
      <x:c r="I1603" s="18" t="n">
        <x:v>26.73</x:v>
      </x:c>
      <x:c r="J1603" t="n">
        <x:f>IF(A1603=A1602,IFERROR(IF(B1603=EDATE(B1602,1),C1602,0),0),0)</x:f>
        <x:v>1</x:v>
      </x:c>
      <x:c r="K1603" t="n">
        <x:f>IF(AND(J1603=1,C1603=0),1,0)</x:f>
        <x:v>0</x:v>
      </x:c>
      <x:c r="L1603" t="str">
        <x:f>IFERROR(INDEX(Customers!$C$2:$C$451,MATCH(A1603,Customers!$A$2:$A$451,0)),"Unknown")</x:f>
        <x:v>Standard</x:v>
      </x:c>
    </x:row>
    <x:row r="1604">
      <x:c r="A1604" t="n">
        <x:v>294</x:v>
      </x:c>
      <x:c r="B1604" s="16" t="n">
        <x:v>46113</x:v>
      </x:c>
      <x:c r="C1604" t="n">
        <x:v>1</x:v>
      </x:c>
      <x:c r="D1604" t="n">
        <x:v>6</x:v>
      </x:c>
      <x:c r="E1604" s="18" t="n">
        <x:v>364.76</x:v>
      </x:c>
      <x:c r="F1604" s="18" t="n">
        <x:v>34</x:v>
      </x:c>
      <x:c r="G1604" s="18" t="n">
        <x:v>1.64</x:v>
      </x:c>
      <x:c r="H1604" s="18" t="n">
        <x:v>0.97</x:v>
      </x:c>
      <x:c r="I1604" s="18" t="n">
        <x:v>36.61</x:v>
      </x:c>
      <x:c r="J1604" t="n">
        <x:f>IF(A1604=A1603,IFERROR(IF(B1604=EDATE(B1603,1),C1603,0),0),0)</x:f>
        <x:v>0</x:v>
      </x:c>
      <x:c r="K1604" t="n">
        <x:f>IF(AND(J1604=1,C1604=0),1,0)</x:f>
        <x:v>0</x:v>
      </x:c>
      <x:c r="L1604" t="str">
        <x:f>IFERROR(INDEX(Customers!$C$2:$C$451,MATCH(A1604,Customers!$A$2:$A$451,0)),"Unknown")</x:f>
        <x:v>Metal</x:v>
      </x:c>
    </x:row>
    <x:row r="1605">
      <x:c r="A1605" t="n">
        <x:v>294</x:v>
      </x:c>
      <x:c r="B1605" s="16" t="n">
        <x:v>46143</x:v>
      </x:c>
      <x:c r="C1605" t="n">
        <x:v>1</x:v>
      </x:c>
      <x:c r="D1605" t="n">
        <x:v>9</x:v>
      </x:c>
      <x:c r="E1605" s="18" t="n">
        <x:v>992.89</x:v>
      </x:c>
      <x:c r="F1605" s="18" t="n">
        <x:v>34</x:v>
      </x:c>
      <x:c r="G1605" s="18" t="n">
        <x:v>4.47</x:v>
      </x:c>
      <x:c r="H1605" s="18" t="n">
        <x:v>0.85</x:v>
      </x:c>
      <x:c r="I1605" s="18" t="n">
        <x:v>39.32</x:v>
      </x:c>
      <x:c r="J1605" t="n">
        <x:f>IF(A1605=A1604,IFERROR(IF(B1605=EDATE(B1604,1),C1604,0),0),0)</x:f>
        <x:v>1</x:v>
      </x:c>
      <x:c r="K1605" t="n">
        <x:f>IF(AND(J1605=1,C1605=0),1,0)</x:f>
        <x:v>0</x:v>
      </x:c>
      <x:c r="L1605" t="str">
        <x:f>IFERROR(INDEX(Customers!$C$2:$C$451,MATCH(A1605,Customers!$A$2:$A$451,0)),"Unknown")</x:f>
        <x:v>Metal</x:v>
      </x:c>
    </x:row>
    <x:row r="1606">
      <x:c r="A1606" t="n">
        <x:v>294</x:v>
      </x:c>
      <x:c r="B1606" s="16" t="n">
        <x:v>46174</x:v>
      </x:c>
      <x:c r="C1606" t="n">
        <x:v>0</x:v>
      </x:c>
      <x:c r="D1606" t="n">
        <x:v>0</x:v>
      </x:c>
      <x:c r="E1606" s="18" t="n">
        <x:v>0</x:v>
      </x:c>
      <x:c r="F1606" s="18" t="n">
        <x:v>0</x:v>
      </x:c>
      <x:c r="G1606" s="18" t="n">
        <x:v>0</x:v>
      </x:c>
      <x:c r="H1606" s="18" t="n">
        <x:v>0</x:v>
      </x:c>
      <x:c r="I1606" s="18" t="n">
        <x:v>0</x:v>
      </x:c>
      <x:c r="J1606" t="n">
        <x:f>IF(A1606=A1605,IFERROR(IF(B1606=EDATE(B1605,1),C1605,0),0),0)</x:f>
        <x:v>1</x:v>
      </x:c>
      <x:c r="K1606" t="n">
        <x:f>IF(AND(J1606=1,C1606=0),1,0)</x:f>
        <x:v>1</x:v>
      </x:c>
      <x:c r="L1606" t="str">
        <x:f>IFERROR(INDEX(Customers!$C$2:$C$451,MATCH(A1606,Customers!$A$2:$A$451,0)),"Unknown")</x:f>
        <x:v>Metal</x:v>
      </x:c>
    </x:row>
    <x:row r="1607">
      <x:c r="A1607" t="n">
        <x:v>294</x:v>
      </x:c>
      <x:c r="B1607" s="16" t="n">
        <x:v>46204</x:v>
      </x:c>
      <x:c r="C1607" t="n">
        <x:v>1</x:v>
      </x:c>
      <x:c r="D1607" t="n">
        <x:v>5</x:v>
      </x:c>
      <x:c r="E1607" s="18" t="n">
        <x:v>230.74</x:v>
      </x:c>
      <x:c r="F1607" s="18" t="n">
        <x:v>34</x:v>
      </x:c>
      <x:c r="G1607" s="18" t="n">
        <x:v>1.04</x:v>
      </x:c>
      <x:c r="H1607" s="18" t="n">
        <x:v>0.67</x:v>
      </x:c>
      <x:c r="I1607" s="18" t="n">
        <x:v>35.71</x:v>
      </x:c>
      <x:c r="J1607" t="n">
        <x:f>IF(A1607=A1606,IFERROR(IF(B1607=EDATE(B1606,1),C1606,0),0),0)</x:f>
        <x:v>0</x:v>
      </x:c>
      <x:c r="K1607" t="n">
        <x:f>IF(AND(J1607=1,C1607=0),1,0)</x:f>
        <x:v>0</x:v>
      </x:c>
      <x:c r="L1607" t="str">
        <x:f>IFERROR(INDEX(Customers!$C$2:$C$451,MATCH(A1607,Customers!$A$2:$A$451,0)),"Unknown")</x:f>
        <x:v>Metal</x:v>
      </x:c>
    </x:row>
    <x:row r="1608">
      <x:c r="A1608" t="n">
        <x:v>294</x:v>
      </x:c>
      <x:c r="B1608" s="16" t="n">
        <x:v>46235</x:v>
      </x:c>
      <x:c r="C1608" t="n">
        <x:v>1</x:v>
      </x:c>
      <x:c r="D1608" t="n">
        <x:v>19</x:v>
      </x:c>
      <x:c r="E1608" s="18" t="n">
        <x:v>2495.93</x:v>
      </x:c>
      <x:c r="F1608" s="18" t="n">
        <x:v>34</x:v>
      </x:c>
      <x:c r="G1608" s="18" t="n">
        <x:v>11.23</x:v>
      </x:c>
      <x:c r="H1608" s="18" t="n">
        <x:v>6.65</x:v>
      </x:c>
      <x:c r="I1608" s="18" t="n">
        <x:v>51.88</x:v>
      </x:c>
      <x:c r="J1608" t="n">
        <x:f>IF(A1608=A1607,IFERROR(IF(B1608=EDATE(B1607,1),C1607,0),0),0)</x:f>
        <x:v>1</x:v>
      </x:c>
      <x:c r="K1608" t="n">
        <x:f>IF(AND(J1608=1,C1608=0),1,0)</x:f>
        <x:v>0</x:v>
      </x:c>
      <x:c r="L1608" t="str">
        <x:f>IFERROR(INDEX(Customers!$C$2:$C$451,MATCH(A1608,Customers!$A$2:$A$451,0)),"Unknown")</x:f>
        <x:v>Metal</x:v>
      </x:c>
    </x:row>
    <x:row r="1609">
      <x:c r="A1609" t="n">
        <x:v>294</x:v>
      </x:c>
      <x:c r="B1609" s="16" t="n">
        <x:v>46266</x:v>
      </x:c>
      <x:c r="C1609" t="n">
        <x:v>1</x:v>
      </x:c>
      <x:c r="D1609" t="n">
        <x:v>29</x:v>
      </x:c>
      <x:c r="E1609" s="18" t="n">
        <x:v>2962.56</x:v>
      </x:c>
      <x:c r="F1609" s="18" t="n">
        <x:v>34</x:v>
      </x:c>
      <x:c r="G1609" s="18" t="n">
        <x:v>13.33</x:v>
      </x:c>
      <x:c r="H1609" s="18" t="n">
        <x:v>8.16</x:v>
      </x:c>
      <x:c r="I1609" s="18" t="n">
        <x:v>55.49</x:v>
      </x:c>
      <x:c r="J1609" t="n">
        <x:f>IF(A1609=A1608,IFERROR(IF(B1609=EDATE(B1608,1),C1608,0),0),0)</x:f>
        <x:v>1</x:v>
      </x:c>
      <x:c r="K1609" t="n">
        <x:f>IF(AND(J1609=1,C1609=0),1,0)</x:f>
        <x:v>0</x:v>
      </x:c>
      <x:c r="L1609" t="str">
        <x:f>IFERROR(INDEX(Customers!$C$2:$C$451,MATCH(A1609,Customers!$A$2:$A$451,0)),"Unknown")</x:f>
        <x:v>Metal</x:v>
      </x:c>
    </x:row>
    <x:row r="1610">
      <x:c r="A1610" t="n">
        <x:v>295</x:v>
      </x:c>
      <x:c r="B1610" s="16" t="n">
        <x:v>46113</x:v>
      </x:c>
      <x:c r="C1610" t="n">
        <x:v>0</x:v>
      </x:c>
      <x:c r="D1610" t="n">
        <x:v>0</x:v>
      </x:c>
      <x:c r="E1610" s="18" t="n">
        <x:v>0</x:v>
      </x:c>
      <x:c r="F1610" s="18" t="n">
        <x:v>0</x:v>
      </x:c>
      <x:c r="G1610" s="18" t="n">
        <x:v>0</x:v>
      </x:c>
      <x:c r="H1610" s="18" t="n">
        <x:v>0</x:v>
      </x:c>
      <x:c r="I1610" s="18" t="n">
        <x:v>0</x:v>
      </x:c>
      <x:c r="J1610" t="n">
        <x:f>IF(A1610=A1609,IFERROR(IF(B1610=EDATE(B1609,1),C1609,0),0),0)</x:f>
        <x:v>0</x:v>
      </x:c>
      <x:c r="K1610" t="n">
        <x:f>IF(AND(J1610=1,C1610=0),1,0)</x:f>
        <x:v>0</x:v>
      </x:c>
      <x:c r="L1610" t="str">
        <x:f>IFERROR(INDEX(Customers!$C$2:$C$451,MATCH(A1610,Customers!$A$2:$A$451,0)),"Unknown")</x:f>
        <x:v>Standard</x:v>
      </x:c>
    </x:row>
    <x:row r="1611">
      <x:c r="A1611" t="n">
        <x:v>295</x:v>
      </x:c>
      <x:c r="B1611" s="16" t="n">
        <x:v>46143</x:v>
      </x:c>
      <x:c r="C1611" t="n">
        <x:v>1</x:v>
      </x:c>
      <x:c r="D1611" t="n">
        <x:v>14</x:v>
      </x:c>
      <x:c r="E1611" s="18" t="n">
        <x:v>1103</x:v>
      </x:c>
      <x:c r="F1611" s="18" t="n">
        <x:v>0</x:v>
      </x:c>
      <x:c r="G1611" s="18" t="n">
        <x:v>4.96</x:v>
      </x:c>
      <x:c r="H1611" s="18" t="n">
        <x:v>2.74</x:v>
      </x:c>
      <x:c r="I1611" s="18" t="n">
        <x:v>7.7</x:v>
      </x:c>
      <x:c r="J1611" t="n">
        <x:f>IF(A1611=A1610,IFERROR(IF(B1611=EDATE(B1610,1),C1610,0),0),0)</x:f>
        <x:v>0</x:v>
      </x:c>
      <x:c r="K1611" t="n">
        <x:f>IF(AND(J1611=1,C1611=0),1,0)</x:f>
        <x:v>0</x:v>
      </x:c>
      <x:c r="L1611" t="str">
        <x:f>IFERROR(INDEX(Customers!$C$2:$C$451,MATCH(A1611,Customers!$A$2:$A$451,0)),"Unknown")</x:f>
        <x:v>Standard</x:v>
      </x:c>
    </x:row>
    <x:row r="1612">
      <x:c r="A1612" t="n">
        <x:v>295</x:v>
      </x:c>
      <x:c r="B1612" s="16" t="n">
        <x:v>46174</x:v>
      </x:c>
      <x:c r="C1612" t="n">
        <x:v>1</x:v>
      </x:c>
      <x:c r="D1612" t="n">
        <x:v>35</x:v>
      </x:c>
      <x:c r="E1612" s="18" t="n">
        <x:v>4117.03</x:v>
      </x:c>
      <x:c r="F1612" s="18" t="n">
        <x:v>0</x:v>
      </x:c>
      <x:c r="G1612" s="18" t="n">
        <x:v>18.53</x:v>
      </x:c>
      <x:c r="H1612" s="18" t="n">
        <x:v>4.99</x:v>
      </x:c>
      <x:c r="I1612" s="18" t="n">
        <x:v>23.52</x:v>
      </x:c>
      <x:c r="J1612" t="n">
        <x:f>IF(A1612=A1611,IFERROR(IF(B1612=EDATE(B1611,1),C1611,0),0),0)</x:f>
        <x:v>1</x:v>
      </x:c>
      <x:c r="K1612" t="n">
        <x:f>IF(AND(J1612=1,C1612=0),1,0)</x:f>
        <x:v>0</x:v>
      </x:c>
      <x:c r="L1612" t="str">
        <x:f>IFERROR(INDEX(Customers!$C$2:$C$451,MATCH(A1612,Customers!$A$2:$A$451,0)),"Unknown")</x:f>
        <x:v>Standard</x:v>
      </x:c>
    </x:row>
    <x:row r="1613">
      <x:c r="A1613" t="n">
        <x:v>295</x:v>
      </x:c>
      <x:c r="B1613" s="16" t="n">
        <x:v>46204</x:v>
      </x:c>
      <x:c r="C1613" t="n">
        <x:v>1</x:v>
      </x:c>
      <x:c r="D1613" t="n">
        <x:v>31</x:v>
      </x:c>
      <x:c r="E1613" s="18" t="n">
        <x:v>1911.13</x:v>
      </x:c>
      <x:c r="F1613" s="18" t="n">
        <x:v>0</x:v>
      </x:c>
      <x:c r="G1613" s="18" t="n">
        <x:v>8.6</x:v>
      </x:c>
      <x:c r="H1613" s="18" t="n">
        <x:v>1.8</x:v>
      </x:c>
      <x:c r="I1613" s="18" t="n">
        <x:v>10.4</x:v>
      </x:c>
      <x:c r="J1613" t="n">
        <x:f>IF(A1613=A1612,IFERROR(IF(B1613=EDATE(B1612,1),C1612,0),0),0)</x:f>
        <x:v>1</x:v>
      </x:c>
      <x:c r="K1613" t="n">
        <x:f>IF(AND(J1613=1,C1613=0),1,0)</x:f>
        <x:v>0</x:v>
      </x:c>
      <x:c r="L1613" t="str">
        <x:f>IFERROR(INDEX(Customers!$C$2:$C$451,MATCH(A1613,Customers!$A$2:$A$451,0)),"Unknown")</x:f>
        <x:v>Standard</x:v>
      </x:c>
    </x:row>
    <x:row r="1614">
      <x:c r="A1614" t="n">
        <x:v>295</x:v>
      </x:c>
      <x:c r="B1614" s="16" t="n">
        <x:v>46235</x:v>
      </x:c>
      <x:c r="C1614" t="n">
        <x:v>1</x:v>
      </x:c>
      <x:c r="D1614" t="n">
        <x:v>35</x:v>
      </x:c>
      <x:c r="E1614" s="18" t="n">
        <x:v>1311.57</x:v>
      </x:c>
      <x:c r="F1614" s="18" t="n">
        <x:v>0</x:v>
      </x:c>
      <x:c r="G1614" s="18" t="n">
        <x:v>5.9</x:v>
      </x:c>
      <x:c r="H1614" s="18" t="n">
        <x:v>3.37</x:v>
      </x:c>
      <x:c r="I1614" s="18" t="n">
        <x:v>9.27</x:v>
      </x:c>
      <x:c r="J1614" t="n">
        <x:f>IF(A1614=A1613,IFERROR(IF(B1614=EDATE(B1613,1),C1613,0),0),0)</x:f>
        <x:v>1</x:v>
      </x:c>
      <x:c r="K1614" t="n">
        <x:f>IF(AND(J1614=1,C1614=0),1,0)</x:f>
        <x:v>0</x:v>
      </x:c>
      <x:c r="L1614" t="str">
        <x:f>IFERROR(INDEX(Customers!$C$2:$C$451,MATCH(A1614,Customers!$A$2:$A$451,0)),"Unknown")</x:f>
        <x:v>Standard</x:v>
      </x:c>
    </x:row>
    <x:row r="1615">
      <x:c r="A1615" t="n">
        <x:v>295</x:v>
      </x:c>
      <x:c r="B1615" s="16" t="n">
        <x:v>46266</x:v>
      </x:c>
      <x:c r="C1615" t="n">
        <x:v>1</x:v>
      </x:c>
      <x:c r="D1615" t="n">
        <x:v>10</x:v>
      </x:c>
      <x:c r="E1615" s="18" t="n">
        <x:v>416.89</x:v>
      </x:c>
      <x:c r="F1615" s="18" t="n">
        <x:v>0</x:v>
      </x:c>
      <x:c r="G1615" s="18" t="n">
        <x:v>1.88</x:v>
      </x:c>
      <x:c r="H1615" s="18" t="n">
        <x:v>0.75</x:v>
      </x:c>
      <x:c r="I1615" s="18" t="n">
        <x:v>2.63</x:v>
      </x:c>
      <x:c r="J1615" t="n">
        <x:f>IF(A1615=A1614,IFERROR(IF(B1615=EDATE(B1614,1),C1614,0),0),0)</x:f>
        <x:v>1</x:v>
      </x:c>
      <x:c r="K1615" t="n">
        <x:f>IF(AND(J1615=1,C1615=0),1,0)</x:f>
        <x:v>0</x:v>
      </x:c>
      <x:c r="L1615" t="str">
        <x:f>IFERROR(INDEX(Customers!$C$2:$C$451,MATCH(A1615,Customers!$A$2:$A$451,0)),"Unknown")</x:f>
        <x:v>Standard</x:v>
      </x:c>
    </x:row>
    <x:row r="1616">
      <x:c r="A1616" t="n">
        <x:v>296</x:v>
      </x:c>
      <x:c r="B1616" s="16" t="n">
        <x:v>46113</x:v>
      </x:c>
      <x:c r="C1616" t="n">
        <x:v>1</x:v>
      </x:c>
      <x:c r="D1616" t="n">
        <x:v>23</x:v>
      </x:c>
      <x:c r="E1616" s="18" t="n">
        <x:v>1997.56</x:v>
      </x:c>
      <x:c r="F1616" s="18" t="n">
        <x:v>17</x:v>
      </x:c>
      <x:c r="G1616" s="18" t="n">
        <x:v>8.99</x:v>
      </x:c>
      <x:c r="H1616" s="18" t="n">
        <x:v>6.71</x:v>
      </x:c>
      <x:c r="I1616" s="18" t="n">
        <x:v>32.7</x:v>
      </x:c>
      <x:c r="J1616" t="n">
        <x:f>IF(A1616=A1615,IFERROR(IF(B1616=EDATE(B1615,1),C1615,0),0),0)</x:f>
        <x:v>0</x:v>
      </x:c>
      <x:c r="K1616" t="n">
        <x:f>IF(AND(J1616=1,C1616=0),1,0)</x:f>
        <x:v>0</x:v>
      </x:c>
      <x:c r="L1616" t="str">
        <x:f>IFERROR(INDEX(Customers!$C$2:$C$451,MATCH(A1616,Customers!$A$2:$A$451,0)),"Unknown")</x:f>
        <x:v>Premium</x:v>
      </x:c>
    </x:row>
    <x:row r="1617">
      <x:c r="A1617" t="n">
        <x:v>296</x:v>
      </x:c>
      <x:c r="B1617" s="16" t="n">
        <x:v>46143</x:v>
      </x:c>
      <x:c r="C1617" t="n">
        <x:v>1</x:v>
      </x:c>
      <x:c r="D1617" t="n">
        <x:v>25</x:v>
      </x:c>
      <x:c r="E1617" s="18" t="n">
        <x:v>2177.81</x:v>
      </x:c>
      <x:c r="F1617" s="18" t="n">
        <x:v>17</x:v>
      </x:c>
      <x:c r="G1617" s="18" t="n">
        <x:v>9.8</x:v>
      </x:c>
      <x:c r="H1617" s="18" t="n">
        <x:v>7.55</x:v>
      </x:c>
      <x:c r="I1617" s="18" t="n">
        <x:v>34.35</x:v>
      </x:c>
      <x:c r="J1617" t="n">
        <x:f>IF(A1617=A1616,IFERROR(IF(B1617=EDATE(B1616,1),C1616,0),0),0)</x:f>
        <x:v>1</x:v>
      </x:c>
      <x:c r="K1617" t="n">
        <x:f>IF(AND(J1617=1,C1617=0),1,0)</x:f>
        <x:v>0</x:v>
      </x:c>
      <x:c r="L1617" t="str">
        <x:f>IFERROR(INDEX(Customers!$C$2:$C$451,MATCH(A1617,Customers!$A$2:$A$451,0)),"Unknown")</x:f>
        <x:v>Premium</x:v>
      </x:c>
    </x:row>
    <x:row r="1618">
      <x:c r="A1618" t="n">
        <x:v>296</x:v>
      </x:c>
      <x:c r="B1618" s="16" t="n">
        <x:v>46174</x:v>
      </x:c>
      <x:c r="C1618" t="n">
        <x:v>1</x:v>
      </x:c>
      <x:c r="D1618" t="n">
        <x:v>30</x:v>
      </x:c>
      <x:c r="E1618" s="18" t="n">
        <x:v>2693.33</x:v>
      </x:c>
      <x:c r="F1618" s="18" t="n">
        <x:v>17</x:v>
      </x:c>
      <x:c r="G1618" s="18" t="n">
        <x:v>12.12</x:v>
      </x:c>
      <x:c r="H1618" s="18" t="n">
        <x:v>8.05</x:v>
      </x:c>
      <x:c r="I1618" s="18" t="n">
        <x:v>37.17</x:v>
      </x:c>
      <x:c r="J1618" t="n">
        <x:f>IF(A1618=A1617,IFERROR(IF(B1618=EDATE(B1617,1),C1617,0),0),0)</x:f>
        <x:v>1</x:v>
      </x:c>
      <x:c r="K1618" t="n">
        <x:f>IF(AND(J1618=1,C1618=0),1,0)</x:f>
        <x:v>0</x:v>
      </x:c>
      <x:c r="L1618" t="str">
        <x:f>IFERROR(INDEX(Customers!$C$2:$C$451,MATCH(A1618,Customers!$A$2:$A$451,0)),"Unknown")</x:f>
        <x:v>Premium</x:v>
      </x:c>
    </x:row>
    <x:row r="1619">
      <x:c r="A1619" t="n">
        <x:v>296</x:v>
      </x:c>
      <x:c r="B1619" s="16" t="n">
        <x:v>46204</x:v>
      </x:c>
      <x:c r="C1619" t="n">
        <x:v>1</x:v>
      </x:c>
      <x:c r="D1619" t="n">
        <x:v>11</x:v>
      </x:c>
      <x:c r="E1619" s="18" t="n">
        <x:v>567.86</x:v>
      </x:c>
      <x:c r="F1619" s="18" t="n">
        <x:v>17</x:v>
      </x:c>
      <x:c r="G1619" s="18" t="n">
        <x:v>2.56</x:v>
      </x:c>
      <x:c r="H1619" s="18" t="n">
        <x:v>1.62</x:v>
      </x:c>
      <x:c r="I1619" s="18" t="n">
        <x:v>21.18</x:v>
      </x:c>
      <x:c r="J1619" t="n">
        <x:f>IF(A1619=A1618,IFERROR(IF(B1619=EDATE(B1618,1),C1618,0),0),0)</x:f>
        <x:v>1</x:v>
      </x:c>
      <x:c r="K1619" t="n">
        <x:f>IF(AND(J1619=1,C1619=0),1,0)</x:f>
        <x:v>0</x:v>
      </x:c>
      <x:c r="L1619" t="str">
        <x:f>IFERROR(INDEX(Customers!$C$2:$C$451,MATCH(A1619,Customers!$A$2:$A$451,0)),"Unknown")</x:f>
        <x:v>Premium</x:v>
      </x:c>
    </x:row>
    <x:row r="1620">
      <x:c r="A1620" t="n">
        <x:v>296</x:v>
      </x:c>
      <x:c r="B1620" s="16" t="n">
        <x:v>46235</x:v>
      </x:c>
      <x:c r="C1620" t="n">
        <x:v>1</x:v>
      </x:c>
      <x:c r="D1620" t="n">
        <x:v>23</x:v>
      </x:c>
      <x:c r="E1620" s="18" t="n">
        <x:v>1629.53</x:v>
      </x:c>
      <x:c r="F1620" s="18" t="n">
        <x:v>17</x:v>
      </x:c>
      <x:c r="G1620" s="18" t="n">
        <x:v>7.33</x:v>
      </x:c>
      <x:c r="H1620" s="18" t="n">
        <x:v>4.28</x:v>
      </x:c>
      <x:c r="I1620" s="18" t="n">
        <x:v>28.61</x:v>
      </x:c>
      <x:c r="J1620" t="n">
        <x:f>IF(A1620=A1619,IFERROR(IF(B1620=EDATE(B1619,1),C1619,0),0),0)</x:f>
        <x:v>1</x:v>
      </x:c>
      <x:c r="K1620" t="n">
        <x:f>IF(AND(J1620=1,C1620=0),1,0)</x:f>
        <x:v>0</x:v>
      </x:c>
      <x:c r="L1620" t="str">
        <x:f>IFERROR(INDEX(Customers!$C$2:$C$451,MATCH(A1620,Customers!$A$2:$A$451,0)),"Unknown")</x:f>
        <x:v>Premium</x:v>
      </x:c>
    </x:row>
    <x:row r="1621">
      <x:c r="A1621" t="n">
        <x:v>296</x:v>
      </x:c>
      <x:c r="B1621" s="16" t="n">
        <x:v>46266</x:v>
      </x:c>
      <x:c r="C1621" t="n">
        <x:v>1</x:v>
      </x:c>
      <x:c r="D1621" t="n">
        <x:v>19</x:v>
      </x:c>
      <x:c r="E1621" s="18" t="n">
        <x:v>2547.29</x:v>
      </x:c>
      <x:c r="F1621" s="18" t="n">
        <x:v>17</x:v>
      </x:c>
      <x:c r="G1621" s="18" t="n">
        <x:v>11.46</x:v>
      </x:c>
      <x:c r="H1621" s="18" t="n">
        <x:v>9.57</x:v>
      </x:c>
      <x:c r="I1621" s="18" t="n">
        <x:v>38.03</x:v>
      </x:c>
      <x:c r="J1621" t="n">
        <x:f>IF(A1621=A1620,IFERROR(IF(B1621=EDATE(B1620,1),C1620,0),0),0)</x:f>
        <x:v>1</x:v>
      </x:c>
      <x:c r="K1621" t="n">
        <x:f>IF(AND(J1621=1,C1621=0),1,0)</x:f>
        <x:v>0</x:v>
      </x:c>
      <x:c r="L1621" t="str">
        <x:f>IFERROR(INDEX(Customers!$C$2:$C$451,MATCH(A1621,Customers!$A$2:$A$451,0)),"Unknown")</x:f>
        <x:v>Premium</x:v>
      </x:c>
    </x:row>
    <x:row r="1622">
      <x:c r="A1622" t="n">
        <x:v>297</x:v>
      </x:c>
      <x:c r="B1622" s="16" t="n">
        <x:v>46143</x:v>
      </x:c>
      <x:c r="C1622" t="n">
        <x:v>0</x:v>
      </x:c>
      <x:c r="D1622" t="n">
        <x:v>0</x:v>
      </x:c>
      <x:c r="E1622" s="18" t="n">
        <x:v>0</x:v>
      </x:c>
      <x:c r="F1622" s="18" t="n">
        <x:v>0</x:v>
      </x:c>
      <x:c r="G1622" s="18" t="n">
        <x:v>0</x:v>
      </x:c>
      <x:c r="H1622" s="18" t="n">
        <x:v>0</x:v>
      </x:c>
      <x:c r="I1622" s="18" t="n">
        <x:v>0</x:v>
      </x:c>
      <x:c r="J1622" t="n">
        <x:f>IF(A1622=A1621,IFERROR(IF(B1622=EDATE(B1621,1),C1621,0),0),0)</x:f>
        <x:v>0</x:v>
      </x:c>
      <x:c r="K1622" t="n">
        <x:f>IF(AND(J1622=1,C1622=0),1,0)</x:f>
        <x:v>0</x:v>
      </x:c>
      <x:c r="L1622" t="str">
        <x:f>IFERROR(INDEX(Customers!$C$2:$C$451,MATCH(A1622,Customers!$A$2:$A$451,0)),"Unknown")</x:f>
        <x:v>Plus</x:v>
      </x:c>
    </x:row>
    <x:row r="1623">
      <x:c r="A1623" t="n">
        <x:v>297</x:v>
      </x:c>
      <x:c r="B1623" s="16" t="n">
        <x:v>46174</x:v>
      </x:c>
      <x:c r="C1623" t="n">
        <x:v>1</x:v>
      </x:c>
      <x:c r="D1623" t="n">
        <x:v>18</x:v>
      </x:c>
      <x:c r="E1623" s="18" t="n">
        <x:v>1121.59</x:v>
      </x:c>
      <x:c r="F1623" s="18" t="n">
        <x:v>8</x:v>
      </x:c>
      <x:c r="G1623" s="18" t="n">
        <x:v>5.05</x:v>
      </x:c>
      <x:c r="H1623" s="18" t="n">
        <x:v>1.84</x:v>
      </x:c>
      <x:c r="I1623" s="18" t="n">
        <x:v>14.89</x:v>
      </x:c>
      <x:c r="J1623" t="n">
        <x:f>IF(A1623=A1622,IFERROR(IF(B1623=EDATE(B1622,1),C1622,0),0),0)</x:f>
        <x:v>0</x:v>
      </x:c>
      <x:c r="K1623" t="n">
        <x:f>IF(AND(J1623=1,C1623=0),1,0)</x:f>
        <x:v>0</x:v>
      </x:c>
      <x:c r="L1623" t="str">
        <x:f>IFERROR(INDEX(Customers!$C$2:$C$451,MATCH(A1623,Customers!$A$2:$A$451,0)),"Unknown")</x:f>
        <x:v>Plus</x:v>
      </x:c>
    </x:row>
    <x:row r="1624">
      <x:c r="A1624" t="n">
        <x:v>297</x:v>
      </x:c>
      <x:c r="B1624" s="16" t="n">
        <x:v>46204</x:v>
      </x:c>
      <x:c r="C1624" t="n">
        <x:v>1</x:v>
      </x:c>
      <x:c r="D1624" t="n">
        <x:v>11</x:v>
      </x:c>
      <x:c r="E1624" s="18" t="n">
        <x:v>786.65</x:v>
      </x:c>
      <x:c r="F1624" s="18" t="n">
        <x:v>8</x:v>
      </x:c>
      <x:c r="G1624" s="18" t="n">
        <x:v>3.54</x:v>
      </x:c>
      <x:c r="H1624" s="18" t="n">
        <x:v>1.05</x:v>
      </x:c>
      <x:c r="I1624" s="18" t="n">
        <x:v>12.59</x:v>
      </x:c>
      <x:c r="J1624" t="n">
        <x:f>IF(A1624=A1623,IFERROR(IF(B1624=EDATE(B1623,1),C1623,0),0),0)</x:f>
        <x:v>1</x:v>
      </x:c>
      <x:c r="K1624" t="n">
        <x:f>IF(AND(J1624=1,C1624=0),1,0)</x:f>
        <x:v>0</x:v>
      </x:c>
      <x:c r="L1624" t="str">
        <x:f>IFERROR(INDEX(Customers!$C$2:$C$451,MATCH(A1624,Customers!$A$2:$A$451,0)),"Unknown")</x:f>
        <x:v>Plus</x:v>
      </x:c>
    </x:row>
    <x:row r="1625">
      <x:c r="A1625" t="n">
        <x:v>297</x:v>
      </x:c>
      <x:c r="B1625" s="16" t="n">
        <x:v>46235</x:v>
      </x:c>
      <x:c r="C1625" t="n">
        <x:v>1</x:v>
      </x:c>
      <x:c r="D1625" t="n">
        <x:v>35</x:v>
      </x:c>
      <x:c r="E1625" s="18" t="n">
        <x:v>3884.84</x:v>
      </x:c>
      <x:c r="F1625" s="18" t="n">
        <x:v>8</x:v>
      </x:c>
      <x:c r="G1625" s="18" t="n">
        <x:v>17.48</x:v>
      </x:c>
      <x:c r="H1625" s="18" t="n">
        <x:v>3.13</x:v>
      </x:c>
      <x:c r="I1625" s="18" t="n">
        <x:v>28.61</x:v>
      </x:c>
      <x:c r="J1625" t="n">
        <x:f>IF(A1625=A1624,IFERROR(IF(B1625=EDATE(B1624,1),C1624,0),0),0)</x:f>
        <x:v>1</x:v>
      </x:c>
      <x:c r="K1625" t="n">
        <x:f>IF(AND(J1625=1,C1625=0),1,0)</x:f>
        <x:v>0</x:v>
      </x:c>
      <x:c r="L1625" t="str">
        <x:f>IFERROR(INDEX(Customers!$C$2:$C$451,MATCH(A1625,Customers!$A$2:$A$451,0)),"Unknown")</x:f>
        <x:v>Plus</x:v>
      </x:c>
    </x:row>
    <x:row r="1626">
      <x:c r="A1626" t="n">
        <x:v>297</x:v>
      </x:c>
      <x:c r="B1626" s="16" t="n">
        <x:v>46266</x:v>
      </x:c>
      <x:c r="C1626" t="n">
        <x:v>1</x:v>
      </x:c>
      <x:c r="D1626" t="n">
        <x:v>30</x:v>
      </x:c>
      <x:c r="E1626" s="18" t="n">
        <x:v>1246.5</x:v>
      </x:c>
      <x:c r="F1626" s="18" t="n">
        <x:v>8</x:v>
      </x:c>
      <x:c r="G1626" s="18" t="n">
        <x:v>5.61</x:v>
      </x:c>
      <x:c r="H1626" s="18" t="n">
        <x:v>4.3</x:v>
      </x:c>
      <x:c r="I1626" s="18" t="n">
        <x:v>17.91</x:v>
      </x:c>
      <x:c r="J1626" t="n">
        <x:f>IF(A1626=A1625,IFERROR(IF(B1626=EDATE(B1625,1),C1625,0),0),0)</x:f>
        <x:v>1</x:v>
      </x:c>
      <x:c r="K1626" t="n">
        <x:f>IF(AND(J1626=1,C1626=0),1,0)</x:f>
        <x:v>0</x:v>
      </x:c>
      <x:c r="L1626" t="str">
        <x:f>IFERROR(INDEX(Customers!$C$2:$C$451,MATCH(A1626,Customers!$A$2:$A$451,0)),"Unknown")</x:f>
        <x:v>Plus</x:v>
      </x:c>
    </x:row>
    <x:row r="1627">
      <x:c r="A1627" t="n">
        <x:v>298</x:v>
      </x:c>
      <x:c r="B1627" s="16" t="n">
        <x:v>46113</x:v>
      </x:c>
      <x:c r="C1627" t="n">
        <x:v>1</x:v>
      </x:c>
      <x:c r="D1627" t="n">
        <x:v>32</x:v>
      </x:c>
      <x:c r="E1627" s="18" t="n">
        <x:v>3440.34</x:v>
      </x:c>
      <x:c r="F1627" s="18" t="n">
        <x:v>34</x:v>
      </x:c>
      <x:c r="G1627" s="18" t="n">
        <x:v>15.48</x:v>
      </x:c>
      <x:c r="H1627" s="18" t="n">
        <x:v>5.42</x:v>
      </x:c>
      <x:c r="I1627" s="18" t="n">
        <x:v>54.9</x:v>
      </x:c>
      <x:c r="J1627" t="n">
        <x:f>IF(A1627=A1626,IFERROR(IF(B1627=EDATE(B1626,1),C1626,0),0),0)</x:f>
        <x:v>0</x:v>
      </x:c>
      <x:c r="K1627" t="n">
        <x:f>IF(AND(J1627=1,C1627=0),1,0)</x:f>
        <x:v>0</x:v>
      </x:c>
      <x:c r="L1627" t="str">
        <x:f>IFERROR(INDEX(Customers!$C$2:$C$451,MATCH(A1627,Customers!$A$2:$A$451,0)),"Unknown")</x:f>
        <x:v>Metal</x:v>
      </x:c>
    </x:row>
    <x:row r="1628">
      <x:c r="A1628" t="n">
        <x:v>298</x:v>
      </x:c>
      <x:c r="B1628" s="16" t="n">
        <x:v>46143</x:v>
      </x:c>
      <x:c r="C1628" t="n">
        <x:v>1</x:v>
      </x:c>
      <x:c r="D1628" t="n">
        <x:v>19</x:v>
      </x:c>
      <x:c r="E1628" s="18" t="n">
        <x:v>2049.61</x:v>
      </x:c>
      <x:c r="F1628" s="18" t="n">
        <x:v>34</x:v>
      </x:c>
      <x:c r="G1628" s="18" t="n">
        <x:v>9.22</x:v>
      </x:c>
      <x:c r="H1628" s="18" t="n">
        <x:v>4.16</x:v>
      </x:c>
      <x:c r="I1628" s="18" t="n">
        <x:v>47.38</x:v>
      </x:c>
      <x:c r="J1628" t="n">
        <x:f>IF(A1628=A1627,IFERROR(IF(B1628=EDATE(B1627,1),C1627,0),0),0)</x:f>
        <x:v>1</x:v>
      </x:c>
      <x:c r="K1628" t="n">
        <x:f>IF(AND(J1628=1,C1628=0),1,0)</x:f>
        <x:v>0</x:v>
      </x:c>
      <x:c r="L1628" t="str">
        <x:f>IFERROR(INDEX(Customers!$C$2:$C$451,MATCH(A1628,Customers!$A$2:$A$451,0)),"Unknown")</x:f>
        <x:v>Metal</x:v>
      </x:c>
    </x:row>
    <x:row r="1629">
      <x:c r="A1629" t="n">
        <x:v>298</x:v>
      </x:c>
      <x:c r="B1629" s="16" t="n">
        <x:v>46174</x:v>
      </x:c>
      <x:c r="C1629" t="n">
        <x:v>1</x:v>
      </x:c>
      <x:c r="D1629" t="n">
        <x:v>31</x:v>
      </x:c>
      <x:c r="E1629" s="18" t="n">
        <x:v>2443.18</x:v>
      </x:c>
      <x:c r="F1629" s="18" t="n">
        <x:v>34</x:v>
      </x:c>
      <x:c r="G1629" s="18" t="n">
        <x:v>10.99</x:v>
      </x:c>
      <x:c r="H1629" s="18" t="n">
        <x:v>2.35</x:v>
      </x:c>
      <x:c r="I1629" s="18" t="n">
        <x:v>47.34</x:v>
      </x:c>
      <x:c r="J1629" t="n">
        <x:f>IF(A1629=A1628,IFERROR(IF(B1629=EDATE(B1628,1),C1628,0),0),0)</x:f>
        <x:v>1</x:v>
      </x:c>
      <x:c r="K1629" t="n">
        <x:f>IF(AND(J1629=1,C1629=0),1,0)</x:f>
        <x:v>0</x:v>
      </x:c>
      <x:c r="L1629" t="str">
        <x:f>IFERROR(INDEX(Customers!$C$2:$C$451,MATCH(A1629,Customers!$A$2:$A$451,0)),"Unknown")</x:f>
        <x:v>Metal</x:v>
      </x:c>
    </x:row>
    <x:row r="1630">
      <x:c r="A1630" t="n">
        <x:v>298</x:v>
      </x:c>
      <x:c r="B1630" s="16" t="n">
        <x:v>46204</x:v>
      </x:c>
      <x:c r="C1630" t="n">
        <x:v>1</x:v>
      </x:c>
      <x:c r="D1630" t="n">
        <x:v>25</x:v>
      </x:c>
      <x:c r="E1630" s="18" t="n">
        <x:v>1969.39</x:v>
      </x:c>
      <x:c r="F1630" s="18" t="n">
        <x:v>34</x:v>
      </x:c>
      <x:c r="G1630" s="18" t="n">
        <x:v>8.86</x:v>
      </x:c>
      <x:c r="H1630" s="18" t="n">
        <x:v>2.24</x:v>
      </x:c>
      <x:c r="I1630" s="18" t="n">
        <x:v>45.1</x:v>
      </x:c>
      <x:c r="J1630" t="n">
        <x:f>IF(A1630=A1629,IFERROR(IF(B1630=EDATE(B1629,1),C1629,0),0),0)</x:f>
        <x:v>1</x:v>
      </x:c>
      <x:c r="K1630" t="n">
        <x:f>IF(AND(J1630=1,C1630=0),1,0)</x:f>
        <x:v>0</x:v>
      </x:c>
      <x:c r="L1630" t="str">
        <x:f>IFERROR(INDEX(Customers!$C$2:$C$451,MATCH(A1630,Customers!$A$2:$A$451,0)),"Unknown")</x:f>
        <x:v>Metal</x:v>
      </x:c>
    </x:row>
    <x:row r="1631">
      <x:c r="A1631" t="n">
        <x:v>298</x:v>
      </x:c>
      <x:c r="B1631" s="16" t="n">
        <x:v>46235</x:v>
      </x:c>
      <x:c r="C1631" t="n">
        <x:v>1</x:v>
      </x:c>
      <x:c r="D1631" t="n">
        <x:v>28</x:v>
      </x:c>
      <x:c r="E1631" s="18" t="n">
        <x:v>3178.7</x:v>
      </x:c>
      <x:c r="F1631" s="18" t="n">
        <x:v>34</x:v>
      </x:c>
      <x:c r="G1631" s="18" t="n">
        <x:v>14.3</x:v>
      </x:c>
      <x:c r="H1631" s="18" t="n">
        <x:v>4.6</x:v>
      </x:c>
      <x:c r="I1631" s="18" t="n">
        <x:v>52.9</x:v>
      </x:c>
      <x:c r="J1631" t="n">
        <x:f>IF(A1631=A1630,IFERROR(IF(B1631=EDATE(B1630,1),C1630,0),0),0)</x:f>
        <x:v>1</x:v>
      </x:c>
      <x:c r="K1631" t="n">
        <x:f>IF(AND(J1631=1,C1631=0),1,0)</x:f>
        <x:v>0</x:v>
      </x:c>
      <x:c r="L1631" t="str">
        <x:f>IFERROR(INDEX(Customers!$C$2:$C$451,MATCH(A1631,Customers!$A$2:$A$451,0)),"Unknown")</x:f>
        <x:v>Metal</x:v>
      </x:c>
    </x:row>
    <x:row r="1632">
      <x:c r="A1632" t="n">
        <x:v>298</x:v>
      </x:c>
      <x:c r="B1632" s="16" t="n">
        <x:v>46266</x:v>
      </x:c>
      <x:c r="C1632" t="n">
        <x:v>1</x:v>
      </x:c>
      <x:c r="D1632" t="n">
        <x:v>8</x:v>
      </x:c>
      <x:c r="E1632" s="18" t="n">
        <x:v>640.1</x:v>
      </x:c>
      <x:c r="F1632" s="18" t="n">
        <x:v>34</x:v>
      </x:c>
      <x:c r="G1632" s="18" t="n">
        <x:v>2.88</x:v>
      </x:c>
      <x:c r="H1632" s="18" t="n">
        <x:v>1.48</x:v>
      </x:c>
      <x:c r="I1632" s="18" t="n">
        <x:v>38.36</x:v>
      </x:c>
      <x:c r="J1632" t="n">
        <x:f>IF(A1632=A1631,IFERROR(IF(B1632=EDATE(B1631,1),C1631,0),0),0)</x:f>
        <x:v>1</x:v>
      </x:c>
      <x:c r="K1632" t="n">
        <x:f>IF(AND(J1632=1,C1632=0),1,0)</x:f>
        <x:v>0</x:v>
      </x:c>
      <x:c r="L1632" t="str">
        <x:f>IFERROR(INDEX(Customers!$C$2:$C$451,MATCH(A1632,Customers!$A$2:$A$451,0)),"Unknown")</x:f>
        <x:v>Metal</x:v>
      </x:c>
    </x:row>
    <x:row r="1633">
      <x:c r="A1633" t="n">
        <x:v>299</x:v>
      </x:c>
      <x:c r="B1633" s="16" t="n">
        <x:v>46143</x:v>
      </x:c>
      <x:c r="C1633" t="n">
        <x:v>1</x:v>
      </x:c>
      <x:c r="D1633" t="n">
        <x:v>27</x:v>
      </x:c>
      <x:c r="E1633" s="18" t="n">
        <x:v>2137.75</x:v>
      </x:c>
      <x:c r="F1633" s="18" t="n">
        <x:v>0</x:v>
      </x:c>
      <x:c r="G1633" s="18" t="n">
        <x:v>9.62</x:v>
      </x:c>
      <x:c r="H1633" s="18" t="n">
        <x:v>4.92</x:v>
      </x:c>
      <x:c r="I1633" s="18" t="n">
        <x:v>14.54</x:v>
      </x:c>
      <x:c r="J1633" t="n">
        <x:f>IF(A1633=A1632,IFERROR(IF(B1633=EDATE(B1632,1),C1632,0),0),0)</x:f>
        <x:v>0</x:v>
      </x:c>
      <x:c r="K1633" t="n">
        <x:f>IF(AND(J1633=1,C1633=0),1,0)</x:f>
        <x:v>0</x:v>
      </x:c>
      <x:c r="L1633" t="str">
        <x:f>IFERROR(INDEX(Customers!$C$2:$C$451,MATCH(A1633,Customers!$A$2:$A$451,0)),"Unknown")</x:f>
        <x:v>Standard</x:v>
      </x:c>
    </x:row>
    <x:row r="1634">
      <x:c r="A1634" t="n">
        <x:v>299</x:v>
      </x:c>
      <x:c r="B1634" s="16" t="n">
        <x:v>46174</x:v>
      </x:c>
      <x:c r="C1634" t="n">
        <x:v>0</x:v>
      </x:c>
      <x:c r="D1634" t="n">
        <x:v>0</x:v>
      </x:c>
      <x:c r="E1634" s="18" t="n">
        <x:v>0</x:v>
      </x:c>
      <x:c r="F1634" s="18" t="n">
        <x:v>0</x:v>
      </x:c>
      <x:c r="G1634" s="18" t="n">
        <x:v>0</x:v>
      </x:c>
      <x:c r="H1634" s="18" t="n">
        <x:v>0</x:v>
      </x:c>
      <x:c r="I1634" s="18" t="n">
        <x:v>0</x:v>
      </x:c>
      <x:c r="J1634" t="n">
        <x:f>IF(A1634=A1633,IFERROR(IF(B1634=EDATE(B1633,1),C1633,0),0),0)</x:f>
        <x:v>1</x:v>
      </x:c>
      <x:c r="K1634" t="n">
        <x:f>IF(AND(J1634=1,C1634=0),1,0)</x:f>
        <x:v>1</x:v>
      </x:c>
      <x:c r="L1634" t="str">
        <x:f>IFERROR(INDEX(Customers!$C$2:$C$451,MATCH(A1634,Customers!$A$2:$A$451,0)),"Unknown")</x:f>
        <x:v>Standard</x:v>
      </x:c>
    </x:row>
    <x:row r="1635">
      <x:c r="A1635" t="n">
        <x:v>299</x:v>
      </x:c>
      <x:c r="B1635" s="16" t="n">
        <x:v>46204</x:v>
      </x:c>
      <x:c r="C1635" t="n">
        <x:v>1</x:v>
      </x:c>
      <x:c r="D1635" t="n">
        <x:v>32</x:v>
      </x:c>
      <x:c r="E1635" s="18" t="n">
        <x:v>3620.01</x:v>
      </x:c>
      <x:c r="F1635" s="18" t="n">
        <x:v>0</x:v>
      </x:c>
      <x:c r="G1635" s="18" t="n">
        <x:v>16.29</x:v>
      </x:c>
      <x:c r="H1635" s="18" t="n">
        <x:v>4.04</x:v>
      </x:c>
      <x:c r="I1635" s="18" t="n">
        <x:v>20.33</x:v>
      </x:c>
      <x:c r="J1635" t="n">
        <x:f>IF(A1635=A1634,IFERROR(IF(B1635=EDATE(B1634,1),C1634,0),0),0)</x:f>
        <x:v>0</x:v>
      </x:c>
      <x:c r="K1635" t="n">
        <x:f>IF(AND(J1635=1,C1635=0),1,0)</x:f>
        <x:v>0</x:v>
      </x:c>
      <x:c r="L1635" t="str">
        <x:f>IFERROR(INDEX(Customers!$C$2:$C$451,MATCH(A1635,Customers!$A$2:$A$451,0)),"Unknown")</x:f>
        <x:v>Standard</x:v>
      </x:c>
    </x:row>
    <x:row r="1636">
      <x:c r="A1636" t="n">
        <x:v>299</x:v>
      </x:c>
      <x:c r="B1636" s="16" t="n">
        <x:v>46235</x:v>
      </x:c>
      <x:c r="C1636" t="n">
        <x:v>1</x:v>
      </x:c>
      <x:c r="D1636" t="n">
        <x:v>12</x:v>
      </x:c>
      <x:c r="E1636" s="18" t="n">
        <x:v>1023.94</x:v>
      </x:c>
      <x:c r="F1636" s="18" t="n">
        <x:v>0</x:v>
      </x:c>
      <x:c r="G1636" s="18" t="n">
        <x:v>4.61</x:v>
      </x:c>
      <x:c r="H1636" s="18" t="n">
        <x:v>1.71</x:v>
      </x:c>
      <x:c r="I1636" s="18" t="n">
        <x:v>6.32</x:v>
      </x:c>
      <x:c r="J1636" t="n">
        <x:f>IF(A1636=A1635,IFERROR(IF(B1636=EDATE(B1635,1),C1635,0),0),0)</x:f>
        <x:v>1</x:v>
      </x:c>
      <x:c r="K1636" t="n">
        <x:f>IF(AND(J1636=1,C1636=0),1,0)</x:f>
        <x:v>0</x:v>
      </x:c>
      <x:c r="L1636" t="str">
        <x:f>IFERROR(INDEX(Customers!$C$2:$C$451,MATCH(A1636,Customers!$A$2:$A$451,0)),"Unknown")</x:f>
        <x:v>Standard</x:v>
      </x:c>
    </x:row>
    <x:row r="1637">
      <x:c r="A1637" t="n">
        <x:v>299</x:v>
      </x:c>
      <x:c r="B1637" s="16" t="n">
        <x:v>46266</x:v>
      </x:c>
      <x:c r="C1637" t="n">
        <x:v>1</x:v>
      </x:c>
      <x:c r="D1637" t="n">
        <x:v>10</x:v>
      </x:c>
      <x:c r="E1637" s="18" t="n">
        <x:v>1147.44</x:v>
      </x:c>
      <x:c r="F1637" s="18" t="n">
        <x:v>0</x:v>
      </x:c>
      <x:c r="G1637" s="18" t="n">
        <x:v>5.16</x:v>
      </x:c>
      <x:c r="H1637" s="18" t="n">
        <x:v>3.58</x:v>
      </x:c>
      <x:c r="I1637" s="18" t="n">
        <x:v>8.74</x:v>
      </x:c>
      <x:c r="J1637" t="n">
        <x:f>IF(A1637=A1636,IFERROR(IF(B1637=EDATE(B1636,1),C1636,0),0),0)</x:f>
        <x:v>1</x:v>
      </x:c>
      <x:c r="K1637" t="n">
        <x:f>IF(AND(J1637=1,C1637=0),1,0)</x:f>
        <x:v>0</x:v>
      </x:c>
      <x:c r="L1637" t="str">
        <x:f>IFERROR(INDEX(Customers!$C$2:$C$451,MATCH(A1637,Customers!$A$2:$A$451,0)),"Unknown")</x:f>
        <x:v>Standard</x:v>
      </x:c>
    </x:row>
    <x:row r="1638">
      <x:c r="A1638" t="n">
        <x:v>300</x:v>
      </x:c>
      <x:c r="B1638" s="16" t="n">
        <x:v>46143</x:v>
      </x:c>
      <x:c r="C1638" t="n">
        <x:v>1</x:v>
      </x:c>
      <x:c r="D1638" t="n">
        <x:v>20</x:v>
      </x:c>
      <x:c r="E1638" s="18" t="n">
        <x:v>1809.44</x:v>
      </x:c>
      <x:c r="F1638" s="18" t="n">
        <x:v>0</x:v>
      </x:c>
      <x:c r="G1638" s="18" t="n">
        <x:v>8.14</x:v>
      </x:c>
      <x:c r="H1638" s="18" t="n">
        <x:v>2.53</x:v>
      </x:c>
      <x:c r="I1638" s="18" t="n">
        <x:v>10.67</x:v>
      </x:c>
      <x:c r="J1638" t="n">
        <x:f>IF(A1638=A1637,IFERROR(IF(B1638=EDATE(B1637,1),C1637,0),0),0)</x:f>
        <x:v>0</x:v>
      </x:c>
      <x:c r="K1638" t="n">
        <x:f>IF(AND(J1638=1,C1638=0),1,0)</x:f>
        <x:v>0</x:v>
      </x:c>
      <x:c r="L1638" t="str">
        <x:f>IFERROR(INDEX(Customers!$C$2:$C$451,MATCH(A1638,Customers!$A$2:$A$451,0)),"Unknown")</x:f>
        <x:v>Standard</x:v>
      </x:c>
    </x:row>
    <x:row r="1639">
      <x:c r="A1639" t="n">
        <x:v>300</x:v>
      </x:c>
      <x:c r="B1639" s="16" t="n">
        <x:v>46174</x:v>
      </x:c>
      <x:c r="C1639" t="n">
        <x:v>1</x:v>
      </x:c>
      <x:c r="D1639" t="n">
        <x:v>4</x:v>
      </x:c>
      <x:c r="E1639" s="18" t="n">
        <x:v>484.41</x:v>
      </x:c>
      <x:c r="F1639" s="18" t="n">
        <x:v>0</x:v>
      </x:c>
      <x:c r="G1639" s="18" t="n">
        <x:v>2.18</x:v>
      </x:c>
      <x:c r="H1639" s="18" t="n">
        <x:v>0.63</x:v>
      </x:c>
      <x:c r="I1639" s="18" t="n">
        <x:v>2.81</x:v>
      </x:c>
      <x:c r="J1639" t="n">
        <x:f>IF(A1639=A1638,IFERROR(IF(B1639=EDATE(B1638,1),C1638,0),0),0)</x:f>
        <x:v>1</x:v>
      </x:c>
      <x:c r="K1639" t="n">
        <x:f>IF(AND(J1639=1,C1639=0),1,0)</x:f>
        <x:v>0</x:v>
      </x:c>
      <x:c r="L1639" t="str">
        <x:f>IFERROR(INDEX(Customers!$C$2:$C$451,MATCH(A1639,Customers!$A$2:$A$451,0)),"Unknown")</x:f>
        <x:v>Standard</x:v>
      </x:c>
    </x:row>
    <x:row r="1640">
      <x:c r="A1640" t="n">
        <x:v>300</x:v>
      </x:c>
      <x:c r="B1640" s="16" t="n">
        <x:v>46204</x:v>
      </x:c>
      <x:c r="C1640" t="n">
        <x:v>0</x:v>
      </x:c>
      <x:c r="D1640" t="n">
        <x:v>0</x:v>
      </x:c>
      <x:c r="E1640" s="18" t="n">
        <x:v>0</x:v>
      </x:c>
      <x:c r="F1640" s="18" t="n">
        <x:v>0</x:v>
      </x:c>
      <x:c r="G1640" s="18" t="n">
        <x:v>0</x:v>
      </x:c>
      <x:c r="H1640" s="18" t="n">
        <x:v>0</x:v>
      </x:c>
      <x:c r="I1640" s="18" t="n">
        <x:v>0</x:v>
      </x:c>
      <x:c r="J1640" t="n">
        <x:f>IF(A1640=A1639,IFERROR(IF(B1640=EDATE(B1639,1),C1639,0),0),0)</x:f>
        <x:v>1</x:v>
      </x:c>
      <x:c r="K1640" t="n">
        <x:f>IF(AND(J1640=1,C1640=0),1,0)</x:f>
        <x:v>1</x:v>
      </x:c>
      <x:c r="L1640" t="str">
        <x:f>IFERROR(INDEX(Customers!$C$2:$C$451,MATCH(A1640,Customers!$A$2:$A$451,0)),"Unknown")</x:f>
        <x:v>Standard</x:v>
      </x:c>
    </x:row>
    <x:row r="1641">
      <x:c r="A1641" t="n">
        <x:v>300</x:v>
      </x:c>
      <x:c r="B1641" s="16" t="n">
        <x:v>46235</x:v>
      </x:c>
      <x:c r="C1641" t="n">
        <x:v>1</x:v>
      </x:c>
      <x:c r="D1641" t="n">
        <x:v>16</x:v>
      </x:c>
      <x:c r="E1641" s="18" t="n">
        <x:v>1799.65</x:v>
      </x:c>
      <x:c r="F1641" s="18" t="n">
        <x:v>0</x:v>
      </x:c>
      <x:c r="G1641" s="18" t="n">
        <x:v>8.1</x:v>
      </x:c>
      <x:c r="H1641" s="18" t="n">
        <x:v>3.29</x:v>
      </x:c>
      <x:c r="I1641" s="18" t="n">
        <x:v>11.39</x:v>
      </x:c>
      <x:c r="J1641" t="n">
        <x:f>IF(A1641=A1640,IFERROR(IF(B1641=EDATE(B1640,1),C1640,0),0),0)</x:f>
        <x:v>0</x:v>
      </x:c>
      <x:c r="K1641" t="n">
        <x:f>IF(AND(J1641=1,C1641=0),1,0)</x:f>
        <x:v>0</x:v>
      </x:c>
      <x:c r="L1641" t="str">
        <x:f>IFERROR(INDEX(Customers!$C$2:$C$451,MATCH(A1641,Customers!$A$2:$A$451,0)),"Unknown")</x:f>
        <x:v>Standard</x:v>
      </x:c>
    </x:row>
    <x:row r="1642">
      <x:c r="A1642" t="n">
        <x:v>300</x:v>
      </x:c>
      <x:c r="B1642" s="16" t="n">
        <x:v>46266</x:v>
      </x:c>
      <x:c r="C1642" t="n">
        <x:v>1</x:v>
      </x:c>
      <x:c r="D1642" t="n">
        <x:v>24</x:v>
      </x:c>
      <x:c r="E1642" s="18" t="n">
        <x:v>1312.69</x:v>
      </x:c>
      <x:c r="F1642" s="18" t="n">
        <x:v>0</x:v>
      </x:c>
      <x:c r="G1642" s="18" t="n">
        <x:v>5.91</x:v>
      </x:c>
      <x:c r="H1642" s="18" t="n">
        <x:v>1.41</x:v>
      </x:c>
      <x:c r="I1642" s="18" t="n">
        <x:v>7.32</x:v>
      </x:c>
      <x:c r="J1642" t="n">
        <x:f>IF(A1642=A1641,IFERROR(IF(B1642=EDATE(B1641,1),C1641,0),0),0)</x:f>
        <x:v>1</x:v>
      </x:c>
      <x:c r="K1642" t="n">
        <x:f>IF(AND(J1642=1,C1642=0),1,0)</x:f>
        <x:v>0</x:v>
      </x:c>
      <x:c r="L1642" t="str">
        <x:f>IFERROR(INDEX(Customers!$C$2:$C$451,MATCH(A1642,Customers!$A$2:$A$451,0)),"Unknown")</x:f>
        <x:v>Standard</x:v>
      </x:c>
    </x:row>
    <x:row r="1643">
      <x:c r="A1643" t="n">
        <x:v>301</x:v>
      </x:c>
      <x:c r="B1643" s="16" t="n">
        <x:v>46113</x:v>
      </x:c>
      <x:c r="C1643" t="n">
        <x:v>1</x:v>
      </x:c>
      <x:c r="D1643" t="n">
        <x:v>33</x:v>
      </x:c>
      <x:c r="E1643" s="18" t="n">
        <x:v>2219.06</x:v>
      </x:c>
      <x:c r="F1643" s="18" t="n">
        <x:v>0</x:v>
      </x:c>
      <x:c r="G1643" s="18" t="n">
        <x:v>9.99</x:v>
      </x:c>
      <x:c r="H1643" s="18" t="n">
        <x:v>7.1</x:v>
      </x:c>
      <x:c r="I1643" s="18" t="n">
        <x:v>17.09</x:v>
      </x:c>
      <x:c r="J1643" t="n">
        <x:f>IF(A1643=A1642,IFERROR(IF(B1643=EDATE(B1642,1),C1642,0),0),0)</x:f>
        <x:v>0</x:v>
      </x:c>
      <x:c r="K1643" t="n">
        <x:f>IF(AND(J1643=1,C1643=0),1,0)</x:f>
        <x:v>0</x:v>
      </x:c>
      <x:c r="L1643" t="str">
        <x:f>IFERROR(INDEX(Customers!$C$2:$C$451,MATCH(A1643,Customers!$A$2:$A$451,0)),"Unknown")</x:f>
        <x:v>Standard</x:v>
      </x:c>
    </x:row>
    <x:row r="1644">
      <x:c r="A1644" t="n">
        <x:v>301</x:v>
      </x:c>
      <x:c r="B1644" s="16" t="n">
        <x:v>46143</x:v>
      </x:c>
      <x:c r="C1644" t="n">
        <x:v>0</x:v>
      </x:c>
      <x:c r="D1644" t="n">
        <x:v>0</x:v>
      </x:c>
      <x:c r="E1644" s="18" t="n">
        <x:v>0</x:v>
      </x:c>
      <x:c r="F1644" s="18" t="n">
        <x:v>0</x:v>
      </x:c>
      <x:c r="G1644" s="18" t="n">
        <x:v>0</x:v>
      </x:c>
      <x:c r="H1644" s="18" t="n">
        <x:v>0</x:v>
      </x:c>
      <x:c r="I1644" s="18" t="n">
        <x:v>0</x:v>
      </x:c>
      <x:c r="J1644" t="n">
        <x:f>IF(A1644=A1643,IFERROR(IF(B1644=EDATE(B1643,1),C1643,0),0),0)</x:f>
        <x:v>1</x:v>
      </x:c>
      <x:c r="K1644" t="n">
        <x:f>IF(AND(J1644=1,C1644=0),1,0)</x:f>
        <x:v>1</x:v>
      </x:c>
      <x:c r="L1644" t="str">
        <x:f>IFERROR(INDEX(Customers!$C$2:$C$451,MATCH(A1644,Customers!$A$2:$A$451,0)),"Unknown")</x:f>
        <x:v>Standard</x:v>
      </x:c>
    </x:row>
    <x:row r="1645">
      <x:c r="A1645" t="n">
        <x:v>301</x:v>
      </x:c>
      <x:c r="B1645" s="16" t="n">
        <x:v>46174</x:v>
      </x:c>
      <x:c r="C1645" t="n">
        <x:v>1</x:v>
      </x:c>
      <x:c r="D1645" t="n">
        <x:v>14</x:v>
      </x:c>
      <x:c r="E1645" s="18" t="n">
        <x:v>1319.77</x:v>
      </x:c>
      <x:c r="F1645" s="18" t="n">
        <x:v>0</x:v>
      </x:c>
      <x:c r="G1645" s="18" t="n">
        <x:v>5.94</x:v>
      </x:c>
      <x:c r="H1645" s="18" t="n">
        <x:v>1.37</x:v>
      </x:c>
      <x:c r="I1645" s="18" t="n">
        <x:v>7.31</x:v>
      </x:c>
      <x:c r="J1645" t="n">
        <x:f>IF(A1645=A1644,IFERROR(IF(B1645=EDATE(B1644,1),C1644,0),0),0)</x:f>
        <x:v>0</x:v>
      </x:c>
      <x:c r="K1645" t="n">
        <x:f>IF(AND(J1645=1,C1645=0),1,0)</x:f>
        <x:v>0</x:v>
      </x:c>
      <x:c r="L1645" t="str">
        <x:f>IFERROR(INDEX(Customers!$C$2:$C$451,MATCH(A1645,Customers!$A$2:$A$451,0)),"Unknown")</x:f>
        <x:v>Standard</x:v>
      </x:c>
    </x:row>
    <x:row r="1646">
      <x:c r="A1646" t="n">
        <x:v>301</x:v>
      </x:c>
      <x:c r="B1646" s="16" t="n">
        <x:v>46204</x:v>
      </x:c>
      <x:c r="C1646" t="n">
        <x:v>0</x:v>
      </x:c>
      <x:c r="D1646" t="n">
        <x:v>0</x:v>
      </x:c>
      <x:c r="E1646" s="18" t="n">
        <x:v>0</x:v>
      </x:c>
      <x:c r="F1646" s="18" t="n">
        <x:v>0</x:v>
      </x:c>
      <x:c r="G1646" s="18" t="n">
        <x:v>0</x:v>
      </x:c>
      <x:c r="H1646" s="18" t="n">
        <x:v>0</x:v>
      </x:c>
      <x:c r="I1646" s="18" t="n">
        <x:v>0</x:v>
      </x:c>
      <x:c r="J1646" t="n">
        <x:f>IF(A1646=A1645,IFERROR(IF(B1646=EDATE(B1645,1),C1645,0),0),0)</x:f>
        <x:v>1</x:v>
      </x:c>
      <x:c r="K1646" t="n">
        <x:f>IF(AND(J1646=1,C1646=0),1,0)</x:f>
        <x:v>1</x:v>
      </x:c>
      <x:c r="L1646" t="str">
        <x:f>IFERROR(INDEX(Customers!$C$2:$C$451,MATCH(A1646,Customers!$A$2:$A$451,0)),"Unknown")</x:f>
        <x:v>Standard</x:v>
      </x:c>
    </x:row>
    <x:row r="1647">
      <x:c r="A1647" t="n">
        <x:v>301</x:v>
      </x:c>
      <x:c r="B1647" s="16" t="n">
        <x:v>46235</x:v>
      </x:c>
      <x:c r="C1647" t="n">
        <x:v>0</x:v>
      </x:c>
      <x:c r="D1647" t="n">
        <x:v>0</x:v>
      </x:c>
      <x:c r="E1647" s="18" t="n">
        <x:v>0</x:v>
      </x:c>
      <x:c r="F1647" s="18" t="n">
        <x:v>0</x:v>
      </x:c>
      <x:c r="G1647" s="18" t="n">
        <x:v>0</x:v>
      </x:c>
      <x:c r="H1647" s="18" t="n">
        <x:v>0</x:v>
      </x:c>
      <x:c r="I1647" s="18" t="n">
        <x:v>0</x:v>
      </x:c>
      <x:c r="J1647" t="n">
        <x:f>IF(A1647=A1646,IFERROR(IF(B1647=EDATE(B1646,1),C1646,0),0),0)</x:f>
        <x:v>0</x:v>
      </x:c>
      <x:c r="K1647" t="n">
        <x:f>IF(AND(J1647=1,C1647=0),1,0)</x:f>
        <x:v>0</x:v>
      </x:c>
      <x:c r="L1647" t="str">
        <x:f>IFERROR(INDEX(Customers!$C$2:$C$451,MATCH(A1647,Customers!$A$2:$A$451,0)),"Unknown")</x:f>
        <x:v>Standard</x:v>
      </x:c>
    </x:row>
    <x:row r="1648">
      <x:c r="A1648" t="n">
        <x:v>301</x:v>
      </x:c>
      <x:c r="B1648" s="16" t="n">
        <x:v>46266</x:v>
      </x:c>
      <x:c r="C1648" t="n">
        <x:v>1</x:v>
      </x:c>
      <x:c r="D1648" t="n">
        <x:v>5</x:v>
      </x:c>
      <x:c r="E1648" s="18" t="n">
        <x:v>582.72</x:v>
      </x:c>
      <x:c r="F1648" s="18" t="n">
        <x:v>0</x:v>
      </x:c>
      <x:c r="G1648" s="18" t="n">
        <x:v>2.62</x:v>
      </x:c>
      <x:c r="H1648" s="18" t="n">
        <x:v>0.58</x:v>
      </x:c>
      <x:c r="I1648" s="18" t="n">
        <x:v>3.2</x:v>
      </x:c>
      <x:c r="J1648" t="n">
        <x:f>IF(A1648=A1647,IFERROR(IF(B1648=EDATE(B1647,1),C1647,0),0),0)</x:f>
        <x:v>0</x:v>
      </x:c>
      <x:c r="K1648" t="n">
        <x:f>IF(AND(J1648=1,C1648=0),1,0)</x:f>
        <x:v>0</x:v>
      </x:c>
      <x:c r="L1648" t="str">
        <x:f>IFERROR(INDEX(Customers!$C$2:$C$451,MATCH(A1648,Customers!$A$2:$A$451,0)),"Unknown")</x:f>
        <x:v>Standard</x:v>
      </x:c>
    </x:row>
    <x:row r="1649">
      <x:c r="A1649" t="n">
        <x:v>302</x:v>
      </x:c>
      <x:c r="B1649" s="16" t="n">
        <x:v>46113</x:v>
      </x:c>
      <x:c r="C1649" t="n">
        <x:v>0</x:v>
      </x:c>
      <x:c r="D1649" t="n">
        <x:v>0</x:v>
      </x:c>
      <x:c r="E1649" s="18" t="n">
        <x:v>0</x:v>
      </x:c>
      <x:c r="F1649" s="18" t="n">
        <x:v>0</x:v>
      </x:c>
      <x:c r="G1649" s="18" t="n">
        <x:v>0</x:v>
      </x:c>
      <x:c r="H1649" s="18" t="n">
        <x:v>0</x:v>
      </x:c>
      <x:c r="I1649" s="18" t="n">
        <x:v>0</x:v>
      </x:c>
      <x:c r="J1649" t="n">
        <x:f>IF(A1649=A1648,IFERROR(IF(B1649=EDATE(B1648,1),C1648,0),0),0)</x:f>
        <x:v>0</x:v>
      </x:c>
      <x:c r="K1649" t="n">
        <x:f>IF(AND(J1649=1,C1649=0),1,0)</x:f>
        <x:v>0</x:v>
      </x:c>
      <x:c r="L1649" t="str">
        <x:f>IFERROR(INDEX(Customers!$C$2:$C$451,MATCH(A1649,Customers!$A$2:$A$451,0)),"Unknown")</x:f>
        <x:v>Standard</x:v>
      </x:c>
    </x:row>
    <x:row r="1650">
      <x:c r="A1650" t="n">
        <x:v>302</x:v>
      </x:c>
      <x:c r="B1650" s="16" t="n">
        <x:v>46143</x:v>
      </x:c>
      <x:c r="C1650" t="n">
        <x:v>1</x:v>
      </x:c>
      <x:c r="D1650" t="n">
        <x:v>10</x:v>
      </x:c>
      <x:c r="E1650" s="18" t="n">
        <x:v>675.28</x:v>
      </x:c>
      <x:c r="F1650" s="18" t="n">
        <x:v>0</x:v>
      </x:c>
      <x:c r="G1650" s="18" t="n">
        <x:v>3.04</x:v>
      </x:c>
      <x:c r="H1650" s="18" t="n">
        <x:v>2</x:v>
      </x:c>
      <x:c r="I1650" s="18" t="n">
        <x:v>5.04</x:v>
      </x:c>
      <x:c r="J1650" t="n">
        <x:f>IF(A1650=A1649,IFERROR(IF(B1650=EDATE(B1649,1),C1649,0),0),0)</x:f>
        <x:v>0</x:v>
      </x:c>
      <x:c r="K1650" t="n">
        <x:f>IF(AND(J1650=1,C1650=0),1,0)</x:f>
        <x:v>0</x:v>
      </x:c>
      <x:c r="L1650" t="str">
        <x:f>IFERROR(INDEX(Customers!$C$2:$C$451,MATCH(A1650,Customers!$A$2:$A$451,0)),"Unknown")</x:f>
        <x:v>Standard</x:v>
      </x:c>
    </x:row>
    <x:row r="1651">
      <x:c r="A1651" t="n">
        <x:v>302</x:v>
      </x:c>
      <x:c r="B1651" s="16" t="n">
        <x:v>46174</x:v>
      </x:c>
      <x:c r="C1651" t="n">
        <x:v>0</x:v>
      </x:c>
      <x:c r="D1651" t="n">
        <x:v>0</x:v>
      </x:c>
      <x:c r="E1651" s="18" t="n">
        <x:v>0</x:v>
      </x:c>
      <x:c r="F1651" s="18" t="n">
        <x:v>0</x:v>
      </x:c>
      <x:c r="G1651" s="18" t="n">
        <x:v>0</x:v>
      </x:c>
      <x:c r="H1651" s="18" t="n">
        <x:v>0</x:v>
      </x:c>
      <x:c r="I1651" s="18" t="n">
        <x:v>0</x:v>
      </x:c>
      <x:c r="J1651" t="n">
        <x:f>IF(A1651=A1650,IFERROR(IF(B1651=EDATE(B1650,1),C1650,0),0),0)</x:f>
        <x:v>1</x:v>
      </x:c>
      <x:c r="K1651" t="n">
        <x:f>IF(AND(J1651=1,C1651=0),1,0)</x:f>
        <x:v>1</x:v>
      </x:c>
      <x:c r="L1651" t="str">
        <x:f>IFERROR(INDEX(Customers!$C$2:$C$451,MATCH(A1651,Customers!$A$2:$A$451,0)),"Unknown")</x:f>
        <x:v>Standard</x:v>
      </x:c>
    </x:row>
    <x:row r="1652">
      <x:c r="A1652" t="n">
        <x:v>302</x:v>
      </x:c>
      <x:c r="B1652" s="16" t="n">
        <x:v>46204</x:v>
      </x:c>
      <x:c r="C1652" t="n">
        <x:v>1</x:v>
      </x:c>
      <x:c r="D1652" t="n">
        <x:v>6</x:v>
      </x:c>
      <x:c r="E1652" s="18" t="n">
        <x:v>464.87</x:v>
      </x:c>
      <x:c r="F1652" s="18" t="n">
        <x:v>0</x:v>
      </x:c>
      <x:c r="G1652" s="18" t="n">
        <x:v>2.09</x:v>
      </x:c>
      <x:c r="H1652" s="18" t="n">
        <x:v>0.95</x:v>
      </x:c>
      <x:c r="I1652" s="18" t="n">
        <x:v>3.04</x:v>
      </x:c>
      <x:c r="J1652" t="n">
        <x:f>IF(A1652=A1651,IFERROR(IF(B1652=EDATE(B1651,1),C1651,0),0),0)</x:f>
        <x:v>0</x:v>
      </x:c>
      <x:c r="K1652" t="n">
        <x:f>IF(AND(J1652=1,C1652=0),1,0)</x:f>
        <x:v>0</x:v>
      </x:c>
      <x:c r="L1652" t="str">
        <x:f>IFERROR(INDEX(Customers!$C$2:$C$451,MATCH(A1652,Customers!$A$2:$A$451,0)),"Unknown")</x:f>
        <x:v>Standard</x:v>
      </x:c>
    </x:row>
    <x:row r="1653">
      <x:c r="A1653" t="n">
        <x:v>302</x:v>
      </x:c>
      <x:c r="B1653" s="16" t="n">
        <x:v>46235</x:v>
      </x:c>
      <x:c r="C1653" t="n">
        <x:v>1</x:v>
      </x:c>
      <x:c r="D1653" t="n">
        <x:v>17</x:v>
      </x:c>
      <x:c r="E1653" s="18" t="n">
        <x:v>721.84</x:v>
      </x:c>
      <x:c r="F1653" s="18" t="n">
        <x:v>0</x:v>
      </x:c>
      <x:c r="G1653" s="18" t="n">
        <x:v>3.25</x:v>
      </x:c>
      <x:c r="H1653" s="18" t="n">
        <x:v>1.24</x:v>
      </x:c>
      <x:c r="I1653" s="18" t="n">
        <x:v>4.49</x:v>
      </x:c>
      <x:c r="J1653" t="n">
        <x:f>IF(A1653=A1652,IFERROR(IF(B1653=EDATE(B1652,1),C1652,0),0),0)</x:f>
        <x:v>1</x:v>
      </x:c>
      <x:c r="K1653" t="n">
        <x:f>IF(AND(J1653=1,C1653=0),1,0)</x:f>
        <x:v>0</x:v>
      </x:c>
      <x:c r="L1653" t="str">
        <x:f>IFERROR(INDEX(Customers!$C$2:$C$451,MATCH(A1653,Customers!$A$2:$A$451,0)),"Unknown")</x:f>
        <x:v>Standard</x:v>
      </x:c>
    </x:row>
    <x:row r="1654">
      <x:c r="A1654" t="n">
        <x:v>302</x:v>
      </x:c>
      <x:c r="B1654" s="16" t="n">
        <x:v>46266</x:v>
      </x:c>
      <x:c r="C1654" t="n">
        <x:v>1</x:v>
      </x:c>
      <x:c r="D1654" t="n">
        <x:v>25</x:v>
      </x:c>
      <x:c r="E1654" s="18" t="n">
        <x:v>3119.06</x:v>
      </x:c>
      <x:c r="F1654" s="18" t="n">
        <x:v>0</x:v>
      </x:c>
      <x:c r="G1654" s="18" t="n">
        <x:v>14.04</x:v>
      </x:c>
      <x:c r="H1654" s="18" t="n">
        <x:v>2.92</x:v>
      </x:c>
      <x:c r="I1654" s="18" t="n">
        <x:v>16.96</x:v>
      </x:c>
      <x:c r="J1654" t="n">
        <x:f>IF(A1654=A1653,IFERROR(IF(B1654=EDATE(B1653,1),C1653,0),0),0)</x:f>
        <x:v>1</x:v>
      </x:c>
      <x:c r="K1654" t="n">
        <x:f>IF(AND(J1654=1,C1654=0),1,0)</x:f>
        <x:v>0</x:v>
      </x:c>
      <x:c r="L1654" t="str">
        <x:f>IFERROR(INDEX(Customers!$C$2:$C$451,MATCH(A1654,Customers!$A$2:$A$451,0)),"Unknown")</x:f>
        <x:v>Standard</x:v>
      </x:c>
    </x:row>
    <x:row r="1655">
      <x:c r="A1655" t="n">
        <x:v>303</x:v>
      </x:c>
      <x:c r="B1655" s="16" t="n">
        <x:v>46113</x:v>
      </x:c>
      <x:c r="C1655" t="n">
        <x:v>1</x:v>
      </x:c>
      <x:c r="D1655" t="n">
        <x:v>5</x:v>
      </x:c>
      <x:c r="E1655" s="18" t="n">
        <x:v>297.22</x:v>
      </x:c>
      <x:c r="F1655" s="18" t="n">
        <x:v>0</x:v>
      </x:c>
      <x:c r="G1655" s="18" t="n">
        <x:v>1.34</x:v>
      </x:c>
      <x:c r="H1655" s="18" t="n">
        <x:v>0.61</x:v>
      </x:c>
      <x:c r="I1655" s="18" t="n">
        <x:v>1.95</x:v>
      </x:c>
      <x:c r="J1655" t="n">
        <x:f>IF(A1655=A1654,IFERROR(IF(B1655=EDATE(B1654,1),C1654,0),0),0)</x:f>
        <x:v>0</x:v>
      </x:c>
      <x:c r="K1655" t="n">
        <x:f>IF(AND(J1655=1,C1655=0),1,0)</x:f>
        <x:v>0</x:v>
      </x:c>
      <x:c r="L1655" t="str">
        <x:f>IFERROR(INDEX(Customers!$C$2:$C$451,MATCH(A1655,Customers!$A$2:$A$451,0)),"Unknown")</x:f>
        <x:v>Standard</x:v>
      </x:c>
    </x:row>
    <x:row r="1656">
      <x:c r="A1656" t="n">
        <x:v>303</x:v>
      </x:c>
      <x:c r="B1656" s="16" t="n">
        <x:v>46143</x:v>
      </x:c>
      <x:c r="C1656" t="n">
        <x:v>1</x:v>
      </x:c>
      <x:c r="D1656" t="n">
        <x:v>34</x:v>
      </x:c>
      <x:c r="E1656" s="18" t="n">
        <x:v>3590.13</x:v>
      </x:c>
      <x:c r="F1656" s="18" t="n">
        <x:v>0</x:v>
      </x:c>
      <x:c r="G1656" s="18" t="n">
        <x:v>16.16</x:v>
      </x:c>
      <x:c r="H1656" s="18" t="n">
        <x:v>5.23</x:v>
      </x:c>
      <x:c r="I1656" s="18" t="n">
        <x:v>21.39</x:v>
      </x:c>
      <x:c r="J1656" t="n">
        <x:f>IF(A1656=A1655,IFERROR(IF(B1656=EDATE(B1655,1),C1655,0),0),0)</x:f>
        <x:v>1</x:v>
      </x:c>
      <x:c r="K1656" t="n">
        <x:f>IF(AND(J1656=1,C1656=0),1,0)</x:f>
        <x:v>0</x:v>
      </x:c>
      <x:c r="L1656" t="str">
        <x:f>IFERROR(INDEX(Customers!$C$2:$C$451,MATCH(A1656,Customers!$A$2:$A$451,0)),"Unknown")</x:f>
        <x:v>Standard</x:v>
      </x:c>
    </x:row>
    <x:row r="1657">
      <x:c r="A1657" t="n">
        <x:v>303</x:v>
      </x:c>
      <x:c r="B1657" s="16" t="n">
        <x:v>46174</x:v>
      </x:c>
      <x:c r="C1657" t="n">
        <x:v>1</x:v>
      </x:c>
      <x:c r="D1657" t="n">
        <x:v>30</x:v>
      </x:c>
      <x:c r="E1657" s="18" t="n">
        <x:v>3890.69</x:v>
      </x:c>
      <x:c r="F1657" s="18" t="n">
        <x:v>0</x:v>
      </x:c>
      <x:c r="G1657" s="18" t="n">
        <x:v>17.51</x:v>
      </x:c>
      <x:c r="H1657" s="18" t="n">
        <x:v>10.82</x:v>
      </x:c>
      <x:c r="I1657" s="18" t="n">
        <x:v>28.33</x:v>
      </x:c>
      <x:c r="J1657" t="n">
        <x:f>IF(A1657=A1656,IFERROR(IF(B1657=EDATE(B1656,1),C1656,0),0),0)</x:f>
        <x:v>1</x:v>
      </x:c>
      <x:c r="K1657" t="n">
        <x:f>IF(AND(J1657=1,C1657=0),1,0)</x:f>
        <x:v>0</x:v>
      </x:c>
      <x:c r="L1657" t="str">
        <x:f>IFERROR(INDEX(Customers!$C$2:$C$451,MATCH(A1657,Customers!$A$2:$A$451,0)),"Unknown")</x:f>
        <x:v>Standard</x:v>
      </x:c>
    </x:row>
    <x:row r="1658">
      <x:c r="A1658" t="n">
        <x:v>303</x:v>
      </x:c>
      <x:c r="B1658" s="16" t="n">
        <x:v>46204</x:v>
      </x:c>
      <x:c r="C1658" t="n">
        <x:v>1</x:v>
      </x:c>
      <x:c r="D1658" t="n">
        <x:v>9</x:v>
      </x:c>
      <x:c r="E1658" s="18" t="n">
        <x:v>617.68</x:v>
      </x:c>
      <x:c r="F1658" s="18" t="n">
        <x:v>0</x:v>
      </x:c>
      <x:c r="G1658" s="18" t="n">
        <x:v>2.78</x:v>
      </x:c>
      <x:c r="H1658" s="18" t="n">
        <x:v>1.03</x:v>
      </x:c>
      <x:c r="I1658" s="18" t="n">
        <x:v>3.81</x:v>
      </x:c>
      <x:c r="J1658" t="n">
        <x:f>IF(A1658=A1657,IFERROR(IF(B1658=EDATE(B1657,1),C1657,0),0),0)</x:f>
        <x:v>1</x:v>
      </x:c>
      <x:c r="K1658" t="n">
        <x:f>IF(AND(J1658=1,C1658=0),1,0)</x:f>
        <x:v>0</x:v>
      </x:c>
      <x:c r="L1658" t="str">
        <x:f>IFERROR(INDEX(Customers!$C$2:$C$451,MATCH(A1658,Customers!$A$2:$A$451,0)),"Unknown")</x:f>
        <x:v>Standard</x:v>
      </x:c>
    </x:row>
    <x:row r="1659">
      <x:c r="A1659" t="n">
        <x:v>303</x:v>
      </x:c>
      <x:c r="B1659" s="16" t="n">
        <x:v>46235</x:v>
      </x:c>
      <x:c r="C1659" t="n">
        <x:v>1</x:v>
      </x:c>
      <x:c r="D1659" t="n">
        <x:v>33</x:v>
      </x:c>
      <x:c r="E1659" s="18" t="n">
        <x:v>1269.26</x:v>
      </x:c>
      <x:c r="F1659" s="18" t="n">
        <x:v>0</x:v>
      </x:c>
      <x:c r="G1659" s="18" t="n">
        <x:v>5.71</x:v>
      </x:c>
      <x:c r="H1659" s="18" t="n">
        <x:v>2.27</x:v>
      </x:c>
      <x:c r="I1659" s="18" t="n">
        <x:v>7.98</x:v>
      </x:c>
      <x:c r="J1659" t="n">
        <x:f>IF(A1659=A1658,IFERROR(IF(B1659=EDATE(B1658,1),C1658,0),0),0)</x:f>
        <x:v>1</x:v>
      </x:c>
      <x:c r="K1659" t="n">
        <x:f>IF(AND(J1659=1,C1659=0),1,0)</x:f>
        <x:v>0</x:v>
      </x:c>
      <x:c r="L1659" t="str">
        <x:f>IFERROR(INDEX(Customers!$C$2:$C$451,MATCH(A1659,Customers!$A$2:$A$451,0)),"Unknown")</x:f>
        <x:v>Standard</x:v>
      </x:c>
    </x:row>
    <x:row r="1660">
      <x:c r="A1660" t="n">
        <x:v>303</x:v>
      </x:c>
      <x:c r="B1660" s="16" t="n">
        <x:v>46266</x:v>
      </x:c>
      <x:c r="C1660" t="n">
        <x:v>0</x:v>
      </x:c>
      <x:c r="D1660" t="n">
        <x:v>0</x:v>
      </x:c>
      <x:c r="E1660" s="18" t="n">
        <x:v>0</x:v>
      </x:c>
      <x:c r="F1660" s="18" t="n">
        <x:v>0</x:v>
      </x:c>
      <x:c r="G1660" s="18" t="n">
        <x:v>0</x:v>
      </x:c>
      <x:c r="H1660" s="18" t="n">
        <x:v>0</x:v>
      </x:c>
      <x:c r="I1660" s="18" t="n">
        <x:v>0</x:v>
      </x:c>
      <x:c r="J1660" t="n">
        <x:f>IF(A1660=A1659,IFERROR(IF(B1660=EDATE(B1659,1),C1659,0),0),0)</x:f>
        <x:v>1</x:v>
      </x:c>
      <x:c r="K1660" t="n">
        <x:f>IF(AND(J1660=1,C1660=0),1,0)</x:f>
        <x:v>1</x:v>
      </x:c>
      <x:c r="L1660" t="str">
        <x:f>IFERROR(INDEX(Customers!$C$2:$C$451,MATCH(A1660,Customers!$A$2:$A$451,0)),"Unknown")</x:f>
        <x:v>Standard</x:v>
      </x:c>
    </x:row>
    <x:row r="1661">
      <x:c r="A1661" t="n">
        <x:v>304</x:v>
      </x:c>
      <x:c r="B1661" s="16" t="n">
        <x:v>46113</x:v>
      </x:c>
      <x:c r="C1661" t="n">
        <x:v>1</x:v>
      </x:c>
      <x:c r="D1661" t="n">
        <x:v>5</x:v>
      </x:c>
      <x:c r="E1661" s="18" t="n">
        <x:v>553.29</x:v>
      </x:c>
      <x:c r="F1661" s="18" t="n">
        <x:v>0</x:v>
      </x:c>
      <x:c r="G1661" s="18" t="n">
        <x:v>2.49</x:v>
      </x:c>
      <x:c r="H1661" s="18" t="n">
        <x:v>1.55</x:v>
      </x:c>
      <x:c r="I1661" s="18" t="n">
        <x:v>4.04</x:v>
      </x:c>
      <x:c r="J1661" t="n">
        <x:f>IF(A1661=A1660,IFERROR(IF(B1661=EDATE(B1660,1),C1660,0),0),0)</x:f>
        <x:v>0</x:v>
      </x:c>
      <x:c r="K1661" t="n">
        <x:f>IF(AND(J1661=1,C1661=0),1,0)</x:f>
        <x:v>0</x:v>
      </x:c>
      <x:c r="L1661" t="str">
        <x:f>IFERROR(INDEX(Customers!$C$2:$C$451,MATCH(A1661,Customers!$A$2:$A$451,0)),"Unknown")</x:f>
        <x:v>Standard</x:v>
      </x:c>
    </x:row>
    <x:row r="1662">
      <x:c r="A1662" t="n">
        <x:v>304</x:v>
      </x:c>
      <x:c r="B1662" s="16" t="n">
        <x:v>46143</x:v>
      </x:c>
      <x:c r="C1662" t="n">
        <x:v>1</x:v>
      </x:c>
      <x:c r="D1662" t="n">
        <x:v>18</x:v>
      </x:c>
      <x:c r="E1662" s="18" t="n">
        <x:v>2288.65</x:v>
      </x:c>
      <x:c r="F1662" s="18" t="n">
        <x:v>0</x:v>
      </x:c>
      <x:c r="G1662" s="18" t="n">
        <x:v>10.3</x:v>
      </x:c>
      <x:c r="H1662" s="18" t="n">
        <x:v>3.08</x:v>
      </x:c>
      <x:c r="I1662" s="18" t="n">
        <x:v>13.38</x:v>
      </x:c>
      <x:c r="J1662" t="n">
        <x:f>IF(A1662=A1661,IFERROR(IF(B1662=EDATE(B1661,1),C1661,0),0),0)</x:f>
        <x:v>1</x:v>
      </x:c>
      <x:c r="K1662" t="n">
        <x:f>IF(AND(J1662=1,C1662=0),1,0)</x:f>
        <x:v>0</x:v>
      </x:c>
      <x:c r="L1662" t="str">
        <x:f>IFERROR(INDEX(Customers!$C$2:$C$451,MATCH(A1662,Customers!$A$2:$A$451,0)),"Unknown")</x:f>
        <x:v>Standard</x:v>
      </x:c>
    </x:row>
    <x:row r="1663">
      <x:c r="A1663" t="n">
        <x:v>304</x:v>
      </x:c>
      <x:c r="B1663" s="16" t="n">
        <x:v>46174</x:v>
      </x:c>
      <x:c r="C1663" t="n">
        <x:v>1</x:v>
      </x:c>
      <x:c r="D1663" t="n">
        <x:v>10</x:v>
      </x:c>
      <x:c r="E1663" s="18" t="n">
        <x:v>559.72</x:v>
      </x:c>
      <x:c r="F1663" s="18" t="n">
        <x:v>0</x:v>
      </x:c>
      <x:c r="G1663" s="18" t="n">
        <x:v>2.52</x:v>
      </x:c>
      <x:c r="H1663" s="18" t="n">
        <x:v>0.66</x:v>
      </x:c>
      <x:c r="I1663" s="18" t="n">
        <x:v>3.18</x:v>
      </x:c>
      <x:c r="J1663" t="n">
        <x:f>IF(A1663=A1662,IFERROR(IF(B1663=EDATE(B1662,1),C1662,0),0),0)</x:f>
        <x:v>1</x:v>
      </x:c>
      <x:c r="K1663" t="n">
        <x:f>IF(AND(J1663=1,C1663=0),1,0)</x:f>
        <x:v>0</x:v>
      </x:c>
      <x:c r="L1663" t="str">
        <x:f>IFERROR(INDEX(Customers!$C$2:$C$451,MATCH(A1663,Customers!$A$2:$A$451,0)),"Unknown")</x:f>
        <x:v>Standard</x:v>
      </x:c>
    </x:row>
    <x:row r="1664">
      <x:c r="A1664" t="n">
        <x:v>304</x:v>
      </x:c>
      <x:c r="B1664" s="16" t="n">
        <x:v>46204</x:v>
      </x:c>
      <x:c r="C1664" t="n">
        <x:v>1</x:v>
      </x:c>
      <x:c r="D1664" t="n">
        <x:v>22</x:v>
      </x:c>
      <x:c r="E1664" s="18" t="n">
        <x:v>2558.63</x:v>
      </x:c>
      <x:c r="F1664" s="18" t="n">
        <x:v>0</x:v>
      </x:c>
      <x:c r="G1664" s="18" t="n">
        <x:v>11.51</x:v>
      </x:c>
      <x:c r="H1664" s="18" t="n">
        <x:v>7.22</x:v>
      </x:c>
      <x:c r="I1664" s="18" t="n">
        <x:v>18.73</x:v>
      </x:c>
      <x:c r="J1664" t="n">
        <x:f>IF(A1664=A1663,IFERROR(IF(B1664=EDATE(B1663,1),C1663,0),0),0)</x:f>
        <x:v>1</x:v>
      </x:c>
      <x:c r="K1664" t="n">
        <x:f>IF(AND(J1664=1,C1664=0),1,0)</x:f>
        <x:v>0</x:v>
      </x:c>
      <x:c r="L1664" t="str">
        <x:f>IFERROR(INDEX(Customers!$C$2:$C$451,MATCH(A1664,Customers!$A$2:$A$451,0)),"Unknown")</x:f>
        <x:v>Standard</x:v>
      </x:c>
    </x:row>
    <x:row r="1665">
      <x:c r="A1665" t="n">
        <x:v>304</x:v>
      </x:c>
      <x:c r="B1665" s="16" t="n">
        <x:v>46235</x:v>
      </x:c>
      <x:c r="C1665" t="n">
        <x:v>1</x:v>
      </x:c>
      <x:c r="D1665" t="n">
        <x:v>13</x:v>
      </x:c>
      <x:c r="E1665" s="18" t="n">
        <x:v>976.28</x:v>
      </x:c>
      <x:c r="F1665" s="18" t="n">
        <x:v>0</x:v>
      </x:c>
      <x:c r="G1665" s="18" t="n">
        <x:v>4.39</x:v>
      </x:c>
      <x:c r="H1665" s="18" t="n">
        <x:v>2.21</x:v>
      </x:c>
      <x:c r="I1665" s="18" t="n">
        <x:v>6.6</x:v>
      </x:c>
      <x:c r="J1665" t="n">
        <x:f>IF(A1665=A1664,IFERROR(IF(B1665=EDATE(B1664,1),C1664,0),0),0)</x:f>
        <x:v>1</x:v>
      </x:c>
      <x:c r="K1665" t="n">
        <x:f>IF(AND(J1665=1,C1665=0),1,0)</x:f>
        <x:v>0</x:v>
      </x:c>
      <x:c r="L1665" t="str">
        <x:f>IFERROR(INDEX(Customers!$C$2:$C$451,MATCH(A1665,Customers!$A$2:$A$451,0)),"Unknown")</x:f>
        <x:v>Standard</x:v>
      </x:c>
    </x:row>
    <x:row r="1666">
      <x:c r="A1666" t="n">
        <x:v>304</x:v>
      </x:c>
      <x:c r="B1666" s="16" t="n">
        <x:v>46266</x:v>
      </x:c>
      <x:c r="C1666" t="n">
        <x:v>1</x:v>
      </x:c>
      <x:c r="D1666" t="n">
        <x:v>14</x:v>
      </x:c>
      <x:c r="E1666" s="18" t="n">
        <x:v>1241.44</x:v>
      </x:c>
      <x:c r="F1666" s="18" t="n">
        <x:v>0</x:v>
      </x:c>
      <x:c r="G1666" s="18" t="n">
        <x:v>5.59</x:v>
      </x:c>
      <x:c r="H1666" s="18" t="n">
        <x:v>2.82</x:v>
      </x:c>
      <x:c r="I1666" s="18" t="n">
        <x:v>8.41</x:v>
      </x:c>
      <x:c r="J1666" t="n">
        <x:f>IF(A1666=A1665,IFERROR(IF(B1666=EDATE(B1665,1),C1665,0),0),0)</x:f>
        <x:v>1</x:v>
      </x:c>
      <x:c r="K1666" t="n">
        <x:f>IF(AND(J1666=1,C1666=0),1,0)</x:f>
        <x:v>0</x:v>
      </x:c>
      <x:c r="L1666" t="str">
        <x:f>IFERROR(INDEX(Customers!$C$2:$C$451,MATCH(A1666,Customers!$A$2:$A$451,0)),"Unknown")</x:f>
        <x:v>Standard</x:v>
      </x:c>
    </x:row>
    <x:row r="1667">
      <x:c r="A1667" t="n">
        <x:v>305</x:v>
      </x:c>
      <x:c r="B1667" s="16" t="n">
        <x:v>46143</x:v>
      </x:c>
      <x:c r="C1667" t="n">
        <x:v>1</x:v>
      </x:c>
      <x:c r="D1667" t="n">
        <x:v>35</x:v>
      </x:c>
      <x:c r="E1667" s="18" t="n">
        <x:v>4545.86</x:v>
      </x:c>
      <x:c r="F1667" s="18" t="n">
        <x:v>17</x:v>
      </x:c>
      <x:c r="G1667" s="18" t="n">
        <x:v>20.46</x:v>
      </x:c>
      <x:c r="H1667" s="18" t="n">
        <x:v>16.68</x:v>
      </x:c>
      <x:c r="I1667" s="18" t="n">
        <x:v>54.14</x:v>
      </x:c>
      <x:c r="J1667" t="n">
        <x:f>IF(A1667=A1666,IFERROR(IF(B1667=EDATE(B1666,1),C1666,0),0),0)</x:f>
        <x:v>0</x:v>
      </x:c>
      <x:c r="K1667" t="n">
        <x:f>IF(AND(J1667=1,C1667=0),1,0)</x:f>
        <x:v>0</x:v>
      </x:c>
      <x:c r="L1667" t="str">
        <x:f>IFERROR(INDEX(Customers!$C$2:$C$451,MATCH(A1667,Customers!$A$2:$A$451,0)),"Unknown")</x:f>
        <x:v>Premium</x:v>
      </x:c>
    </x:row>
    <x:row r="1668">
      <x:c r="A1668" t="n">
        <x:v>305</x:v>
      </x:c>
      <x:c r="B1668" s="16" t="n">
        <x:v>46174</x:v>
      </x:c>
      <x:c r="C1668" t="n">
        <x:v>1</x:v>
      </x:c>
      <x:c r="D1668" t="n">
        <x:v>11</x:v>
      </x:c>
      <x:c r="E1668" s="18" t="n">
        <x:v>550.26</x:v>
      </x:c>
      <x:c r="F1668" s="18" t="n">
        <x:v>17</x:v>
      </x:c>
      <x:c r="G1668" s="18" t="n">
        <x:v>2.48</x:v>
      </x:c>
      <x:c r="H1668" s="18" t="n">
        <x:v>0.61</x:v>
      </x:c>
      <x:c r="I1668" s="18" t="n">
        <x:v>20.09</x:v>
      </x:c>
      <x:c r="J1668" t="n">
        <x:f>IF(A1668=A1667,IFERROR(IF(B1668=EDATE(B1667,1),C1667,0),0),0)</x:f>
        <x:v>1</x:v>
      </x:c>
      <x:c r="K1668" t="n">
        <x:f>IF(AND(J1668=1,C1668=0),1,0)</x:f>
        <x:v>0</x:v>
      </x:c>
      <x:c r="L1668" t="str">
        <x:f>IFERROR(INDEX(Customers!$C$2:$C$451,MATCH(A1668,Customers!$A$2:$A$451,0)),"Unknown")</x:f>
        <x:v>Premium</x:v>
      </x:c>
    </x:row>
    <x:row r="1669">
      <x:c r="A1669" t="n">
        <x:v>305</x:v>
      </x:c>
      <x:c r="B1669" s="16" t="n">
        <x:v>46204</x:v>
      </x:c>
      <x:c r="C1669" t="n">
        <x:v>1</x:v>
      </x:c>
      <x:c r="D1669" t="n">
        <x:v>31</x:v>
      </x:c>
      <x:c r="E1669" s="18" t="n">
        <x:v>3562.4</x:v>
      </x:c>
      <x:c r="F1669" s="18" t="n">
        <x:v>17</x:v>
      </x:c>
      <x:c r="G1669" s="18" t="n">
        <x:v>16.03</x:v>
      </x:c>
      <x:c r="H1669" s="18" t="n">
        <x:v>6.96</x:v>
      </x:c>
      <x:c r="I1669" s="18" t="n">
        <x:v>39.99</x:v>
      </x:c>
      <x:c r="J1669" t="n">
        <x:f>IF(A1669=A1668,IFERROR(IF(B1669=EDATE(B1668,1),C1668,0),0),0)</x:f>
        <x:v>1</x:v>
      </x:c>
      <x:c r="K1669" t="n">
        <x:f>IF(AND(J1669=1,C1669=0),1,0)</x:f>
        <x:v>0</x:v>
      </x:c>
      <x:c r="L1669" t="str">
        <x:f>IFERROR(INDEX(Customers!$C$2:$C$451,MATCH(A1669,Customers!$A$2:$A$451,0)),"Unknown")</x:f>
        <x:v>Premium</x:v>
      </x:c>
    </x:row>
    <x:row r="1670">
      <x:c r="A1670" t="n">
        <x:v>305</x:v>
      </x:c>
      <x:c r="B1670" s="16" t="n">
        <x:v>46235</x:v>
      </x:c>
      <x:c r="C1670" t="n">
        <x:v>1</x:v>
      </x:c>
      <x:c r="D1670" t="n">
        <x:v>24</x:v>
      </x:c>
      <x:c r="E1670" s="18" t="n">
        <x:v>3350.18</x:v>
      </x:c>
      <x:c r="F1670" s="18" t="n">
        <x:v>17</x:v>
      </x:c>
      <x:c r="G1670" s="18" t="n">
        <x:v>15.08</x:v>
      </x:c>
      <x:c r="H1670" s="18" t="n">
        <x:v>11.06</x:v>
      </x:c>
      <x:c r="I1670" s="18" t="n">
        <x:v>43.14</x:v>
      </x:c>
      <x:c r="J1670" t="n">
        <x:f>IF(A1670=A1669,IFERROR(IF(B1670=EDATE(B1669,1),C1669,0),0),0)</x:f>
        <x:v>1</x:v>
      </x:c>
      <x:c r="K1670" t="n">
        <x:f>IF(AND(J1670=1,C1670=0),1,0)</x:f>
        <x:v>0</x:v>
      </x:c>
      <x:c r="L1670" t="str">
        <x:f>IFERROR(INDEX(Customers!$C$2:$C$451,MATCH(A1670,Customers!$A$2:$A$451,0)),"Unknown")</x:f>
        <x:v>Premium</x:v>
      </x:c>
    </x:row>
    <x:row r="1671">
      <x:c r="A1671" t="n">
        <x:v>305</x:v>
      </x:c>
      <x:c r="B1671" s="16" t="n">
        <x:v>46266</x:v>
      </x:c>
      <x:c r="C1671" t="n">
        <x:v>0</x:v>
      </x:c>
      <x:c r="D1671" t="n">
        <x:v>0</x:v>
      </x:c>
      <x:c r="E1671" s="18" t="n">
        <x:v>0</x:v>
      </x:c>
      <x:c r="F1671" s="18" t="n">
        <x:v>0</x:v>
      </x:c>
      <x:c r="G1671" s="18" t="n">
        <x:v>0</x:v>
      </x:c>
      <x:c r="H1671" s="18" t="n">
        <x:v>0</x:v>
      </x:c>
      <x:c r="I1671" s="18" t="n">
        <x:v>0</x:v>
      </x:c>
      <x:c r="J1671" t="n">
        <x:f>IF(A1671=A1670,IFERROR(IF(B1671=EDATE(B1670,1),C1670,0),0),0)</x:f>
        <x:v>1</x:v>
      </x:c>
      <x:c r="K1671" t="n">
        <x:f>IF(AND(J1671=1,C1671=0),1,0)</x:f>
        <x:v>1</x:v>
      </x:c>
      <x:c r="L1671" t="str">
        <x:f>IFERROR(INDEX(Customers!$C$2:$C$451,MATCH(A1671,Customers!$A$2:$A$451,0)),"Unknown")</x:f>
        <x:v>Premium</x:v>
      </x:c>
    </x:row>
    <x:row r="1672">
      <x:c r="A1672" t="n">
        <x:v>306</x:v>
      </x:c>
      <x:c r="B1672" s="16" t="n">
        <x:v>46113</x:v>
      </x:c>
      <x:c r="C1672" t="n">
        <x:v>1</x:v>
      </x:c>
      <x:c r="D1672" t="n">
        <x:v>19</x:v>
      </x:c>
      <x:c r="E1672" s="18" t="n">
        <x:v>908.33</x:v>
      </x:c>
      <x:c r="F1672" s="18" t="n">
        <x:v>0</x:v>
      </x:c>
      <x:c r="G1672" s="18" t="n">
        <x:v>4.09</x:v>
      </x:c>
      <x:c r="H1672" s="18" t="n">
        <x:v>3.11</x:v>
      </x:c>
      <x:c r="I1672" s="18" t="n">
        <x:v>7.2</x:v>
      </x:c>
      <x:c r="J1672" t="n">
        <x:f>IF(A1672=A1671,IFERROR(IF(B1672=EDATE(B1671,1),C1671,0),0),0)</x:f>
        <x:v>0</x:v>
      </x:c>
      <x:c r="K1672" t="n">
        <x:f>IF(AND(J1672=1,C1672=0),1,0)</x:f>
        <x:v>0</x:v>
      </x:c>
      <x:c r="L1672" t="str">
        <x:f>IFERROR(INDEX(Customers!$C$2:$C$451,MATCH(A1672,Customers!$A$2:$A$451,0)),"Unknown")</x:f>
        <x:v>Standard</x:v>
      </x:c>
    </x:row>
    <x:row r="1673">
      <x:c r="A1673" t="n">
        <x:v>306</x:v>
      </x:c>
      <x:c r="B1673" s="16" t="n">
        <x:v>46143</x:v>
      </x:c>
      <x:c r="C1673" t="n">
        <x:v>0</x:v>
      </x:c>
      <x:c r="D1673" t="n">
        <x:v>0</x:v>
      </x:c>
      <x:c r="E1673" s="18" t="n">
        <x:v>0</x:v>
      </x:c>
      <x:c r="F1673" s="18" t="n">
        <x:v>0</x:v>
      </x:c>
      <x:c r="G1673" s="18" t="n">
        <x:v>0</x:v>
      </x:c>
      <x:c r="H1673" s="18" t="n">
        <x:v>0</x:v>
      </x:c>
      <x:c r="I1673" s="18" t="n">
        <x:v>0</x:v>
      </x:c>
      <x:c r="J1673" t="n">
        <x:f>IF(A1673=A1672,IFERROR(IF(B1673=EDATE(B1672,1),C1672,0),0),0)</x:f>
        <x:v>1</x:v>
      </x:c>
      <x:c r="K1673" t="n">
        <x:f>IF(AND(J1673=1,C1673=0),1,0)</x:f>
        <x:v>1</x:v>
      </x:c>
      <x:c r="L1673" t="str">
        <x:f>IFERROR(INDEX(Customers!$C$2:$C$451,MATCH(A1673,Customers!$A$2:$A$451,0)),"Unknown")</x:f>
        <x:v>Standard</x:v>
      </x:c>
    </x:row>
    <x:row r="1674">
      <x:c r="A1674" t="n">
        <x:v>306</x:v>
      </x:c>
      <x:c r="B1674" s="16" t="n">
        <x:v>46174</x:v>
      </x:c>
      <x:c r="C1674" t="n">
        <x:v>1</x:v>
      </x:c>
      <x:c r="D1674" t="n">
        <x:v>18</x:v>
      </x:c>
      <x:c r="E1674" s="18" t="n">
        <x:v>1569.3</x:v>
      </x:c>
      <x:c r="F1674" s="18" t="n">
        <x:v>0</x:v>
      </x:c>
      <x:c r="G1674" s="18" t="n">
        <x:v>7.06</x:v>
      </x:c>
      <x:c r="H1674" s="18" t="n">
        <x:v>1.32</x:v>
      </x:c>
      <x:c r="I1674" s="18" t="n">
        <x:v>8.38</x:v>
      </x:c>
      <x:c r="J1674" t="n">
        <x:f>IF(A1674=A1673,IFERROR(IF(B1674=EDATE(B1673,1),C1673,0),0),0)</x:f>
        <x:v>0</x:v>
      </x:c>
      <x:c r="K1674" t="n">
        <x:f>IF(AND(J1674=1,C1674=0),1,0)</x:f>
        <x:v>0</x:v>
      </x:c>
      <x:c r="L1674" t="str">
        <x:f>IFERROR(INDEX(Customers!$C$2:$C$451,MATCH(A1674,Customers!$A$2:$A$451,0)),"Unknown")</x:f>
        <x:v>Standard</x:v>
      </x:c>
    </x:row>
    <x:row r="1675">
      <x:c r="A1675" t="n">
        <x:v>306</x:v>
      </x:c>
      <x:c r="B1675" s="16" t="n">
        <x:v>46204</x:v>
      </x:c>
      <x:c r="C1675" t="n">
        <x:v>1</x:v>
      </x:c>
      <x:c r="D1675" t="n">
        <x:v>13</x:v>
      </x:c>
      <x:c r="E1675" s="18" t="n">
        <x:v>1369.49</x:v>
      </x:c>
      <x:c r="F1675" s="18" t="n">
        <x:v>0</x:v>
      </x:c>
      <x:c r="G1675" s="18" t="n">
        <x:v>6.16</x:v>
      </x:c>
      <x:c r="H1675" s="18" t="n">
        <x:v>4.64</x:v>
      </x:c>
      <x:c r="I1675" s="18" t="n">
        <x:v>10.8</x:v>
      </x:c>
      <x:c r="J1675" t="n">
        <x:f>IF(A1675=A1674,IFERROR(IF(B1675=EDATE(B1674,1),C1674,0),0),0)</x:f>
        <x:v>1</x:v>
      </x:c>
      <x:c r="K1675" t="n">
        <x:f>IF(AND(J1675=1,C1675=0),1,0)</x:f>
        <x:v>0</x:v>
      </x:c>
      <x:c r="L1675" t="str">
        <x:f>IFERROR(INDEX(Customers!$C$2:$C$451,MATCH(A1675,Customers!$A$2:$A$451,0)),"Unknown")</x:f>
        <x:v>Standard</x:v>
      </x:c>
    </x:row>
    <x:row r="1676">
      <x:c r="A1676" t="n">
        <x:v>306</x:v>
      </x:c>
      <x:c r="B1676" s="16" t="n">
        <x:v>46235</x:v>
      </x:c>
      <x:c r="C1676" t="n">
        <x:v>1</x:v>
      </x:c>
      <x:c r="D1676" t="n">
        <x:v>16</x:v>
      </x:c>
      <x:c r="E1676" s="18" t="n">
        <x:v>1285.78</x:v>
      </x:c>
      <x:c r="F1676" s="18" t="n">
        <x:v>0</x:v>
      </x:c>
      <x:c r="G1676" s="18" t="n">
        <x:v>5.79</x:v>
      </x:c>
      <x:c r="H1676" s="18" t="n">
        <x:v>1.24</x:v>
      </x:c>
      <x:c r="I1676" s="18" t="n">
        <x:v>7.03</x:v>
      </x:c>
      <x:c r="J1676" t="n">
        <x:f>IF(A1676=A1675,IFERROR(IF(B1676=EDATE(B1675,1),C1675,0),0),0)</x:f>
        <x:v>1</x:v>
      </x:c>
      <x:c r="K1676" t="n">
        <x:f>IF(AND(J1676=1,C1676=0),1,0)</x:f>
        <x:v>0</x:v>
      </x:c>
      <x:c r="L1676" t="str">
        <x:f>IFERROR(INDEX(Customers!$C$2:$C$451,MATCH(A1676,Customers!$A$2:$A$451,0)),"Unknown")</x:f>
        <x:v>Standard</x:v>
      </x:c>
    </x:row>
    <x:row r="1677">
      <x:c r="A1677" t="n">
        <x:v>306</x:v>
      </x:c>
      <x:c r="B1677" s="16" t="n">
        <x:v>46266</x:v>
      </x:c>
      <x:c r="C1677" t="n">
        <x:v>1</x:v>
      </x:c>
      <x:c r="D1677" t="n">
        <x:v>27</x:v>
      </x:c>
      <x:c r="E1677" s="18" t="n">
        <x:v>2168.96</x:v>
      </x:c>
      <x:c r="F1677" s="18" t="n">
        <x:v>0</x:v>
      </x:c>
      <x:c r="G1677" s="18" t="n">
        <x:v>9.76</x:v>
      </x:c>
      <x:c r="H1677" s="18" t="n">
        <x:v>5.01</x:v>
      </x:c>
      <x:c r="I1677" s="18" t="n">
        <x:v>14.77</x:v>
      </x:c>
      <x:c r="J1677" t="n">
        <x:f>IF(A1677=A1676,IFERROR(IF(B1677=EDATE(B1676,1),C1676,0),0),0)</x:f>
        <x:v>1</x:v>
      </x:c>
      <x:c r="K1677" t="n">
        <x:f>IF(AND(J1677=1,C1677=0),1,0)</x:f>
        <x:v>0</x:v>
      </x:c>
      <x:c r="L1677" t="str">
        <x:f>IFERROR(INDEX(Customers!$C$2:$C$451,MATCH(A1677,Customers!$A$2:$A$451,0)),"Unknown")</x:f>
        <x:v>Standard</x:v>
      </x:c>
    </x:row>
    <x:row r="1678">
      <x:c r="A1678" t="n">
        <x:v>307</x:v>
      </x:c>
      <x:c r="B1678" s="16" t="n">
        <x:v>46174</x:v>
      </x:c>
      <x:c r="C1678" t="n">
        <x:v>1</x:v>
      </x:c>
      <x:c r="D1678" t="n">
        <x:v>30</x:v>
      </x:c>
      <x:c r="E1678" s="18" t="n">
        <x:v>3607.67</x:v>
      </x:c>
      <x:c r="F1678" s="18" t="n">
        <x:v>0</x:v>
      </x:c>
      <x:c r="G1678" s="18" t="n">
        <x:v>16.23</x:v>
      </x:c>
      <x:c r="H1678" s="18" t="n">
        <x:v>4.36</x:v>
      </x:c>
      <x:c r="I1678" s="18" t="n">
        <x:v>20.59</x:v>
      </x:c>
      <x:c r="J1678" t="n">
        <x:f>IF(A1678=A1677,IFERROR(IF(B1678=EDATE(B1677,1),C1677,0),0),0)</x:f>
        <x:v>0</x:v>
      </x:c>
      <x:c r="K1678" t="n">
        <x:f>IF(AND(J1678=1,C1678=0),1,0)</x:f>
        <x:v>0</x:v>
      </x:c>
      <x:c r="L1678" t="str">
        <x:f>IFERROR(INDEX(Customers!$C$2:$C$451,MATCH(A1678,Customers!$A$2:$A$451,0)),"Unknown")</x:f>
        <x:v>Standard</x:v>
      </x:c>
    </x:row>
    <x:row r="1679">
      <x:c r="A1679" t="n">
        <x:v>307</x:v>
      </x:c>
      <x:c r="B1679" s="16" t="n">
        <x:v>46204</x:v>
      </x:c>
      <x:c r="C1679" t="n">
        <x:v>1</x:v>
      </x:c>
      <x:c r="D1679" t="n">
        <x:v>29</x:v>
      </x:c>
      <x:c r="E1679" s="18" t="n">
        <x:v>1833.46</x:v>
      </x:c>
      <x:c r="F1679" s="18" t="n">
        <x:v>0</x:v>
      </x:c>
      <x:c r="G1679" s="18" t="n">
        <x:v>8.25</x:v>
      </x:c>
      <x:c r="H1679" s="18" t="n">
        <x:v>3.35</x:v>
      </x:c>
      <x:c r="I1679" s="18" t="n">
        <x:v>11.6</x:v>
      </x:c>
      <x:c r="J1679" t="n">
        <x:f>IF(A1679=A1678,IFERROR(IF(B1679=EDATE(B1678,1),C1678,0),0),0)</x:f>
        <x:v>1</x:v>
      </x:c>
      <x:c r="K1679" t="n">
        <x:f>IF(AND(J1679=1,C1679=0),1,0)</x:f>
        <x:v>0</x:v>
      </x:c>
      <x:c r="L1679" t="str">
        <x:f>IFERROR(INDEX(Customers!$C$2:$C$451,MATCH(A1679,Customers!$A$2:$A$451,0)),"Unknown")</x:f>
        <x:v>Standard</x:v>
      </x:c>
    </x:row>
    <x:row r="1680">
      <x:c r="A1680" t="n">
        <x:v>307</x:v>
      </x:c>
      <x:c r="B1680" s="16" t="n">
        <x:v>46235</x:v>
      </x:c>
      <x:c r="C1680" t="n">
        <x:v>1</x:v>
      </x:c>
      <x:c r="D1680" t="n">
        <x:v>29</x:v>
      </x:c>
      <x:c r="E1680" s="18" t="n">
        <x:v>3923.27</x:v>
      </x:c>
      <x:c r="F1680" s="18" t="n">
        <x:v>0</x:v>
      </x:c>
      <x:c r="G1680" s="18" t="n">
        <x:v>17.65</x:v>
      </x:c>
      <x:c r="H1680" s="18" t="n">
        <x:v>14.84</x:v>
      </x:c>
      <x:c r="I1680" s="18" t="n">
        <x:v>32.49</x:v>
      </x:c>
      <x:c r="J1680" t="n">
        <x:f>IF(A1680=A1679,IFERROR(IF(B1680=EDATE(B1679,1),C1679,0),0),0)</x:f>
        <x:v>1</x:v>
      </x:c>
      <x:c r="K1680" t="n">
        <x:f>IF(AND(J1680=1,C1680=0),1,0)</x:f>
        <x:v>0</x:v>
      </x:c>
      <x:c r="L1680" t="str">
        <x:f>IFERROR(INDEX(Customers!$C$2:$C$451,MATCH(A1680,Customers!$A$2:$A$451,0)),"Unknown")</x:f>
        <x:v>Standard</x:v>
      </x:c>
    </x:row>
    <x:row r="1681">
      <x:c r="A1681" t="n">
        <x:v>307</x:v>
      </x:c>
      <x:c r="B1681" s="16" t="n">
        <x:v>46266</x:v>
      </x:c>
      <x:c r="C1681" t="n">
        <x:v>0</x:v>
      </x:c>
      <x:c r="D1681" t="n">
        <x:v>0</x:v>
      </x:c>
      <x:c r="E1681" s="18" t="n">
        <x:v>0</x:v>
      </x:c>
      <x:c r="F1681" s="18" t="n">
        <x:v>0</x:v>
      </x:c>
      <x:c r="G1681" s="18" t="n">
        <x:v>0</x:v>
      </x:c>
      <x:c r="H1681" s="18" t="n">
        <x:v>0</x:v>
      </x:c>
      <x:c r="I1681" s="18" t="n">
        <x:v>0</x:v>
      </x:c>
      <x:c r="J1681" t="n">
        <x:f>IF(A1681=A1680,IFERROR(IF(B1681=EDATE(B1680,1),C1680,0),0),0)</x:f>
        <x:v>1</x:v>
      </x:c>
      <x:c r="K1681" t="n">
        <x:f>IF(AND(J1681=1,C1681=0),1,0)</x:f>
        <x:v>1</x:v>
      </x:c>
      <x:c r="L1681" t="str">
        <x:f>IFERROR(INDEX(Customers!$C$2:$C$451,MATCH(A1681,Customers!$A$2:$A$451,0)),"Unknown")</x:f>
        <x:v>Standard</x:v>
      </x:c>
    </x:row>
    <x:row r="1682">
      <x:c r="A1682" t="n">
        <x:v>308</x:v>
      </x:c>
      <x:c r="B1682" s="16" t="n">
        <x:v>46143</x:v>
      </x:c>
      <x:c r="C1682" t="n">
        <x:v>0</x:v>
      </x:c>
      <x:c r="D1682" t="n">
        <x:v>0</x:v>
      </x:c>
      <x:c r="E1682" s="18" t="n">
        <x:v>0</x:v>
      </x:c>
      <x:c r="F1682" s="18" t="n">
        <x:v>0</x:v>
      </x:c>
      <x:c r="G1682" s="18" t="n">
        <x:v>0</x:v>
      </x:c>
      <x:c r="H1682" s="18" t="n">
        <x:v>0</x:v>
      </x:c>
      <x:c r="I1682" s="18" t="n">
        <x:v>0</x:v>
      </x:c>
      <x:c r="J1682" t="n">
        <x:f>IF(A1682=A1681,IFERROR(IF(B1682=EDATE(B1681,1),C1681,0),0),0)</x:f>
        <x:v>0</x:v>
      </x:c>
      <x:c r="K1682" t="n">
        <x:f>IF(AND(J1682=1,C1682=0),1,0)</x:f>
        <x:v>0</x:v>
      </x:c>
      <x:c r="L1682" t="str">
        <x:f>IFERROR(INDEX(Customers!$C$2:$C$451,MATCH(A1682,Customers!$A$2:$A$451,0)),"Unknown")</x:f>
        <x:v>Premium</x:v>
      </x:c>
    </x:row>
    <x:row r="1683">
      <x:c r="A1683" t="n">
        <x:v>308</x:v>
      </x:c>
      <x:c r="B1683" s="16" t="n">
        <x:v>46174</x:v>
      </x:c>
      <x:c r="C1683" t="n">
        <x:v>1</x:v>
      </x:c>
      <x:c r="D1683" t="n">
        <x:v>27</x:v>
      </x:c>
      <x:c r="E1683" s="18" t="n">
        <x:v>3710.58</x:v>
      </x:c>
      <x:c r="F1683" s="18" t="n">
        <x:v>17</x:v>
      </x:c>
      <x:c r="G1683" s="18" t="n">
        <x:v>16.7</x:v>
      </x:c>
      <x:c r="H1683" s="18" t="n">
        <x:v>11.88</x:v>
      </x:c>
      <x:c r="I1683" s="18" t="n">
        <x:v>45.58</x:v>
      </x:c>
      <x:c r="J1683" t="n">
        <x:f>IF(A1683=A1682,IFERROR(IF(B1683=EDATE(B1682,1),C1682,0),0),0)</x:f>
        <x:v>0</x:v>
      </x:c>
      <x:c r="K1683" t="n">
        <x:f>IF(AND(J1683=1,C1683=0),1,0)</x:f>
        <x:v>0</x:v>
      </x:c>
      <x:c r="L1683" t="str">
        <x:f>IFERROR(INDEX(Customers!$C$2:$C$451,MATCH(A1683,Customers!$A$2:$A$451,0)),"Unknown")</x:f>
        <x:v>Premium</x:v>
      </x:c>
    </x:row>
    <x:row r="1684">
      <x:c r="A1684" t="n">
        <x:v>308</x:v>
      </x:c>
      <x:c r="B1684" s="16" t="n">
        <x:v>46204</x:v>
      </x:c>
      <x:c r="C1684" t="n">
        <x:v>1</x:v>
      </x:c>
      <x:c r="D1684" t="n">
        <x:v>30</x:v>
      </x:c>
      <x:c r="E1684" s="18" t="n">
        <x:v>2000.41</x:v>
      </x:c>
      <x:c r="F1684" s="18" t="n">
        <x:v>17</x:v>
      </x:c>
      <x:c r="G1684" s="18" t="n">
        <x:v>9</x:v>
      </x:c>
      <x:c r="H1684" s="18" t="n">
        <x:v>4.62</x:v>
      </x:c>
      <x:c r="I1684" s="18" t="n">
        <x:v>30.62</x:v>
      </x:c>
      <x:c r="J1684" t="n">
        <x:f>IF(A1684=A1683,IFERROR(IF(B1684=EDATE(B1683,1),C1683,0),0),0)</x:f>
        <x:v>1</x:v>
      </x:c>
      <x:c r="K1684" t="n">
        <x:f>IF(AND(J1684=1,C1684=0),1,0)</x:f>
        <x:v>0</x:v>
      </x:c>
      <x:c r="L1684" t="str">
        <x:f>IFERROR(INDEX(Customers!$C$2:$C$451,MATCH(A1684,Customers!$A$2:$A$451,0)),"Unknown")</x:f>
        <x:v>Premium</x:v>
      </x:c>
    </x:row>
    <x:row r="1685">
      <x:c r="A1685" t="n">
        <x:v>308</x:v>
      </x:c>
      <x:c r="B1685" s="16" t="n">
        <x:v>46235</x:v>
      </x:c>
      <x:c r="C1685" t="n">
        <x:v>1</x:v>
      </x:c>
      <x:c r="D1685" t="n">
        <x:v>21</x:v>
      </x:c>
      <x:c r="E1685" s="18" t="n">
        <x:v>2592.04</x:v>
      </x:c>
      <x:c r="F1685" s="18" t="n">
        <x:v>17</x:v>
      </x:c>
      <x:c r="G1685" s="18" t="n">
        <x:v>11.66</x:v>
      </x:c>
      <x:c r="H1685" s="18" t="n">
        <x:v>7.37</x:v>
      </x:c>
      <x:c r="I1685" s="18" t="n">
        <x:v>36.03</x:v>
      </x:c>
      <x:c r="J1685" t="n">
        <x:f>IF(A1685=A1684,IFERROR(IF(B1685=EDATE(B1684,1),C1684,0),0),0)</x:f>
        <x:v>1</x:v>
      </x:c>
      <x:c r="K1685" t="n">
        <x:f>IF(AND(J1685=1,C1685=0),1,0)</x:f>
        <x:v>0</x:v>
      </x:c>
      <x:c r="L1685" t="str">
        <x:f>IFERROR(INDEX(Customers!$C$2:$C$451,MATCH(A1685,Customers!$A$2:$A$451,0)),"Unknown")</x:f>
        <x:v>Premium</x:v>
      </x:c>
    </x:row>
    <x:row r="1686">
      <x:c r="A1686" t="n">
        <x:v>308</x:v>
      </x:c>
      <x:c r="B1686" s="16" t="n">
        <x:v>46266</x:v>
      </x:c>
      <x:c r="C1686" t="n">
        <x:v>1</x:v>
      </x:c>
      <x:c r="D1686" t="n">
        <x:v>13</x:v>
      </x:c>
      <x:c r="E1686" s="18" t="n">
        <x:v>1469.54</x:v>
      </x:c>
      <x:c r="F1686" s="18" t="n">
        <x:v>17</x:v>
      </x:c>
      <x:c r="G1686" s="18" t="n">
        <x:v>6.61</x:v>
      </x:c>
      <x:c r="H1686" s="18" t="n">
        <x:v>5.11</x:v>
      </x:c>
      <x:c r="I1686" s="18" t="n">
        <x:v>28.72</x:v>
      </x:c>
      <x:c r="J1686" t="n">
        <x:f>IF(A1686=A1685,IFERROR(IF(B1686=EDATE(B1685,1),C1685,0),0),0)</x:f>
        <x:v>1</x:v>
      </x:c>
      <x:c r="K1686" t="n">
        <x:f>IF(AND(J1686=1,C1686=0),1,0)</x:f>
        <x:v>0</x:v>
      </x:c>
      <x:c r="L1686" t="str">
        <x:f>IFERROR(INDEX(Customers!$C$2:$C$451,MATCH(A1686,Customers!$A$2:$A$451,0)),"Unknown")</x:f>
        <x:v>Premium</x:v>
      </x:c>
    </x:row>
    <x:row r="1687">
      <x:c r="A1687" t="n">
        <x:v>309</x:v>
      </x:c>
      <x:c r="B1687" s="16" t="n">
        <x:v>46143</x:v>
      </x:c>
      <x:c r="C1687" t="n">
        <x:v>0</x:v>
      </x:c>
      <x:c r="D1687" t="n">
        <x:v>0</x:v>
      </x:c>
      <x:c r="E1687" s="18" t="n">
        <x:v>0</x:v>
      </x:c>
      <x:c r="F1687" s="18" t="n">
        <x:v>0</x:v>
      </x:c>
      <x:c r="G1687" s="18" t="n">
        <x:v>0</x:v>
      </x:c>
      <x:c r="H1687" s="18" t="n">
        <x:v>0</x:v>
      </x:c>
      <x:c r="I1687" s="18" t="n">
        <x:v>0</x:v>
      </x:c>
      <x:c r="J1687" t="n">
        <x:f>IF(A1687=A1686,IFERROR(IF(B1687=EDATE(B1686,1),C1686,0),0),0)</x:f>
        <x:v>0</x:v>
      </x:c>
      <x:c r="K1687" t="n">
        <x:f>IF(AND(J1687=1,C1687=0),1,0)</x:f>
        <x:v>0</x:v>
      </x:c>
      <x:c r="L1687" t="str">
        <x:f>IFERROR(INDEX(Customers!$C$2:$C$451,MATCH(A1687,Customers!$A$2:$A$451,0)),"Unknown")</x:f>
        <x:v>Premium</x:v>
      </x:c>
    </x:row>
    <x:row r="1688">
      <x:c r="A1688" t="n">
        <x:v>309</x:v>
      </x:c>
      <x:c r="B1688" s="16" t="n">
        <x:v>46174</x:v>
      </x:c>
      <x:c r="C1688" t="n">
        <x:v>1</x:v>
      </x:c>
      <x:c r="D1688" t="n">
        <x:v>12</x:v>
      </x:c>
      <x:c r="E1688" s="18" t="n">
        <x:v>1324.35</x:v>
      </x:c>
      <x:c r="F1688" s="18" t="n">
        <x:v>17</x:v>
      </x:c>
      <x:c r="G1688" s="18" t="n">
        <x:v>5.96</x:v>
      </x:c>
      <x:c r="H1688" s="18" t="n">
        <x:v>3.34</x:v>
      </x:c>
      <x:c r="I1688" s="18" t="n">
        <x:v>26.3</x:v>
      </x:c>
      <x:c r="J1688" t="n">
        <x:f>IF(A1688=A1687,IFERROR(IF(B1688=EDATE(B1687,1),C1687,0),0),0)</x:f>
        <x:v>0</x:v>
      </x:c>
      <x:c r="K1688" t="n">
        <x:f>IF(AND(J1688=1,C1688=0),1,0)</x:f>
        <x:v>0</x:v>
      </x:c>
      <x:c r="L1688" t="str">
        <x:f>IFERROR(INDEX(Customers!$C$2:$C$451,MATCH(A1688,Customers!$A$2:$A$451,0)),"Unknown")</x:f>
        <x:v>Premium</x:v>
      </x:c>
    </x:row>
    <x:row r="1689">
      <x:c r="A1689" t="n">
        <x:v>309</x:v>
      </x:c>
      <x:c r="B1689" s="16" t="n">
        <x:v>46204</x:v>
      </x:c>
      <x:c r="C1689" t="n">
        <x:v>1</x:v>
      </x:c>
      <x:c r="D1689" t="n">
        <x:v>13</x:v>
      </x:c>
      <x:c r="E1689" s="18" t="n">
        <x:v>1191.02</x:v>
      </x:c>
      <x:c r="F1689" s="18" t="n">
        <x:v>17</x:v>
      </x:c>
      <x:c r="G1689" s="18" t="n">
        <x:v>5.36</x:v>
      </x:c>
      <x:c r="H1689" s="18" t="n">
        <x:v>3.43</x:v>
      </x:c>
      <x:c r="I1689" s="18" t="n">
        <x:v>25.79</x:v>
      </x:c>
      <x:c r="J1689" t="n">
        <x:f>IF(A1689=A1688,IFERROR(IF(B1689=EDATE(B1688,1),C1688,0),0),0)</x:f>
        <x:v>1</x:v>
      </x:c>
      <x:c r="K1689" t="n">
        <x:f>IF(AND(J1689=1,C1689=0),1,0)</x:f>
        <x:v>0</x:v>
      </x:c>
      <x:c r="L1689" t="str">
        <x:f>IFERROR(INDEX(Customers!$C$2:$C$451,MATCH(A1689,Customers!$A$2:$A$451,0)),"Unknown")</x:f>
        <x:v>Premium</x:v>
      </x:c>
    </x:row>
    <x:row r="1690">
      <x:c r="A1690" t="n">
        <x:v>309</x:v>
      </x:c>
      <x:c r="B1690" s="16" t="n">
        <x:v>46235</x:v>
      </x:c>
      <x:c r="C1690" t="n">
        <x:v>0</x:v>
      </x:c>
      <x:c r="D1690" t="n">
        <x:v>0</x:v>
      </x:c>
      <x:c r="E1690" s="18" t="n">
        <x:v>0</x:v>
      </x:c>
      <x:c r="F1690" s="18" t="n">
        <x:v>0</x:v>
      </x:c>
      <x:c r="G1690" s="18" t="n">
        <x:v>0</x:v>
      </x:c>
      <x:c r="H1690" s="18" t="n">
        <x:v>0</x:v>
      </x:c>
      <x:c r="I1690" s="18" t="n">
        <x:v>0</x:v>
      </x:c>
      <x:c r="J1690" t="n">
        <x:f>IF(A1690=A1689,IFERROR(IF(B1690=EDATE(B1689,1),C1689,0),0),0)</x:f>
        <x:v>1</x:v>
      </x:c>
      <x:c r="K1690" t="n">
        <x:f>IF(AND(J1690=1,C1690=0),1,0)</x:f>
        <x:v>1</x:v>
      </x:c>
      <x:c r="L1690" t="str">
        <x:f>IFERROR(INDEX(Customers!$C$2:$C$451,MATCH(A1690,Customers!$A$2:$A$451,0)),"Unknown")</x:f>
        <x:v>Premium</x:v>
      </x:c>
    </x:row>
    <x:row r="1691">
      <x:c r="A1691" t="n">
        <x:v>309</x:v>
      </x:c>
      <x:c r="B1691" s="16" t="n">
        <x:v>46266</x:v>
      </x:c>
      <x:c r="C1691" t="n">
        <x:v>1</x:v>
      </x:c>
      <x:c r="D1691" t="n">
        <x:v>34</x:v>
      </x:c>
      <x:c r="E1691" s="18" t="n">
        <x:v>4155</x:v>
      </x:c>
      <x:c r="F1691" s="18" t="n">
        <x:v>17</x:v>
      </x:c>
      <x:c r="G1691" s="18" t="n">
        <x:v>18.7</x:v>
      </x:c>
      <x:c r="H1691" s="18" t="n">
        <x:v>13.88</x:v>
      </x:c>
      <x:c r="I1691" s="18" t="n">
        <x:v>49.58</x:v>
      </x:c>
      <x:c r="J1691" t="n">
        <x:f>IF(A1691=A1690,IFERROR(IF(B1691=EDATE(B1690,1),C1690,0),0),0)</x:f>
        <x:v>0</x:v>
      </x:c>
      <x:c r="K1691" t="n">
        <x:f>IF(AND(J1691=1,C1691=0),1,0)</x:f>
        <x:v>0</x:v>
      </x:c>
      <x:c r="L1691" t="str">
        <x:f>IFERROR(INDEX(Customers!$C$2:$C$451,MATCH(A1691,Customers!$A$2:$A$451,0)),"Unknown")</x:f>
        <x:v>Premium</x:v>
      </x:c>
    </x:row>
    <x:row r="1692">
      <x:c r="A1692" t="n">
        <x:v>310</x:v>
      </x:c>
      <x:c r="B1692" s="16" t="n">
        <x:v>46113</x:v>
      </x:c>
      <x:c r="C1692" t="n">
        <x:v>1</x:v>
      </x:c>
      <x:c r="D1692" t="n">
        <x:v>21</x:v>
      </x:c>
      <x:c r="E1692" s="18" t="n">
        <x:v>2905.06</x:v>
      </x:c>
      <x:c r="F1692" s="18" t="n">
        <x:v>17</x:v>
      </x:c>
      <x:c r="G1692" s="18" t="n">
        <x:v>13.07</x:v>
      </x:c>
      <x:c r="H1692" s="18" t="n">
        <x:v>2.35</x:v>
      </x:c>
      <x:c r="I1692" s="18" t="n">
        <x:v>32.42</x:v>
      </x:c>
      <x:c r="J1692" t="n">
        <x:f>IF(A1692=A1691,IFERROR(IF(B1692=EDATE(B1691,1),C1691,0),0),0)</x:f>
        <x:v>0</x:v>
      </x:c>
      <x:c r="K1692" t="n">
        <x:f>IF(AND(J1692=1,C1692=0),1,0)</x:f>
        <x:v>0</x:v>
      </x:c>
      <x:c r="L1692" t="str">
        <x:f>IFERROR(INDEX(Customers!$C$2:$C$451,MATCH(A1692,Customers!$A$2:$A$451,0)),"Unknown")</x:f>
        <x:v>Premium</x:v>
      </x:c>
    </x:row>
    <x:row r="1693">
      <x:c r="A1693" t="n">
        <x:v>310</x:v>
      </x:c>
      <x:c r="B1693" s="16" t="n">
        <x:v>46143</x:v>
      </x:c>
      <x:c r="C1693" t="n">
        <x:v>1</x:v>
      </x:c>
      <x:c r="D1693" t="n">
        <x:v>27</x:v>
      </x:c>
      <x:c r="E1693" s="18" t="n">
        <x:v>1990.84</x:v>
      </x:c>
      <x:c r="F1693" s="18" t="n">
        <x:v>17</x:v>
      </x:c>
      <x:c r="G1693" s="18" t="n">
        <x:v>8.96</x:v>
      </x:c>
      <x:c r="H1693" s="18" t="n">
        <x:v>2.01</x:v>
      </x:c>
      <x:c r="I1693" s="18" t="n">
        <x:v>27.97</x:v>
      </x:c>
      <x:c r="J1693" t="n">
        <x:f>IF(A1693=A1692,IFERROR(IF(B1693=EDATE(B1692,1),C1692,0),0),0)</x:f>
        <x:v>1</x:v>
      </x:c>
      <x:c r="K1693" t="n">
        <x:f>IF(AND(J1693=1,C1693=0),1,0)</x:f>
        <x:v>0</x:v>
      </x:c>
      <x:c r="L1693" t="str">
        <x:f>IFERROR(INDEX(Customers!$C$2:$C$451,MATCH(A1693,Customers!$A$2:$A$451,0)),"Unknown")</x:f>
        <x:v>Premium</x:v>
      </x:c>
    </x:row>
    <x:row r="1694">
      <x:c r="A1694" t="n">
        <x:v>310</x:v>
      </x:c>
      <x:c r="B1694" s="16" t="n">
        <x:v>46174</x:v>
      </x:c>
      <x:c r="C1694" t="n">
        <x:v>1</x:v>
      </x:c>
      <x:c r="D1694" t="n">
        <x:v>27</x:v>
      </x:c>
      <x:c r="E1694" s="18" t="n">
        <x:v>1704.5</x:v>
      </x:c>
      <x:c r="F1694" s="18" t="n">
        <x:v>17</x:v>
      </x:c>
      <x:c r="G1694" s="18" t="n">
        <x:v>7.67</x:v>
      </x:c>
      <x:c r="H1694" s="18" t="n">
        <x:v>3.7</x:v>
      </x:c>
      <x:c r="I1694" s="18" t="n">
        <x:v>28.37</x:v>
      </x:c>
      <x:c r="J1694" t="n">
        <x:f>IF(A1694=A1693,IFERROR(IF(B1694=EDATE(B1693,1),C1693,0),0),0)</x:f>
        <x:v>1</x:v>
      </x:c>
      <x:c r="K1694" t="n">
        <x:f>IF(AND(J1694=1,C1694=0),1,0)</x:f>
        <x:v>0</x:v>
      </x:c>
      <x:c r="L1694" t="str">
        <x:f>IFERROR(INDEX(Customers!$C$2:$C$451,MATCH(A1694,Customers!$A$2:$A$451,0)),"Unknown")</x:f>
        <x:v>Premium</x:v>
      </x:c>
    </x:row>
    <x:row r="1695">
      <x:c r="A1695" t="n">
        <x:v>310</x:v>
      </x:c>
      <x:c r="B1695" s="16" t="n">
        <x:v>46204</x:v>
      </x:c>
      <x:c r="C1695" t="n">
        <x:v>1</x:v>
      </x:c>
      <x:c r="D1695" t="n">
        <x:v>10</x:v>
      </x:c>
      <x:c r="E1695" s="18" t="n">
        <x:v>651.44</x:v>
      </x:c>
      <x:c r="F1695" s="18" t="n">
        <x:v>17</x:v>
      </x:c>
      <x:c r="G1695" s="18" t="n">
        <x:v>2.93</x:v>
      </x:c>
      <x:c r="H1695" s="18" t="n">
        <x:v>1.59</x:v>
      </x:c>
      <x:c r="I1695" s="18" t="n">
        <x:v>21.52</x:v>
      </x:c>
      <x:c r="J1695" t="n">
        <x:f>IF(A1695=A1694,IFERROR(IF(B1695=EDATE(B1694,1),C1694,0),0),0)</x:f>
        <x:v>1</x:v>
      </x:c>
      <x:c r="K1695" t="n">
        <x:f>IF(AND(J1695=1,C1695=0),1,0)</x:f>
        <x:v>0</x:v>
      </x:c>
      <x:c r="L1695" t="str">
        <x:f>IFERROR(INDEX(Customers!$C$2:$C$451,MATCH(A1695,Customers!$A$2:$A$451,0)),"Unknown")</x:f>
        <x:v>Premium</x:v>
      </x:c>
    </x:row>
    <x:row r="1696">
      <x:c r="A1696" t="n">
        <x:v>310</x:v>
      </x:c>
      <x:c r="B1696" s="16" t="n">
        <x:v>46235</x:v>
      </x:c>
      <x:c r="C1696" t="n">
        <x:v>1</x:v>
      </x:c>
      <x:c r="D1696" t="n">
        <x:v>27</x:v>
      </x:c>
      <x:c r="E1696" s="18" t="n">
        <x:v>1284.22</x:v>
      </x:c>
      <x:c r="F1696" s="18" t="n">
        <x:v>17</x:v>
      </x:c>
      <x:c r="G1696" s="18" t="n">
        <x:v>5.78</x:v>
      </x:c>
      <x:c r="H1696" s="18" t="n">
        <x:v>2.07</x:v>
      </x:c>
      <x:c r="I1696" s="18" t="n">
        <x:v>24.85</x:v>
      </x:c>
      <x:c r="J1696" t="n">
        <x:f>IF(A1696=A1695,IFERROR(IF(B1696=EDATE(B1695,1),C1695,0),0),0)</x:f>
        <x:v>1</x:v>
      </x:c>
      <x:c r="K1696" t="n">
        <x:f>IF(AND(J1696=1,C1696=0),1,0)</x:f>
        <x:v>0</x:v>
      </x:c>
      <x:c r="L1696" t="str">
        <x:f>IFERROR(INDEX(Customers!$C$2:$C$451,MATCH(A1696,Customers!$A$2:$A$451,0)),"Unknown")</x:f>
        <x:v>Premium</x:v>
      </x:c>
    </x:row>
    <x:row r="1697">
      <x:c r="A1697" t="n">
        <x:v>310</x:v>
      </x:c>
      <x:c r="B1697" s="16" t="n">
        <x:v>46266</x:v>
      </x:c>
      <x:c r="C1697" t="n">
        <x:v>0</x:v>
      </x:c>
      <x:c r="D1697" t="n">
        <x:v>0</x:v>
      </x:c>
      <x:c r="E1697" s="18" t="n">
        <x:v>0</x:v>
      </x:c>
      <x:c r="F1697" s="18" t="n">
        <x:v>0</x:v>
      </x:c>
      <x:c r="G1697" s="18" t="n">
        <x:v>0</x:v>
      </x:c>
      <x:c r="H1697" s="18" t="n">
        <x:v>0</x:v>
      </x:c>
      <x:c r="I1697" s="18" t="n">
        <x:v>0</x:v>
      </x:c>
      <x:c r="J1697" t="n">
        <x:f>IF(A1697=A1696,IFERROR(IF(B1697=EDATE(B1696,1),C1696,0),0),0)</x:f>
        <x:v>1</x:v>
      </x:c>
      <x:c r="K1697" t="n">
        <x:f>IF(AND(J1697=1,C1697=0),1,0)</x:f>
        <x:v>1</x:v>
      </x:c>
      <x:c r="L1697" t="str">
        <x:f>IFERROR(INDEX(Customers!$C$2:$C$451,MATCH(A1697,Customers!$A$2:$A$451,0)),"Unknown")</x:f>
        <x:v>Premium</x:v>
      </x:c>
    </x:row>
    <x:row r="1698">
      <x:c r="A1698" t="n">
        <x:v>311</x:v>
      </x:c>
      <x:c r="B1698" s="16" t="n">
        <x:v>46143</x:v>
      </x:c>
      <x:c r="C1698" t="n">
        <x:v>0</x:v>
      </x:c>
      <x:c r="D1698" t="n">
        <x:v>0</x:v>
      </x:c>
      <x:c r="E1698" s="18" t="n">
        <x:v>0</x:v>
      </x:c>
      <x:c r="F1698" s="18" t="n">
        <x:v>0</x:v>
      </x:c>
      <x:c r="G1698" s="18" t="n">
        <x:v>0</x:v>
      </x:c>
      <x:c r="H1698" s="18" t="n">
        <x:v>0</x:v>
      </x:c>
      <x:c r="I1698" s="18" t="n">
        <x:v>0</x:v>
      </x:c>
      <x:c r="J1698" t="n">
        <x:f>IF(A1698=A1697,IFERROR(IF(B1698=EDATE(B1697,1),C1697,0),0),0)</x:f>
        <x:v>0</x:v>
      </x:c>
      <x:c r="K1698" t="n">
        <x:f>IF(AND(J1698=1,C1698=0),1,0)</x:f>
        <x:v>0</x:v>
      </x:c>
      <x:c r="L1698" t="str">
        <x:f>IFERROR(INDEX(Customers!$C$2:$C$451,MATCH(A1698,Customers!$A$2:$A$451,0)),"Unknown")</x:f>
        <x:v>Plus</x:v>
      </x:c>
    </x:row>
    <x:row r="1699">
      <x:c r="A1699" t="n">
        <x:v>311</x:v>
      </x:c>
      <x:c r="B1699" s="16" t="n">
        <x:v>46174</x:v>
      </x:c>
      <x:c r="C1699" t="n">
        <x:v>1</x:v>
      </x:c>
      <x:c r="D1699" t="n">
        <x:v>24</x:v>
      </x:c>
      <x:c r="E1699" s="18" t="n">
        <x:v>2083.48</x:v>
      </x:c>
      <x:c r="F1699" s="18" t="n">
        <x:v>8</x:v>
      </x:c>
      <x:c r="G1699" s="18" t="n">
        <x:v>9.38</x:v>
      </x:c>
      <x:c r="H1699" s="18" t="n">
        <x:v>5.34</x:v>
      </x:c>
      <x:c r="I1699" s="18" t="n">
        <x:v>22.72</x:v>
      </x:c>
      <x:c r="J1699" t="n">
        <x:f>IF(A1699=A1698,IFERROR(IF(B1699=EDATE(B1698,1),C1698,0),0),0)</x:f>
        <x:v>0</x:v>
      </x:c>
      <x:c r="K1699" t="n">
        <x:f>IF(AND(J1699=1,C1699=0),1,0)</x:f>
        <x:v>0</x:v>
      </x:c>
      <x:c r="L1699" t="str">
        <x:f>IFERROR(INDEX(Customers!$C$2:$C$451,MATCH(A1699,Customers!$A$2:$A$451,0)),"Unknown")</x:f>
        <x:v>Plus</x:v>
      </x:c>
    </x:row>
    <x:row r="1700">
      <x:c r="A1700" t="n">
        <x:v>311</x:v>
      </x:c>
      <x:c r="B1700" s="16" t="n">
        <x:v>46204</x:v>
      </x:c>
      <x:c r="C1700" t="n">
        <x:v>1</x:v>
      </x:c>
      <x:c r="D1700" t="n">
        <x:v>17</x:v>
      </x:c>
      <x:c r="E1700" s="18" t="n">
        <x:v>1107.79</x:v>
      </x:c>
      <x:c r="F1700" s="18" t="n">
        <x:v>8</x:v>
      </x:c>
      <x:c r="G1700" s="18" t="n">
        <x:v>4.99</x:v>
      </x:c>
      <x:c r="H1700" s="18" t="n">
        <x:v>3.83</x:v>
      </x:c>
      <x:c r="I1700" s="18" t="n">
        <x:v>16.82</x:v>
      </x:c>
      <x:c r="J1700" t="n">
        <x:f>IF(A1700=A1699,IFERROR(IF(B1700=EDATE(B1699,1),C1699,0),0),0)</x:f>
        <x:v>1</x:v>
      </x:c>
      <x:c r="K1700" t="n">
        <x:f>IF(AND(J1700=1,C1700=0),1,0)</x:f>
        <x:v>0</x:v>
      </x:c>
      <x:c r="L1700" t="str">
        <x:f>IFERROR(INDEX(Customers!$C$2:$C$451,MATCH(A1700,Customers!$A$2:$A$451,0)),"Unknown")</x:f>
        <x:v>Plus</x:v>
      </x:c>
    </x:row>
    <x:row r="1701">
      <x:c r="A1701" t="n">
        <x:v>311</x:v>
      </x:c>
      <x:c r="B1701" s="16" t="n">
        <x:v>46235</x:v>
      </x:c>
      <x:c r="C1701" t="n">
        <x:v>1</x:v>
      </x:c>
      <x:c r="D1701" t="n">
        <x:v>22</x:v>
      </x:c>
      <x:c r="E1701" s="18" t="n">
        <x:v>2895.18</x:v>
      </x:c>
      <x:c r="F1701" s="18" t="n">
        <x:v>8</x:v>
      </x:c>
      <x:c r="G1701" s="18" t="n">
        <x:v>13.03</x:v>
      </x:c>
      <x:c r="H1701" s="18" t="n">
        <x:v>5.29</x:v>
      </x:c>
      <x:c r="I1701" s="18" t="n">
        <x:v>26.32</x:v>
      </x:c>
      <x:c r="J1701" t="n">
        <x:f>IF(A1701=A1700,IFERROR(IF(B1701=EDATE(B1700,1),C1700,0),0),0)</x:f>
        <x:v>1</x:v>
      </x:c>
      <x:c r="K1701" t="n">
        <x:f>IF(AND(J1701=1,C1701=0),1,0)</x:f>
        <x:v>0</x:v>
      </x:c>
      <x:c r="L1701" t="str">
        <x:f>IFERROR(INDEX(Customers!$C$2:$C$451,MATCH(A1701,Customers!$A$2:$A$451,0)),"Unknown")</x:f>
        <x:v>Plus</x:v>
      </x:c>
    </x:row>
    <x:row r="1702">
      <x:c r="A1702" t="n">
        <x:v>311</x:v>
      </x:c>
      <x:c r="B1702" s="16" t="n">
        <x:v>46266</x:v>
      </x:c>
      <x:c r="C1702" t="n">
        <x:v>0</x:v>
      </x:c>
      <x:c r="D1702" t="n">
        <x:v>0</x:v>
      </x:c>
      <x:c r="E1702" s="18" t="n">
        <x:v>0</x:v>
      </x:c>
      <x:c r="F1702" s="18" t="n">
        <x:v>0</x:v>
      </x:c>
      <x:c r="G1702" s="18" t="n">
        <x:v>0</x:v>
      </x:c>
      <x:c r="H1702" s="18" t="n">
        <x:v>0</x:v>
      </x:c>
      <x:c r="I1702" s="18" t="n">
        <x:v>0</x:v>
      </x:c>
      <x:c r="J1702" t="n">
        <x:f>IF(A1702=A1701,IFERROR(IF(B1702=EDATE(B1701,1),C1701,0),0),0)</x:f>
        <x:v>1</x:v>
      </x:c>
      <x:c r="K1702" t="n">
        <x:f>IF(AND(J1702=1,C1702=0),1,0)</x:f>
        <x:v>1</x:v>
      </x:c>
      <x:c r="L1702" t="str">
        <x:f>IFERROR(INDEX(Customers!$C$2:$C$451,MATCH(A1702,Customers!$A$2:$A$451,0)),"Unknown")</x:f>
        <x:v>Plus</x:v>
      </x:c>
    </x:row>
    <x:row r="1703">
      <x:c r="A1703" t="n">
        <x:v>312</x:v>
      </x:c>
      <x:c r="B1703" s="16" t="n">
        <x:v>46143</x:v>
      </x:c>
      <x:c r="C1703" t="n">
        <x:v>1</x:v>
      </x:c>
      <x:c r="D1703" t="n">
        <x:v>34</x:v>
      </x:c>
      <x:c r="E1703" s="18" t="n">
        <x:v>1749.77</x:v>
      </x:c>
      <x:c r="F1703" s="18" t="n">
        <x:v>0</x:v>
      </x:c>
      <x:c r="G1703" s="18" t="n">
        <x:v>7.87</x:v>
      </x:c>
      <x:c r="H1703" s="18" t="n">
        <x:v>2.52</x:v>
      </x:c>
      <x:c r="I1703" s="18" t="n">
        <x:v>10.39</x:v>
      </x:c>
      <x:c r="J1703" t="n">
        <x:f>IF(A1703=A1702,IFERROR(IF(B1703=EDATE(B1702,1),C1702,0),0),0)</x:f>
        <x:v>0</x:v>
      </x:c>
      <x:c r="K1703" t="n">
        <x:f>IF(AND(J1703=1,C1703=0),1,0)</x:f>
        <x:v>0</x:v>
      </x:c>
      <x:c r="L1703" t="str">
        <x:f>IFERROR(INDEX(Customers!$C$2:$C$451,MATCH(A1703,Customers!$A$2:$A$451,0)),"Unknown")</x:f>
        <x:v>Standard</x:v>
      </x:c>
    </x:row>
    <x:row r="1704">
      <x:c r="A1704" t="n">
        <x:v>312</x:v>
      </x:c>
      <x:c r="B1704" s="16" t="n">
        <x:v>46174</x:v>
      </x:c>
      <x:c r="C1704" t="n">
        <x:v>1</x:v>
      </x:c>
      <x:c r="D1704" t="n">
        <x:v>16</x:v>
      </x:c>
      <x:c r="E1704" s="18" t="n">
        <x:v>1824.16</x:v>
      </x:c>
      <x:c r="F1704" s="18" t="n">
        <x:v>0</x:v>
      </x:c>
      <x:c r="G1704" s="18" t="n">
        <x:v>8.21</x:v>
      </x:c>
      <x:c r="H1704" s="18" t="n">
        <x:v>6.01</x:v>
      </x:c>
      <x:c r="I1704" s="18" t="n">
        <x:v>14.22</x:v>
      </x:c>
      <x:c r="J1704" t="n">
        <x:f>IF(A1704=A1703,IFERROR(IF(B1704=EDATE(B1703,1),C1703,0),0),0)</x:f>
        <x:v>1</x:v>
      </x:c>
      <x:c r="K1704" t="n">
        <x:f>IF(AND(J1704=1,C1704=0),1,0)</x:f>
        <x:v>0</x:v>
      </x:c>
      <x:c r="L1704" t="str">
        <x:f>IFERROR(INDEX(Customers!$C$2:$C$451,MATCH(A1704,Customers!$A$2:$A$451,0)),"Unknown")</x:f>
        <x:v>Standard</x:v>
      </x:c>
    </x:row>
    <x:row r="1705">
      <x:c r="A1705" t="n">
        <x:v>312</x:v>
      </x:c>
      <x:c r="B1705" s="16" t="n">
        <x:v>46204</x:v>
      </x:c>
      <x:c r="C1705" t="n">
        <x:v>0</x:v>
      </x:c>
      <x:c r="D1705" t="n">
        <x:v>0</x:v>
      </x:c>
      <x:c r="E1705" s="18" t="n">
        <x:v>0</x:v>
      </x:c>
      <x:c r="F1705" s="18" t="n">
        <x:v>0</x:v>
      </x:c>
      <x:c r="G1705" s="18" t="n">
        <x:v>0</x:v>
      </x:c>
      <x:c r="H1705" s="18" t="n">
        <x:v>0</x:v>
      </x:c>
      <x:c r="I1705" s="18" t="n">
        <x:v>0</x:v>
      </x:c>
      <x:c r="J1705" t="n">
        <x:f>IF(A1705=A1704,IFERROR(IF(B1705=EDATE(B1704,1),C1704,0),0),0)</x:f>
        <x:v>1</x:v>
      </x:c>
      <x:c r="K1705" t="n">
        <x:f>IF(AND(J1705=1,C1705=0),1,0)</x:f>
        <x:v>1</x:v>
      </x:c>
      <x:c r="L1705" t="str">
        <x:f>IFERROR(INDEX(Customers!$C$2:$C$451,MATCH(A1705,Customers!$A$2:$A$451,0)),"Unknown")</x:f>
        <x:v>Standard</x:v>
      </x:c>
    </x:row>
    <x:row r="1706">
      <x:c r="A1706" t="n">
        <x:v>312</x:v>
      </x:c>
      <x:c r="B1706" s="16" t="n">
        <x:v>46235</x:v>
      </x:c>
      <x:c r="C1706" t="n">
        <x:v>1</x:v>
      </x:c>
      <x:c r="D1706" t="n">
        <x:v>13</x:v>
      </x:c>
      <x:c r="E1706" s="18" t="n">
        <x:v>708.51</x:v>
      </x:c>
      <x:c r="F1706" s="18" t="n">
        <x:v>0</x:v>
      </x:c>
      <x:c r="G1706" s="18" t="n">
        <x:v>3.19</x:v>
      </x:c>
      <x:c r="H1706" s="18" t="n">
        <x:v>1.95</x:v>
      </x:c>
      <x:c r="I1706" s="18" t="n">
        <x:v>5.14</x:v>
      </x:c>
      <x:c r="J1706" t="n">
        <x:f>IF(A1706=A1705,IFERROR(IF(B1706=EDATE(B1705,1),C1705,0),0),0)</x:f>
        <x:v>0</x:v>
      </x:c>
      <x:c r="K1706" t="n">
        <x:f>IF(AND(J1706=1,C1706=0),1,0)</x:f>
        <x:v>0</x:v>
      </x:c>
      <x:c r="L1706" t="str">
        <x:f>IFERROR(INDEX(Customers!$C$2:$C$451,MATCH(A1706,Customers!$A$2:$A$451,0)),"Unknown")</x:f>
        <x:v>Standard</x:v>
      </x:c>
    </x:row>
    <x:row r="1707">
      <x:c r="A1707" t="n">
        <x:v>312</x:v>
      </x:c>
      <x:c r="B1707" s="16" t="n">
        <x:v>46266</x:v>
      </x:c>
      <x:c r="C1707" t="n">
        <x:v>1</x:v>
      </x:c>
      <x:c r="D1707" t="n">
        <x:v>17</x:v>
      </x:c>
      <x:c r="E1707" s="18" t="n">
        <x:v>2052.59</x:v>
      </x:c>
      <x:c r="F1707" s="18" t="n">
        <x:v>0</x:v>
      </x:c>
      <x:c r="G1707" s="18" t="n">
        <x:v>9.24</x:v>
      </x:c>
      <x:c r="H1707" s="18" t="n">
        <x:v>3.22</x:v>
      </x:c>
      <x:c r="I1707" s="18" t="n">
        <x:v>12.46</x:v>
      </x:c>
      <x:c r="J1707" t="n">
        <x:f>IF(A1707=A1706,IFERROR(IF(B1707=EDATE(B1706,1),C1706,0),0),0)</x:f>
        <x:v>1</x:v>
      </x:c>
      <x:c r="K1707" t="n">
        <x:f>IF(AND(J1707=1,C1707=0),1,0)</x:f>
        <x:v>0</x:v>
      </x:c>
      <x:c r="L1707" t="str">
        <x:f>IFERROR(INDEX(Customers!$C$2:$C$451,MATCH(A1707,Customers!$A$2:$A$451,0)),"Unknown")</x:f>
        <x:v>Standard</x:v>
      </x:c>
    </x:row>
    <x:row r="1708">
      <x:c r="A1708" t="n">
        <x:v>313</x:v>
      </x:c>
      <x:c r="B1708" s="16" t="n">
        <x:v>46113</x:v>
      </x:c>
      <x:c r="C1708" t="n">
        <x:v>0</x:v>
      </x:c>
      <x:c r="D1708" t="n">
        <x:v>0</x:v>
      </x:c>
      <x:c r="E1708" s="18" t="n">
        <x:v>0</x:v>
      </x:c>
      <x:c r="F1708" s="18" t="n">
        <x:v>0</x:v>
      </x:c>
      <x:c r="G1708" s="18" t="n">
        <x:v>0</x:v>
      </x:c>
      <x:c r="H1708" s="18" t="n">
        <x:v>0</x:v>
      </x:c>
      <x:c r="I1708" s="18" t="n">
        <x:v>0</x:v>
      </x:c>
      <x:c r="J1708" t="n">
        <x:f>IF(A1708=A1707,IFERROR(IF(B1708=EDATE(B1707,1),C1707,0),0),0)</x:f>
        <x:v>0</x:v>
      </x:c>
      <x:c r="K1708" t="n">
        <x:f>IF(AND(J1708=1,C1708=0),1,0)</x:f>
        <x:v>0</x:v>
      </x:c>
      <x:c r="L1708" t="str">
        <x:f>IFERROR(INDEX(Customers!$C$2:$C$451,MATCH(A1708,Customers!$A$2:$A$451,0)),"Unknown")</x:f>
        <x:v>Metal</x:v>
      </x:c>
    </x:row>
    <x:row r="1709">
      <x:c r="A1709" t="n">
        <x:v>313</x:v>
      </x:c>
      <x:c r="B1709" s="16" t="n">
        <x:v>46143</x:v>
      </x:c>
      <x:c r="C1709" t="n">
        <x:v>1</x:v>
      </x:c>
      <x:c r="D1709" t="n">
        <x:v>10</x:v>
      </x:c>
      <x:c r="E1709" s="18" t="n">
        <x:v>991.43</x:v>
      </x:c>
      <x:c r="F1709" s="18" t="n">
        <x:v>34</x:v>
      </x:c>
      <x:c r="G1709" s="18" t="n">
        <x:v>4.46</x:v>
      </x:c>
      <x:c r="H1709" s="18" t="n">
        <x:v>0.94</x:v>
      </x:c>
      <x:c r="I1709" s="18" t="n">
        <x:v>39.4</x:v>
      </x:c>
      <x:c r="J1709" t="n">
        <x:f>IF(A1709=A1708,IFERROR(IF(B1709=EDATE(B1708,1),C1708,0),0),0)</x:f>
        <x:v>0</x:v>
      </x:c>
      <x:c r="K1709" t="n">
        <x:f>IF(AND(J1709=1,C1709=0),1,0)</x:f>
        <x:v>0</x:v>
      </x:c>
      <x:c r="L1709" t="str">
        <x:f>IFERROR(INDEX(Customers!$C$2:$C$451,MATCH(A1709,Customers!$A$2:$A$451,0)),"Unknown")</x:f>
        <x:v>Metal</x:v>
      </x:c>
    </x:row>
    <x:row r="1710">
      <x:c r="A1710" t="n">
        <x:v>313</x:v>
      </x:c>
      <x:c r="B1710" s="16" t="n">
        <x:v>46174</x:v>
      </x:c>
      <x:c r="C1710" t="n">
        <x:v>1</x:v>
      </x:c>
      <x:c r="D1710" t="n">
        <x:v>36</x:v>
      </x:c>
      <x:c r="E1710" s="18" t="n">
        <x:v>4404.45</x:v>
      </x:c>
      <x:c r="F1710" s="18" t="n">
        <x:v>34</x:v>
      </x:c>
      <x:c r="G1710" s="18" t="n">
        <x:v>19.82</x:v>
      </x:c>
      <x:c r="H1710" s="18" t="n">
        <x:v>5.62</x:v>
      </x:c>
      <x:c r="I1710" s="18" t="n">
        <x:v>59.44</x:v>
      </x:c>
      <x:c r="J1710" t="n">
        <x:f>IF(A1710=A1709,IFERROR(IF(B1710=EDATE(B1709,1),C1709,0),0),0)</x:f>
        <x:v>1</x:v>
      </x:c>
      <x:c r="K1710" t="n">
        <x:f>IF(AND(J1710=1,C1710=0),1,0)</x:f>
        <x:v>0</x:v>
      </x:c>
      <x:c r="L1710" t="str">
        <x:f>IFERROR(INDEX(Customers!$C$2:$C$451,MATCH(A1710,Customers!$A$2:$A$451,0)),"Unknown")</x:f>
        <x:v>Metal</x:v>
      </x:c>
    </x:row>
    <x:row r="1711">
      <x:c r="A1711" t="n">
        <x:v>313</x:v>
      </x:c>
      <x:c r="B1711" s="16" t="n">
        <x:v>46204</x:v>
      </x:c>
      <x:c r="C1711" t="n">
        <x:v>1</x:v>
      </x:c>
      <x:c r="D1711" t="n">
        <x:v>14</x:v>
      </x:c>
      <x:c r="E1711" s="18" t="n">
        <x:v>1798.86</x:v>
      </x:c>
      <x:c r="F1711" s="18" t="n">
        <x:v>34</x:v>
      </x:c>
      <x:c r="G1711" s="18" t="n">
        <x:v>8.09</x:v>
      </x:c>
      <x:c r="H1711" s="18" t="n">
        <x:v>2.92</x:v>
      </x:c>
      <x:c r="I1711" s="18" t="n">
        <x:v>45.01</x:v>
      </x:c>
      <x:c r="J1711" t="n">
        <x:f>IF(A1711=A1710,IFERROR(IF(B1711=EDATE(B1710,1),C1710,0),0),0)</x:f>
        <x:v>1</x:v>
      </x:c>
      <x:c r="K1711" t="n">
        <x:f>IF(AND(J1711=1,C1711=0),1,0)</x:f>
        <x:v>0</x:v>
      </x:c>
      <x:c r="L1711" t="str">
        <x:f>IFERROR(INDEX(Customers!$C$2:$C$451,MATCH(A1711,Customers!$A$2:$A$451,0)),"Unknown")</x:f>
        <x:v>Metal</x:v>
      </x:c>
    </x:row>
    <x:row r="1712">
      <x:c r="A1712" t="n">
        <x:v>313</x:v>
      </x:c>
      <x:c r="B1712" s="16" t="n">
        <x:v>46235</x:v>
      </x:c>
      <x:c r="C1712" t="n">
        <x:v>1</x:v>
      </x:c>
      <x:c r="D1712" t="n">
        <x:v>13</x:v>
      </x:c>
      <x:c r="E1712" s="18" t="n">
        <x:v>1075.33</x:v>
      </x:c>
      <x:c r="F1712" s="18" t="n">
        <x:v>34</x:v>
      </x:c>
      <x:c r="G1712" s="18" t="n">
        <x:v>4.84</x:v>
      </x:c>
      <x:c r="H1712" s="18" t="n">
        <x:v>3.32</x:v>
      </x:c>
      <x:c r="I1712" s="18" t="n">
        <x:v>42.16</x:v>
      </x:c>
      <x:c r="J1712" t="n">
        <x:f>IF(A1712=A1711,IFERROR(IF(B1712=EDATE(B1711,1),C1711,0),0),0)</x:f>
        <x:v>1</x:v>
      </x:c>
      <x:c r="K1712" t="n">
        <x:f>IF(AND(J1712=1,C1712=0),1,0)</x:f>
        <x:v>0</x:v>
      </x:c>
      <x:c r="L1712" t="str">
        <x:f>IFERROR(INDEX(Customers!$C$2:$C$451,MATCH(A1712,Customers!$A$2:$A$451,0)),"Unknown")</x:f>
        <x:v>Metal</x:v>
      </x:c>
    </x:row>
    <x:row r="1713">
      <x:c r="A1713" t="n">
        <x:v>313</x:v>
      </x:c>
      <x:c r="B1713" s="16" t="n">
        <x:v>46266</x:v>
      </x:c>
      <x:c r="C1713" t="n">
        <x:v>1</x:v>
      </x:c>
      <x:c r="D1713" t="n">
        <x:v>25</x:v>
      </x:c>
      <x:c r="E1713" s="18" t="n">
        <x:v>3193.26</x:v>
      </x:c>
      <x:c r="F1713" s="18" t="n">
        <x:v>34</x:v>
      </x:c>
      <x:c r="G1713" s="18" t="n">
        <x:v>14.37</x:v>
      </x:c>
      <x:c r="H1713" s="18" t="n">
        <x:v>7.93</x:v>
      </x:c>
      <x:c r="I1713" s="18" t="n">
        <x:v>56.3</x:v>
      </x:c>
      <x:c r="J1713" t="n">
        <x:f>IF(A1713=A1712,IFERROR(IF(B1713=EDATE(B1712,1),C1712,0),0),0)</x:f>
        <x:v>1</x:v>
      </x:c>
      <x:c r="K1713" t="n">
        <x:f>IF(AND(J1713=1,C1713=0),1,0)</x:f>
        <x:v>0</x:v>
      </x:c>
      <x:c r="L1713" t="str">
        <x:f>IFERROR(INDEX(Customers!$C$2:$C$451,MATCH(A1713,Customers!$A$2:$A$451,0)),"Unknown")</x:f>
        <x:v>Metal</x:v>
      </x:c>
    </x:row>
    <x:row r="1714">
      <x:c r="A1714" t="n">
        <x:v>314</x:v>
      </x:c>
      <x:c r="B1714" s="16" t="n">
        <x:v>46174</x:v>
      </x:c>
      <x:c r="C1714" t="n">
        <x:v>0</x:v>
      </x:c>
      <x:c r="D1714" t="n">
        <x:v>0</x:v>
      </x:c>
      <x:c r="E1714" s="18" t="n">
        <x:v>0</x:v>
      </x:c>
      <x:c r="F1714" s="18" t="n">
        <x:v>0</x:v>
      </x:c>
      <x:c r="G1714" s="18" t="n">
        <x:v>0</x:v>
      </x:c>
      <x:c r="H1714" s="18" t="n">
        <x:v>0</x:v>
      </x:c>
      <x:c r="I1714" s="18" t="n">
        <x:v>0</x:v>
      </x:c>
      <x:c r="J1714" t="n">
        <x:f>IF(A1714=A1713,IFERROR(IF(B1714=EDATE(B1713,1),C1713,0),0),0)</x:f>
        <x:v>0</x:v>
      </x:c>
      <x:c r="K1714" t="n">
        <x:f>IF(AND(J1714=1,C1714=0),1,0)</x:f>
        <x:v>0</x:v>
      </x:c>
      <x:c r="L1714" t="str">
        <x:f>IFERROR(INDEX(Customers!$C$2:$C$451,MATCH(A1714,Customers!$A$2:$A$451,0)),"Unknown")</x:f>
        <x:v>Standard</x:v>
      </x:c>
    </x:row>
    <x:row r="1715">
      <x:c r="A1715" t="n">
        <x:v>314</x:v>
      </x:c>
      <x:c r="B1715" s="16" t="n">
        <x:v>46204</x:v>
      </x:c>
      <x:c r="C1715" t="n">
        <x:v>0</x:v>
      </x:c>
      <x:c r="D1715" t="n">
        <x:v>0</x:v>
      </x:c>
      <x:c r="E1715" s="18" t="n">
        <x:v>0</x:v>
      </x:c>
      <x:c r="F1715" s="18" t="n">
        <x:v>0</x:v>
      </x:c>
      <x:c r="G1715" s="18" t="n">
        <x:v>0</x:v>
      </x:c>
      <x:c r="H1715" s="18" t="n">
        <x:v>0</x:v>
      </x:c>
      <x:c r="I1715" s="18" t="n">
        <x:v>0</x:v>
      </x:c>
      <x:c r="J1715" t="n">
        <x:f>IF(A1715=A1714,IFERROR(IF(B1715=EDATE(B1714,1),C1714,0),0),0)</x:f>
        <x:v>0</x:v>
      </x:c>
      <x:c r="K1715" t="n">
        <x:f>IF(AND(J1715=1,C1715=0),1,0)</x:f>
        <x:v>0</x:v>
      </x:c>
      <x:c r="L1715" t="str">
        <x:f>IFERROR(INDEX(Customers!$C$2:$C$451,MATCH(A1715,Customers!$A$2:$A$451,0)),"Unknown")</x:f>
        <x:v>Standard</x:v>
      </x:c>
    </x:row>
    <x:row r="1716">
      <x:c r="A1716" t="n">
        <x:v>314</x:v>
      </x:c>
      <x:c r="B1716" s="16" t="n">
        <x:v>46235</x:v>
      </x:c>
      <x:c r="C1716" t="n">
        <x:v>0</x:v>
      </x:c>
      <x:c r="D1716" t="n">
        <x:v>0</x:v>
      </x:c>
      <x:c r="E1716" s="18" t="n">
        <x:v>0</x:v>
      </x:c>
      <x:c r="F1716" s="18" t="n">
        <x:v>0</x:v>
      </x:c>
      <x:c r="G1716" s="18" t="n">
        <x:v>0</x:v>
      </x:c>
      <x:c r="H1716" s="18" t="n">
        <x:v>0</x:v>
      </x:c>
      <x:c r="I1716" s="18" t="n">
        <x:v>0</x:v>
      </x:c>
      <x:c r="J1716" t="n">
        <x:f>IF(A1716=A1715,IFERROR(IF(B1716=EDATE(B1715,1),C1715,0),0),0)</x:f>
        <x:v>0</x:v>
      </x:c>
      <x:c r="K1716" t="n">
        <x:f>IF(AND(J1716=1,C1716=0),1,0)</x:f>
        <x:v>0</x:v>
      </x:c>
      <x:c r="L1716" t="str">
        <x:f>IFERROR(INDEX(Customers!$C$2:$C$451,MATCH(A1716,Customers!$A$2:$A$451,0)),"Unknown")</x:f>
        <x:v>Standard</x:v>
      </x:c>
    </x:row>
    <x:row r="1717">
      <x:c r="A1717" t="n">
        <x:v>314</x:v>
      </x:c>
      <x:c r="B1717" s="16" t="n">
        <x:v>46266</x:v>
      </x:c>
      <x:c r="C1717" t="n">
        <x:v>1</x:v>
      </x:c>
      <x:c r="D1717" t="n">
        <x:v>27</x:v>
      </x:c>
      <x:c r="E1717" s="18" t="n">
        <x:v>1579.97</x:v>
      </x:c>
      <x:c r="F1717" s="18" t="n">
        <x:v>0</x:v>
      </x:c>
      <x:c r="G1717" s="18" t="n">
        <x:v>7.11</x:v>
      </x:c>
      <x:c r="H1717" s="18" t="n">
        <x:v>2.76</x:v>
      </x:c>
      <x:c r="I1717" s="18" t="n">
        <x:v>9.87</x:v>
      </x:c>
      <x:c r="J1717" t="n">
        <x:f>IF(A1717=A1716,IFERROR(IF(B1717=EDATE(B1716,1),C1716,0),0),0)</x:f>
        <x:v>0</x:v>
      </x:c>
      <x:c r="K1717" t="n">
        <x:f>IF(AND(J1717=1,C1717=0),1,0)</x:f>
        <x:v>0</x:v>
      </x:c>
      <x:c r="L1717" t="str">
        <x:f>IFERROR(INDEX(Customers!$C$2:$C$451,MATCH(A1717,Customers!$A$2:$A$451,0)),"Unknown")</x:f>
        <x:v>Standard</x:v>
      </x:c>
    </x:row>
    <x:row r="1718">
      <x:c r="A1718" t="n">
        <x:v>315</x:v>
      </x:c>
      <x:c r="B1718" s="16" t="n">
        <x:v>46113</x:v>
      </x:c>
      <x:c r="C1718" t="n">
        <x:v>1</x:v>
      </x:c>
      <x:c r="D1718" t="n">
        <x:v>7</x:v>
      </x:c>
      <x:c r="E1718" s="18" t="n">
        <x:v>245.8</x:v>
      </x:c>
      <x:c r="F1718" s="18" t="n">
        <x:v>34</x:v>
      </x:c>
      <x:c r="G1718" s="18" t="n">
        <x:v>1.11</x:v>
      </x:c>
      <x:c r="H1718" s="18" t="n">
        <x:v>0.3</x:v>
      </x:c>
      <x:c r="I1718" s="18" t="n">
        <x:v>35.41</x:v>
      </x:c>
      <x:c r="J1718" t="n">
        <x:f>IF(A1718=A1717,IFERROR(IF(B1718=EDATE(B1717,1),C1717,0),0),0)</x:f>
        <x:v>0</x:v>
      </x:c>
      <x:c r="K1718" t="n">
        <x:f>IF(AND(J1718=1,C1718=0),1,0)</x:f>
        <x:v>0</x:v>
      </x:c>
      <x:c r="L1718" t="str">
        <x:f>IFERROR(INDEX(Customers!$C$2:$C$451,MATCH(A1718,Customers!$A$2:$A$451,0)),"Unknown")</x:f>
        <x:v>Metal</x:v>
      </x:c>
    </x:row>
    <x:row r="1719">
      <x:c r="A1719" t="n">
        <x:v>315</x:v>
      </x:c>
      <x:c r="B1719" s="16" t="n">
        <x:v>46143</x:v>
      </x:c>
      <x:c r="C1719" t="n">
        <x:v>1</x:v>
      </x:c>
      <x:c r="D1719" t="n">
        <x:v>17</x:v>
      </x:c>
      <x:c r="E1719" s="18" t="n">
        <x:v>1070.59</x:v>
      </x:c>
      <x:c r="F1719" s="18" t="n">
        <x:v>34</x:v>
      </x:c>
      <x:c r="G1719" s="18" t="n">
        <x:v>4.82</x:v>
      </x:c>
      <x:c r="H1719" s="18" t="n">
        <x:v>3.74</x:v>
      </x:c>
      <x:c r="I1719" s="18" t="n">
        <x:v>42.56</x:v>
      </x:c>
      <x:c r="J1719" t="n">
        <x:f>IF(A1719=A1718,IFERROR(IF(B1719=EDATE(B1718,1),C1718,0),0),0)</x:f>
        <x:v>1</x:v>
      </x:c>
      <x:c r="K1719" t="n">
        <x:f>IF(AND(J1719=1,C1719=0),1,0)</x:f>
        <x:v>0</x:v>
      </x:c>
      <x:c r="L1719" t="str">
        <x:f>IFERROR(INDEX(Customers!$C$2:$C$451,MATCH(A1719,Customers!$A$2:$A$451,0)),"Unknown")</x:f>
        <x:v>Metal</x:v>
      </x:c>
    </x:row>
    <x:row r="1720">
      <x:c r="A1720" t="n">
        <x:v>315</x:v>
      </x:c>
      <x:c r="B1720" s="16" t="n">
        <x:v>46174</x:v>
      </x:c>
      <x:c r="C1720" t="n">
        <x:v>1</x:v>
      </x:c>
      <x:c r="D1720" t="n">
        <x:v>31</x:v>
      </x:c>
      <x:c r="E1720" s="18" t="n">
        <x:v>4124.81</x:v>
      </x:c>
      <x:c r="F1720" s="18" t="n">
        <x:v>34</x:v>
      </x:c>
      <x:c r="G1720" s="18" t="n">
        <x:v>18.56</x:v>
      </x:c>
      <x:c r="H1720" s="18" t="n">
        <x:v>7.5</x:v>
      </x:c>
      <x:c r="I1720" s="18" t="n">
        <x:v>60.06</x:v>
      </x:c>
      <x:c r="J1720" t="n">
        <x:f>IF(A1720=A1719,IFERROR(IF(B1720=EDATE(B1719,1),C1719,0),0),0)</x:f>
        <x:v>1</x:v>
      </x:c>
      <x:c r="K1720" t="n">
        <x:f>IF(AND(J1720=1,C1720=0),1,0)</x:f>
        <x:v>0</x:v>
      </x:c>
      <x:c r="L1720" t="str">
        <x:f>IFERROR(INDEX(Customers!$C$2:$C$451,MATCH(A1720,Customers!$A$2:$A$451,0)),"Unknown")</x:f>
        <x:v>Metal</x:v>
      </x:c>
    </x:row>
    <x:row r="1721">
      <x:c r="A1721" t="n">
        <x:v>315</x:v>
      </x:c>
      <x:c r="B1721" s="16" t="n">
        <x:v>46204</x:v>
      </x:c>
      <x:c r="C1721" t="n">
        <x:v>1</x:v>
      </x:c>
      <x:c r="D1721" t="n">
        <x:v>21</x:v>
      </x:c>
      <x:c r="E1721" s="18" t="n">
        <x:v>1556.59</x:v>
      </x:c>
      <x:c r="F1721" s="18" t="n">
        <x:v>34</x:v>
      </x:c>
      <x:c r="G1721" s="18" t="n">
        <x:v>7</x:v>
      </x:c>
      <x:c r="H1721" s="18" t="n">
        <x:v>4.32</x:v>
      </x:c>
      <x:c r="I1721" s="18" t="n">
        <x:v>45.32</x:v>
      </x:c>
      <x:c r="J1721" t="n">
        <x:f>IF(A1721=A1720,IFERROR(IF(B1721=EDATE(B1720,1),C1720,0),0),0)</x:f>
        <x:v>1</x:v>
      </x:c>
      <x:c r="K1721" t="n">
        <x:f>IF(AND(J1721=1,C1721=0),1,0)</x:f>
        <x:v>0</x:v>
      </x:c>
      <x:c r="L1721" t="str">
        <x:f>IFERROR(INDEX(Customers!$C$2:$C$451,MATCH(A1721,Customers!$A$2:$A$451,0)),"Unknown")</x:f>
        <x:v>Metal</x:v>
      </x:c>
    </x:row>
    <x:row r="1722">
      <x:c r="A1722" t="n">
        <x:v>315</x:v>
      </x:c>
      <x:c r="B1722" s="16" t="n">
        <x:v>46235</x:v>
      </x:c>
      <x:c r="C1722" t="n">
        <x:v>1</x:v>
      </x:c>
      <x:c r="D1722" t="n">
        <x:v>33</x:v>
      </x:c>
      <x:c r="E1722" s="18" t="n">
        <x:v>2147.36</x:v>
      </x:c>
      <x:c r="F1722" s="18" t="n">
        <x:v>34</x:v>
      </x:c>
      <x:c r="G1722" s="18" t="n">
        <x:v>9.66</x:v>
      </x:c>
      <x:c r="H1722" s="18" t="n">
        <x:v>6.3</x:v>
      </x:c>
      <x:c r="I1722" s="18" t="n">
        <x:v>49.96</x:v>
      </x:c>
      <x:c r="J1722" t="n">
        <x:f>IF(A1722=A1721,IFERROR(IF(B1722=EDATE(B1721,1),C1721,0),0),0)</x:f>
        <x:v>1</x:v>
      </x:c>
      <x:c r="K1722" t="n">
        <x:f>IF(AND(J1722=1,C1722=0),1,0)</x:f>
        <x:v>0</x:v>
      </x:c>
      <x:c r="L1722" t="str">
        <x:f>IFERROR(INDEX(Customers!$C$2:$C$451,MATCH(A1722,Customers!$A$2:$A$451,0)),"Unknown")</x:f>
        <x:v>Metal</x:v>
      </x:c>
    </x:row>
    <x:row r="1723">
      <x:c r="A1723" t="n">
        <x:v>315</x:v>
      </x:c>
      <x:c r="B1723" s="16" t="n">
        <x:v>46266</x:v>
      </x:c>
      <x:c r="C1723" t="n">
        <x:v>1</x:v>
      </x:c>
      <x:c r="D1723" t="n">
        <x:v>36</x:v>
      </x:c>
      <x:c r="E1723" s="18" t="n">
        <x:v>4715.62</x:v>
      </x:c>
      <x:c r="F1723" s="18" t="n">
        <x:v>34</x:v>
      </x:c>
      <x:c r="G1723" s="18" t="n">
        <x:v>21.22</x:v>
      </x:c>
      <x:c r="H1723" s="18" t="n">
        <x:v>8.23</x:v>
      </x:c>
      <x:c r="I1723" s="18" t="n">
        <x:v>63.45</x:v>
      </x:c>
      <x:c r="J1723" t="n">
        <x:f>IF(A1723=A1722,IFERROR(IF(B1723=EDATE(B1722,1),C1722,0),0),0)</x:f>
        <x:v>1</x:v>
      </x:c>
      <x:c r="K1723" t="n">
        <x:f>IF(AND(J1723=1,C1723=0),1,0)</x:f>
        <x:v>0</x:v>
      </x:c>
      <x:c r="L1723" t="str">
        <x:f>IFERROR(INDEX(Customers!$C$2:$C$451,MATCH(A1723,Customers!$A$2:$A$451,0)),"Unknown")</x:f>
        <x:v>Metal</x:v>
      </x:c>
    </x:row>
    <x:row r="1724">
      <x:c r="A1724" t="n">
        <x:v>316</x:v>
      </x:c>
      <x:c r="B1724" s="16" t="n">
        <x:v>46143</x:v>
      </x:c>
      <x:c r="C1724" t="n">
        <x:v>1</x:v>
      </x:c>
      <x:c r="D1724" t="n">
        <x:v>30</x:v>
      </x:c>
      <x:c r="E1724" s="18" t="n">
        <x:v>1395.82</x:v>
      </x:c>
      <x:c r="F1724" s="18" t="n">
        <x:v>8</x:v>
      </x:c>
      <x:c r="G1724" s="18" t="n">
        <x:v>6.28</x:v>
      </x:c>
      <x:c r="H1724" s="18" t="n">
        <x:v>3.54</x:v>
      </x:c>
      <x:c r="I1724" s="18" t="n">
        <x:v>17.82</x:v>
      </x:c>
      <x:c r="J1724" t="n">
        <x:f>IF(A1724=A1723,IFERROR(IF(B1724=EDATE(B1723,1),C1723,0),0),0)</x:f>
        <x:v>0</x:v>
      </x:c>
      <x:c r="K1724" t="n">
        <x:f>IF(AND(J1724=1,C1724=0),1,0)</x:f>
        <x:v>0</x:v>
      </x:c>
      <x:c r="L1724" t="str">
        <x:f>IFERROR(INDEX(Customers!$C$2:$C$451,MATCH(A1724,Customers!$A$2:$A$451,0)),"Unknown")</x:f>
        <x:v>Plus</x:v>
      </x:c>
    </x:row>
    <x:row r="1725">
      <x:c r="A1725" t="n">
        <x:v>316</x:v>
      </x:c>
      <x:c r="B1725" s="16" t="n">
        <x:v>46174</x:v>
      </x:c>
      <x:c r="C1725" t="n">
        <x:v>1</x:v>
      </x:c>
      <x:c r="D1725" t="n">
        <x:v>11</x:v>
      </x:c>
      <x:c r="E1725" s="18" t="n">
        <x:v>859.05</x:v>
      </x:c>
      <x:c r="F1725" s="18" t="n">
        <x:v>8</x:v>
      </x:c>
      <x:c r="G1725" s="18" t="n">
        <x:v>3.87</x:v>
      </x:c>
      <x:c r="H1725" s="18" t="n">
        <x:v>1.55</x:v>
      </x:c>
      <x:c r="I1725" s="18" t="n">
        <x:v>13.42</x:v>
      </x:c>
      <x:c r="J1725" t="n">
        <x:f>IF(A1725=A1724,IFERROR(IF(B1725=EDATE(B1724,1),C1724,0),0),0)</x:f>
        <x:v>1</x:v>
      </x:c>
      <x:c r="K1725" t="n">
        <x:f>IF(AND(J1725=1,C1725=0),1,0)</x:f>
        <x:v>0</x:v>
      </x:c>
      <x:c r="L1725" t="str">
        <x:f>IFERROR(INDEX(Customers!$C$2:$C$451,MATCH(A1725,Customers!$A$2:$A$451,0)),"Unknown")</x:f>
        <x:v>Plus</x:v>
      </x:c>
    </x:row>
    <x:row r="1726">
      <x:c r="A1726" t="n">
        <x:v>316</x:v>
      </x:c>
      <x:c r="B1726" s="16" t="n">
        <x:v>46204</x:v>
      </x:c>
      <x:c r="C1726" t="n">
        <x:v>1</x:v>
      </x:c>
      <x:c r="D1726" t="n">
        <x:v>6</x:v>
      </x:c>
      <x:c r="E1726" s="18" t="n">
        <x:v>505</x:v>
      </x:c>
      <x:c r="F1726" s="18" t="n">
        <x:v>8</x:v>
      </x:c>
      <x:c r="G1726" s="18" t="n">
        <x:v>2.27</x:v>
      </x:c>
      <x:c r="H1726" s="18" t="n">
        <x:v>1.15</x:v>
      </x:c>
      <x:c r="I1726" s="18" t="n">
        <x:v>11.42</x:v>
      </x:c>
      <x:c r="J1726" t="n">
        <x:f>IF(A1726=A1725,IFERROR(IF(B1726=EDATE(B1725,1),C1725,0),0),0)</x:f>
        <x:v>1</x:v>
      </x:c>
      <x:c r="K1726" t="n">
        <x:f>IF(AND(J1726=1,C1726=0),1,0)</x:f>
        <x:v>0</x:v>
      </x:c>
      <x:c r="L1726" t="str">
        <x:f>IFERROR(INDEX(Customers!$C$2:$C$451,MATCH(A1726,Customers!$A$2:$A$451,0)),"Unknown")</x:f>
        <x:v>Plus</x:v>
      </x:c>
    </x:row>
    <x:row r="1727">
      <x:c r="A1727" t="n">
        <x:v>316</x:v>
      </x:c>
      <x:c r="B1727" s="16" t="n">
        <x:v>46235</x:v>
      </x:c>
      <x:c r="C1727" t="n">
        <x:v>0</x:v>
      </x:c>
      <x:c r="D1727" t="n">
        <x:v>0</x:v>
      </x:c>
      <x:c r="E1727" s="18" t="n">
        <x:v>0</x:v>
      </x:c>
      <x:c r="F1727" s="18" t="n">
        <x:v>0</x:v>
      </x:c>
      <x:c r="G1727" s="18" t="n">
        <x:v>0</x:v>
      </x:c>
      <x:c r="H1727" s="18" t="n">
        <x:v>0</x:v>
      </x:c>
      <x:c r="I1727" s="18" t="n">
        <x:v>0</x:v>
      </x:c>
      <x:c r="J1727" t="n">
        <x:f>IF(A1727=A1726,IFERROR(IF(B1727=EDATE(B1726,1),C1726,0),0),0)</x:f>
        <x:v>1</x:v>
      </x:c>
      <x:c r="K1727" t="n">
        <x:f>IF(AND(J1727=1,C1727=0),1,0)</x:f>
        <x:v>1</x:v>
      </x:c>
      <x:c r="L1727" t="str">
        <x:f>IFERROR(INDEX(Customers!$C$2:$C$451,MATCH(A1727,Customers!$A$2:$A$451,0)),"Unknown")</x:f>
        <x:v>Plus</x:v>
      </x:c>
    </x:row>
    <x:row r="1728">
      <x:c r="A1728" t="n">
        <x:v>316</x:v>
      </x:c>
      <x:c r="B1728" s="16" t="n">
        <x:v>46266</x:v>
      </x:c>
      <x:c r="C1728" t="n">
        <x:v>1</x:v>
      </x:c>
      <x:c r="D1728" t="n">
        <x:v>28</x:v>
      </x:c>
      <x:c r="E1728" s="18" t="n">
        <x:v>1685.29</x:v>
      </x:c>
      <x:c r="F1728" s="18" t="n">
        <x:v>8</x:v>
      </x:c>
      <x:c r="G1728" s="18" t="n">
        <x:v>7.58</x:v>
      </x:c>
      <x:c r="H1728" s="18" t="n">
        <x:v>4.89</x:v>
      </x:c>
      <x:c r="I1728" s="18" t="n">
        <x:v>20.47</x:v>
      </x:c>
      <x:c r="J1728" t="n">
        <x:f>IF(A1728=A1727,IFERROR(IF(B1728=EDATE(B1727,1),C1727,0),0),0)</x:f>
        <x:v>0</x:v>
      </x:c>
      <x:c r="K1728" t="n">
        <x:f>IF(AND(J1728=1,C1728=0),1,0)</x:f>
        <x:v>0</x:v>
      </x:c>
      <x:c r="L1728" t="str">
        <x:f>IFERROR(INDEX(Customers!$C$2:$C$451,MATCH(A1728,Customers!$A$2:$A$451,0)),"Unknown")</x:f>
        <x:v>Plus</x:v>
      </x:c>
    </x:row>
    <x:row r="1729">
      <x:c r="A1729" t="n">
        <x:v>317</x:v>
      </x:c>
      <x:c r="B1729" s="16" t="n">
        <x:v>46113</x:v>
      </x:c>
      <x:c r="C1729" t="n">
        <x:v>1</x:v>
      </x:c>
      <x:c r="D1729" t="n">
        <x:v>12</x:v>
      </x:c>
      <x:c r="E1729" s="18" t="n">
        <x:v>462.29</x:v>
      </x:c>
      <x:c r="F1729" s="18" t="n">
        <x:v>17</x:v>
      </x:c>
      <x:c r="G1729" s="18" t="n">
        <x:v>2.08</x:v>
      </x:c>
      <x:c r="H1729" s="18" t="n">
        <x:v>0.59</x:v>
      </x:c>
      <x:c r="I1729" s="18" t="n">
        <x:v>19.67</x:v>
      </x:c>
      <x:c r="J1729" t="n">
        <x:f>IF(A1729=A1728,IFERROR(IF(B1729=EDATE(B1728,1),C1728,0),0),0)</x:f>
        <x:v>0</x:v>
      </x:c>
      <x:c r="K1729" t="n">
        <x:f>IF(AND(J1729=1,C1729=0),1,0)</x:f>
        <x:v>0</x:v>
      </x:c>
      <x:c r="L1729" t="str">
        <x:f>IFERROR(INDEX(Customers!$C$2:$C$451,MATCH(A1729,Customers!$A$2:$A$451,0)),"Unknown")</x:f>
        <x:v>Premium</x:v>
      </x:c>
    </x:row>
    <x:row r="1730">
      <x:c r="A1730" t="n">
        <x:v>317</x:v>
      </x:c>
      <x:c r="B1730" s="16" t="n">
        <x:v>46143</x:v>
      </x:c>
      <x:c r="C1730" t="n">
        <x:v>1</x:v>
      </x:c>
      <x:c r="D1730" t="n">
        <x:v>8</x:v>
      </x:c>
      <x:c r="E1730" s="18" t="n">
        <x:v>976.2</x:v>
      </x:c>
      <x:c r="F1730" s="18" t="n">
        <x:v>17</x:v>
      </x:c>
      <x:c r="G1730" s="18" t="n">
        <x:v>4.39</x:v>
      </x:c>
      <x:c r="H1730" s="18" t="n">
        <x:v>2.89</x:v>
      </x:c>
      <x:c r="I1730" s="18" t="n">
        <x:v>24.28</x:v>
      </x:c>
      <x:c r="J1730" t="n">
        <x:f>IF(A1730=A1729,IFERROR(IF(B1730=EDATE(B1729,1),C1729,0),0),0)</x:f>
        <x:v>1</x:v>
      </x:c>
      <x:c r="K1730" t="n">
        <x:f>IF(AND(J1730=1,C1730=0),1,0)</x:f>
        <x:v>0</x:v>
      </x:c>
      <x:c r="L1730" t="str">
        <x:f>IFERROR(INDEX(Customers!$C$2:$C$451,MATCH(A1730,Customers!$A$2:$A$451,0)),"Unknown")</x:f>
        <x:v>Premium</x:v>
      </x:c>
    </x:row>
    <x:row r="1731">
      <x:c r="A1731" t="n">
        <x:v>317</x:v>
      </x:c>
      <x:c r="B1731" s="16" t="n">
        <x:v>46174</x:v>
      </x:c>
      <x:c r="C1731" t="n">
        <x:v>1</x:v>
      </x:c>
      <x:c r="D1731" t="n">
        <x:v>32</x:v>
      </x:c>
      <x:c r="E1731" s="18" t="n">
        <x:v>1874.48</x:v>
      </x:c>
      <x:c r="F1731" s="18" t="n">
        <x:v>17</x:v>
      </x:c>
      <x:c r="G1731" s="18" t="n">
        <x:v>8.44</x:v>
      </x:c>
      <x:c r="H1731" s="18" t="n">
        <x:v>2.36</x:v>
      </x:c>
      <x:c r="I1731" s="18" t="n">
        <x:v>27.8</x:v>
      </x:c>
      <x:c r="J1731" t="n">
        <x:f>IF(A1731=A1730,IFERROR(IF(B1731=EDATE(B1730,1),C1730,0),0),0)</x:f>
        <x:v>1</x:v>
      </x:c>
      <x:c r="K1731" t="n">
        <x:f>IF(AND(J1731=1,C1731=0),1,0)</x:f>
        <x:v>0</x:v>
      </x:c>
      <x:c r="L1731" t="str">
        <x:f>IFERROR(INDEX(Customers!$C$2:$C$451,MATCH(A1731,Customers!$A$2:$A$451,0)),"Unknown")</x:f>
        <x:v>Premium</x:v>
      </x:c>
    </x:row>
    <x:row r="1732">
      <x:c r="A1732" t="n">
        <x:v>317</x:v>
      </x:c>
      <x:c r="B1732" s="16" t="n">
        <x:v>46204</x:v>
      </x:c>
      <x:c r="C1732" t="n">
        <x:v>0</x:v>
      </x:c>
      <x:c r="D1732" t="n">
        <x:v>0</x:v>
      </x:c>
      <x:c r="E1732" s="18" t="n">
        <x:v>0</x:v>
      </x:c>
      <x:c r="F1732" s="18" t="n">
        <x:v>0</x:v>
      </x:c>
      <x:c r="G1732" s="18" t="n">
        <x:v>0</x:v>
      </x:c>
      <x:c r="H1732" s="18" t="n">
        <x:v>0</x:v>
      </x:c>
      <x:c r="I1732" s="18" t="n">
        <x:v>0</x:v>
      </x:c>
      <x:c r="J1732" t="n">
        <x:f>IF(A1732=A1731,IFERROR(IF(B1732=EDATE(B1731,1),C1731,0),0),0)</x:f>
        <x:v>1</x:v>
      </x:c>
      <x:c r="K1732" t="n">
        <x:f>IF(AND(J1732=1,C1732=0),1,0)</x:f>
        <x:v>1</x:v>
      </x:c>
      <x:c r="L1732" t="str">
        <x:f>IFERROR(INDEX(Customers!$C$2:$C$451,MATCH(A1732,Customers!$A$2:$A$451,0)),"Unknown")</x:f>
        <x:v>Premium</x:v>
      </x:c>
    </x:row>
    <x:row r="1733">
      <x:c r="A1733" t="n">
        <x:v>317</x:v>
      </x:c>
      <x:c r="B1733" s="16" t="n">
        <x:v>46235</x:v>
      </x:c>
      <x:c r="C1733" t="n">
        <x:v>1</x:v>
      </x:c>
      <x:c r="D1733" t="n">
        <x:v>26</x:v>
      </x:c>
      <x:c r="E1733" s="18" t="n">
        <x:v>1085.49</x:v>
      </x:c>
      <x:c r="F1733" s="18" t="n">
        <x:v>17</x:v>
      </x:c>
      <x:c r="G1733" s="18" t="n">
        <x:v>4.88</x:v>
      </x:c>
      <x:c r="H1733" s="18" t="n">
        <x:v>1.14</x:v>
      </x:c>
      <x:c r="I1733" s="18" t="n">
        <x:v>23.02</x:v>
      </x:c>
      <x:c r="J1733" t="n">
        <x:f>IF(A1733=A1732,IFERROR(IF(B1733=EDATE(B1732,1),C1732,0),0),0)</x:f>
        <x:v>0</x:v>
      </x:c>
      <x:c r="K1733" t="n">
        <x:f>IF(AND(J1733=1,C1733=0),1,0)</x:f>
        <x:v>0</x:v>
      </x:c>
      <x:c r="L1733" t="str">
        <x:f>IFERROR(INDEX(Customers!$C$2:$C$451,MATCH(A1733,Customers!$A$2:$A$451,0)),"Unknown")</x:f>
        <x:v>Premium</x:v>
      </x:c>
    </x:row>
    <x:row r="1734">
      <x:c r="A1734" t="n">
        <x:v>317</x:v>
      </x:c>
      <x:c r="B1734" s="16" t="n">
        <x:v>46266</x:v>
      </x:c>
      <x:c r="C1734" t="n">
        <x:v>1</x:v>
      </x:c>
      <x:c r="D1734" t="n">
        <x:v>25</x:v>
      </x:c>
      <x:c r="E1734" s="18" t="n">
        <x:v>2247.25</x:v>
      </x:c>
      <x:c r="F1734" s="18" t="n">
        <x:v>17</x:v>
      </x:c>
      <x:c r="G1734" s="18" t="n">
        <x:v>10.11</x:v>
      </x:c>
      <x:c r="H1734" s="18" t="n">
        <x:v>3.11</x:v>
      </x:c>
      <x:c r="I1734" s="18" t="n">
        <x:v>30.22</x:v>
      </x:c>
      <x:c r="J1734" t="n">
        <x:f>IF(A1734=A1733,IFERROR(IF(B1734=EDATE(B1733,1),C1733,0),0),0)</x:f>
        <x:v>1</x:v>
      </x:c>
      <x:c r="K1734" t="n">
        <x:f>IF(AND(J1734=1,C1734=0),1,0)</x:f>
        <x:v>0</x:v>
      </x:c>
      <x:c r="L1734" t="str">
        <x:f>IFERROR(INDEX(Customers!$C$2:$C$451,MATCH(A1734,Customers!$A$2:$A$451,0)),"Unknown")</x:f>
        <x:v>Premium</x:v>
      </x:c>
    </x:row>
    <x:row r="1735">
      <x:c r="A1735" t="n">
        <x:v>318</x:v>
      </x:c>
      <x:c r="B1735" s="16" t="n">
        <x:v>46113</x:v>
      </x:c>
      <x:c r="C1735" t="n">
        <x:v>1</x:v>
      </x:c>
      <x:c r="D1735" t="n">
        <x:v>18</x:v>
      </x:c>
      <x:c r="E1735" s="18" t="n">
        <x:v>735.52</x:v>
      </x:c>
      <x:c r="F1735" s="18" t="n">
        <x:v>8</x:v>
      </x:c>
      <x:c r="G1735" s="18" t="n">
        <x:v>3.31</x:v>
      </x:c>
      <x:c r="H1735" s="18" t="n">
        <x:v>2.73</x:v>
      </x:c>
      <x:c r="I1735" s="18" t="n">
        <x:v>14.04</x:v>
      </x:c>
      <x:c r="J1735" t="n">
        <x:f>IF(A1735=A1734,IFERROR(IF(B1735=EDATE(B1734,1),C1734,0),0),0)</x:f>
        <x:v>0</x:v>
      </x:c>
      <x:c r="K1735" t="n">
        <x:f>IF(AND(J1735=1,C1735=0),1,0)</x:f>
        <x:v>0</x:v>
      </x:c>
      <x:c r="L1735" t="str">
        <x:f>IFERROR(INDEX(Customers!$C$2:$C$451,MATCH(A1735,Customers!$A$2:$A$451,0)),"Unknown")</x:f>
        <x:v>Plus</x:v>
      </x:c>
    </x:row>
    <x:row r="1736">
      <x:c r="A1736" t="n">
        <x:v>318</x:v>
      </x:c>
      <x:c r="B1736" s="16" t="n">
        <x:v>46143</x:v>
      </x:c>
      <x:c r="C1736" t="n">
        <x:v>1</x:v>
      </x:c>
      <x:c r="D1736" t="n">
        <x:v>20</x:v>
      </x:c>
      <x:c r="E1736" s="18" t="n">
        <x:v>954.55</x:v>
      </x:c>
      <x:c r="F1736" s="18" t="n">
        <x:v>8</x:v>
      </x:c>
      <x:c r="G1736" s="18" t="n">
        <x:v>4.3</x:v>
      </x:c>
      <x:c r="H1736" s="18" t="n">
        <x:v>1.32</x:v>
      </x:c>
      <x:c r="I1736" s="18" t="n">
        <x:v>13.62</x:v>
      </x:c>
      <x:c r="J1736" t="n">
        <x:f>IF(A1736=A1735,IFERROR(IF(B1736=EDATE(B1735,1),C1735,0),0),0)</x:f>
        <x:v>1</x:v>
      </x:c>
      <x:c r="K1736" t="n">
        <x:f>IF(AND(J1736=1,C1736=0),1,0)</x:f>
        <x:v>0</x:v>
      </x:c>
      <x:c r="L1736" t="str">
        <x:f>IFERROR(INDEX(Customers!$C$2:$C$451,MATCH(A1736,Customers!$A$2:$A$451,0)),"Unknown")</x:f>
        <x:v>Plus</x:v>
      </x:c>
    </x:row>
    <x:row r="1737">
      <x:c r="A1737" t="n">
        <x:v>318</x:v>
      </x:c>
      <x:c r="B1737" s="16" t="n">
        <x:v>46174</x:v>
      </x:c>
      <x:c r="C1737" t="n">
        <x:v>1</x:v>
      </x:c>
      <x:c r="D1737" t="n">
        <x:v>7</x:v>
      </x:c>
      <x:c r="E1737" s="18" t="n">
        <x:v>802.34</x:v>
      </x:c>
      <x:c r="F1737" s="18" t="n">
        <x:v>8</x:v>
      </x:c>
      <x:c r="G1737" s="18" t="n">
        <x:v>3.61</x:v>
      </x:c>
      <x:c r="H1737" s="18" t="n">
        <x:v>2.22</x:v>
      </x:c>
      <x:c r="I1737" s="18" t="n">
        <x:v>13.83</x:v>
      </x:c>
      <x:c r="J1737" t="n">
        <x:f>IF(A1737=A1736,IFERROR(IF(B1737=EDATE(B1736,1),C1736,0),0),0)</x:f>
        <x:v>1</x:v>
      </x:c>
      <x:c r="K1737" t="n">
        <x:f>IF(AND(J1737=1,C1737=0),1,0)</x:f>
        <x:v>0</x:v>
      </x:c>
      <x:c r="L1737" t="str">
        <x:f>IFERROR(INDEX(Customers!$C$2:$C$451,MATCH(A1737,Customers!$A$2:$A$451,0)),"Unknown")</x:f>
        <x:v>Plus</x:v>
      </x:c>
    </x:row>
    <x:row r="1738">
      <x:c r="A1738" t="n">
        <x:v>318</x:v>
      </x:c>
      <x:c r="B1738" s="16" t="n">
        <x:v>46204</x:v>
      </x:c>
      <x:c r="C1738" t="n">
        <x:v>1</x:v>
      </x:c>
      <x:c r="D1738" t="n">
        <x:v>19</x:v>
      </x:c>
      <x:c r="E1738" s="18" t="n">
        <x:v>1153.39</x:v>
      </x:c>
      <x:c r="F1738" s="18" t="n">
        <x:v>8</x:v>
      </x:c>
      <x:c r="G1738" s="18" t="n">
        <x:v>5.19</x:v>
      </x:c>
      <x:c r="H1738" s="18" t="n">
        <x:v>1.88</x:v>
      </x:c>
      <x:c r="I1738" s="18" t="n">
        <x:v>15.07</x:v>
      </x:c>
      <x:c r="J1738" t="n">
        <x:f>IF(A1738=A1737,IFERROR(IF(B1738=EDATE(B1737,1),C1737,0),0),0)</x:f>
        <x:v>1</x:v>
      </x:c>
      <x:c r="K1738" t="n">
        <x:f>IF(AND(J1738=1,C1738=0),1,0)</x:f>
        <x:v>0</x:v>
      </x:c>
      <x:c r="L1738" t="str">
        <x:f>IFERROR(INDEX(Customers!$C$2:$C$451,MATCH(A1738,Customers!$A$2:$A$451,0)),"Unknown")</x:f>
        <x:v>Plus</x:v>
      </x:c>
    </x:row>
    <x:row r="1739">
      <x:c r="A1739" t="n">
        <x:v>318</x:v>
      </x:c>
      <x:c r="B1739" s="16" t="n">
        <x:v>46235</x:v>
      </x:c>
      <x:c r="C1739" t="n">
        <x:v>1</x:v>
      </x:c>
      <x:c r="D1739" t="n">
        <x:v>33</x:v>
      </x:c>
      <x:c r="E1739" s="18" t="n">
        <x:v>3301.07</x:v>
      </x:c>
      <x:c r="F1739" s="18" t="n">
        <x:v>8</x:v>
      </x:c>
      <x:c r="G1739" s="18" t="n">
        <x:v>14.85</x:v>
      </x:c>
      <x:c r="H1739" s="18" t="n">
        <x:v>11.04</x:v>
      </x:c>
      <x:c r="I1739" s="18" t="n">
        <x:v>33.89</x:v>
      </x:c>
      <x:c r="J1739" t="n">
        <x:f>IF(A1739=A1738,IFERROR(IF(B1739=EDATE(B1738,1),C1738,0),0),0)</x:f>
        <x:v>1</x:v>
      </x:c>
      <x:c r="K1739" t="n">
        <x:f>IF(AND(J1739=1,C1739=0),1,0)</x:f>
        <x:v>0</x:v>
      </x:c>
      <x:c r="L1739" t="str">
        <x:f>IFERROR(INDEX(Customers!$C$2:$C$451,MATCH(A1739,Customers!$A$2:$A$451,0)),"Unknown")</x:f>
        <x:v>Plus</x:v>
      </x:c>
    </x:row>
    <x:row r="1740">
      <x:c r="A1740" t="n">
        <x:v>318</x:v>
      </x:c>
      <x:c r="B1740" s="16" t="n">
        <x:v>46266</x:v>
      </x:c>
      <x:c r="C1740" t="n">
        <x:v>1</x:v>
      </x:c>
      <x:c r="D1740" t="n">
        <x:v>36</x:v>
      </x:c>
      <x:c r="E1740" s="18" t="n">
        <x:v>4345.77</x:v>
      </x:c>
      <x:c r="F1740" s="18" t="n">
        <x:v>8</x:v>
      </x:c>
      <x:c r="G1740" s="18" t="n">
        <x:v>19.56</x:v>
      </x:c>
      <x:c r="H1740" s="18" t="n">
        <x:v>7.18</x:v>
      </x:c>
      <x:c r="I1740" s="18" t="n">
        <x:v>34.74</x:v>
      </x:c>
      <x:c r="J1740" t="n">
        <x:f>IF(A1740=A1739,IFERROR(IF(B1740=EDATE(B1739,1),C1739,0),0),0)</x:f>
        <x:v>1</x:v>
      </x:c>
      <x:c r="K1740" t="n">
        <x:f>IF(AND(J1740=1,C1740=0),1,0)</x:f>
        <x:v>0</x:v>
      </x:c>
      <x:c r="L1740" t="str">
        <x:f>IFERROR(INDEX(Customers!$C$2:$C$451,MATCH(A1740,Customers!$A$2:$A$451,0)),"Unknown")</x:f>
        <x:v>Plus</x:v>
      </x:c>
    </x:row>
    <x:row r="1741">
      <x:c r="A1741" t="n">
        <x:v>319</x:v>
      </x:c>
      <x:c r="B1741" s="16" t="n">
        <x:v>46143</x:v>
      </x:c>
      <x:c r="C1741" t="n">
        <x:v>0</x:v>
      </x:c>
      <x:c r="D1741" t="n">
        <x:v>0</x:v>
      </x:c>
      <x:c r="E1741" s="18" t="n">
        <x:v>0</x:v>
      </x:c>
      <x:c r="F1741" s="18" t="n">
        <x:v>0</x:v>
      </x:c>
      <x:c r="G1741" s="18" t="n">
        <x:v>0</x:v>
      </x:c>
      <x:c r="H1741" s="18" t="n">
        <x:v>0</x:v>
      </x:c>
      <x:c r="I1741" s="18" t="n">
        <x:v>0</x:v>
      </x:c>
      <x:c r="J1741" t="n">
        <x:f>IF(A1741=A1740,IFERROR(IF(B1741=EDATE(B1740,1),C1740,0),0),0)</x:f>
        <x:v>0</x:v>
      </x:c>
      <x:c r="K1741" t="n">
        <x:f>IF(AND(J1741=1,C1741=0),1,0)</x:f>
        <x:v>0</x:v>
      </x:c>
      <x:c r="L1741" t="str">
        <x:f>IFERROR(INDEX(Customers!$C$2:$C$451,MATCH(A1741,Customers!$A$2:$A$451,0)),"Unknown")</x:f>
        <x:v>Standard</x:v>
      </x:c>
    </x:row>
    <x:row r="1742">
      <x:c r="A1742" t="n">
        <x:v>319</x:v>
      </x:c>
      <x:c r="B1742" s="16" t="n">
        <x:v>46174</x:v>
      </x:c>
      <x:c r="C1742" t="n">
        <x:v>0</x:v>
      </x:c>
      <x:c r="D1742" t="n">
        <x:v>0</x:v>
      </x:c>
      <x:c r="E1742" s="18" t="n">
        <x:v>0</x:v>
      </x:c>
      <x:c r="F1742" s="18" t="n">
        <x:v>0</x:v>
      </x:c>
      <x:c r="G1742" s="18" t="n">
        <x:v>0</x:v>
      </x:c>
      <x:c r="H1742" s="18" t="n">
        <x:v>0</x:v>
      </x:c>
      <x:c r="I1742" s="18" t="n">
        <x:v>0</x:v>
      </x:c>
      <x:c r="J1742" t="n">
        <x:f>IF(A1742=A1741,IFERROR(IF(B1742=EDATE(B1741,1),C1741,0),0),0)</x:f>
        <x:v>0</x:v>
      </x:c>
      <x:c r="K1742" t="n">
        <x:f>IF(AND(J1742=1,C1742=0),1,0)</x:f>
        <x:v>0</x:v>
      </x:c>
      <x:c r="L1742" t="str">
        <x:f>IFERROR(INDEX(Customers!$C$2:$C$451,MATCH(A1742,Customers!$A$2:$A$451,0)),"Unknown")</x:f>
        <x:v>Standard</x:v>
      </x:c>
    </x:row>
    <x:row r="1743">
      <x:c r="A1743" t="n">
        <x:v>319</x:v>
      </x:c>
      <x:c r="B1743" s="16" t="n">
        <x:v>46204</x:v>
      </x:c>
      <x:c r="C1743" t="n">
        <x:v>1</x:v>
      </x:c>
      <x:c r="D1743" t="n">
        <x:v>33</x:v>
      </x:c>
      <x:c r="E1743" s="18" t="n">
        <x:v>1713.67</x:v>
      </x:c>
      <x:c r="F1743" s="18" t="n">
        <x:v>0</x:v>
      </x:c>
      <x:c r="G1743" s="18" t="n">
        <x:v>7.71</x:v>
      </x:c>
      <x:c r="H1743" s="18" t="n">
        <x:v>5.07</x:v>
      </x:c>
      <x:c r="I1743" s="18" t="n">
        <x:v>12.78</x:v>
      </x:c>
      <x:c r="J1743" t="n">
        <x:f>IF(A1743=A1742,IFERROR(IF(B1743=EDATE(B1742,1),C1742,0),0),0)</x:f>
        <x:v>0</x:v>
      </x:c>
      <x:c r="K1743" t="n">
        <x:f>IF(AND(J1743=1,C1743=0),1,0)</x:f>
        <x:v>0</x:v>
      </x:c>
      <x:c r="L1743" t="str">
        <x:f>IFERROR(INDEX(Customers!$C$2:$C$451,MATCH(A1743,Customers!$A$2:$A$451,0)),"Unknown")</x:f>
        <x:v>Standard</x:v>
      </x:c>
    </x:row>
    <x:row r="1744">
      <x:c r="A1744" t="n">
        <x:v>319</x:v>
      </x:c>
      <x:c r="B1744" s="16" t="n">
        <x:v>46235</x:v>
      </x:c>
      <x:c r="C1744" t="n">
        <x:v>1</x:v>
      </x:c>
      <x:c r="D1744" t="n">
        <x:v>21</x:v>
      </x:c>
      <x:c r="E1744" s="18" t="n">
        <x:v>1562.28</x:v>
      </x:c>
      <x:c r="F1744" s="18" t="n">
        <x:v>0</x:v>
      </x:c>
      <x:c r="G1744" s="18" t="n">
        <x:v>7.03</x:v>
      </x:c>
      <x:c r="H1744" s="18" t="n">
        <x:v>3.01</x:v>
      </x:c>
      <x:c r="I1744" s="18" t="n">
        <x:v>10.04</x:v>
      </x:c>
      <x:c r="J1744" t="n">
        <x:f>IF(A1744=A1743,IFERROR(IF(B1744=EDATE(B1743,1),C1743,0),0),0)</x:f>
        <x:v>1</x:v>
      </x:c>
      <x:c r="K1744" t="n">
        <x:f>IF(AND(J1744=1,C1744=0),1,0)</x:f>
        <x:v>0</x:v>
      </x:c>
      <x:c r="L1744" t="str">
        <x:f>IFERROR(INDEX(Customers!$C$2:$C$451,MATCH(A1744,Customers!$A$2:$A$451,0)),"Unknown")</x:f>
        <x:v>Standard</x:v>
      </x:c>
    </x:row>
    <x:row r="1745">
      <x:c r="A1745" t="n">
        <x:v>319</x:v>
      </x:c>
      <x:c r="B1745" s="16" t="n">
        <x:v>46266</x:v>
      </x:c>
      <x:c r="C1745" t="n">
        <x:v>1</x:v>
      </x:c>
      <x:c r="D1745" t="n">
        <x:v>21</x:v>
      </x:c>
      <x:c r="E1745" s="18" t="n">
        <x:v>2040.22</x:v>
      </x:c>
      <x:c r="F1745" s="18" t="n">
        <x:v>0</x:v>
      </x:c>
      <x:c r="G1745" s="18" t="n">
        <x:v>9.18</x:v>
      </x:c>
      <x:c r="H1745" s="18" t="n">
        <x:v>6.82</x:v>
      </x:c>
      <x:c r="I1745" s="18" t="n">
        <x:v>16</x:v>
      </x:c>
      <x:c r="J1745" t="n">
        <x:f>IF(A1745=A1744,IFERROR(IF(B1745=EDATE(B1744,1),C1744,0),0),0)</x:f>
        <x:v>1</x:v>
      </x:c>
      <x:c r="K1745" t="n">
        <x:f>IF(AND(J1745=1,C1745=0),1,0)</x:f>
        <x:v>0</x:v>
      </x:c>
      <x:c r="L1745" t="str">
        <x:f>IFERROR(INDEX(Customers!$C$2:$C$451,MATCH(A1745,Customers!$A$2:$A$451,0)),"Unknown")</x:f>
        <x:v>Standard</x:v>
      </x:c>
    </x:row>
    <x:row r="1746">
      <x:c r="A1746" t="n">
        <x:v>320</x:v>
      </x:c>
      <x:c r="B1746" s="16" t="n">
        <x:v>46113</x:v>
      </x:c>
      <x:c r="C1746" t="n">
        <x:v>1</x:v>
      </x:c>
      <x:c r="D1746" t="n">
        <x:v>26</x:v>
      </x:c>
      <x:c r="E1746" s="18" t="n">
        <x:v>3611.15</x:v>
      </x:c>
      <x:c r="F1746" s="18" t="n">
        <x:v>0</x:v>
      </x:c>
      <x:c r="G1746" s="18" t="n">
        <x:v>16.25</x:v>
      </x:c>
      <x:c r="H1746" s="18" t="n">
        <x:v>5.3</x:v>
      </x:c>
      <x:c r="I1746" s="18" t="n">
        <x:v>21.55</x:v>
      </x:c>
      <x:c r="J1746" t="n">
        <x:f>IF(A1746=A1745,IFERROR(IF(B1746=EDATE(B1745,1),C1745,0),0),0)</x:f>
        <x:v>0</x:v>
      </x:c>
      <x:c r="K1746" t="n">
        <x:f>IF(AND(J1746=1,C1746=0),1,0)</x:f>
        <x:v>0</x:v>
      </x:c>
      <x:c r="L1746" t="str">
        <x:f>IFERROR(INDEX(Customers!$C$2:$C$451,MATCH(A1746,Customers!$A$2:$A$451,0)),"Unknown")</x:f>
        <x:v>Standard</x:v>
      </x:c>
    </x:row>
    <x:row r="1747">
      <x:c r="A1747" t="n">
        <x:v>320</x:v>
      </x:c>
      <x:c r="B1747" s="16" t="n">
        <x:v>46143</x:v>
      </x:c>
      <x:c r="C1747" t="n">
        <x:v>1</x:v>
      </x:c>
      <x:c r="D1747" t="n">
        <x:v>5</x:v>
      </x:c>
      <x:c r="E1747" s="18" t="n">
        <x:v>613.56</x:v>
      </x:c>
      <x:c r="F1747" s="18" t="n">
        <x:v>0</x:v>
      </x:c>
      <x:c r="G1747" s="18" t="n">
        <x:v>2.76</x:v>
      </x:c>
      <x:c r="H1747" s="18" t="n">
        <x:v>0.81</x:v>
      </x:c>
      <x:c r="I1747" s="18" t="n">
        <x:v>3.57</x:v>
      </x:c>
      <x:c r="J1747" t="n">
        <x:f>IF(A1747=A1746,IFERROR(IF(B1747=EDATE(B1746,1),C1746,0),0),0)</x:f>
        <x:v>1</x:v>
      </x:c>
      <x:c r="K1747" t="n">
        <x:f>IF(AND(J1747=1,C1747=0),1,0)</x:f>
        <x:v>0</x:v>
      </x:c>
      <x:c r="L1747" t="str">
        <x:f>IFERROR(INDEX(Customers!$C$2:$C$451,MATCH(A1747,Customers!$A$2:$A$451,0)),"Unknown")</x:f>
        <x:v>Standard</x:v>
      </x:c>
    </x:row>
    <x:row r="1748">
      <x:c r="A1748" t="n">
        <x:v>320</x:v>
      </x:c>
      <x:c r="B1748" s="16" t="n">
        <x:v>46174</x:v>
      </x:c>
      <x:c r="C1748" t="n">
        <x:v>1</x:v>
      </x:c>
      <x:c r="D1748" t="n">
        <x:v>31</x:v>
      </x:c>
      <x:c r="E1748" s="18" t="n">
        <x:v>2494.29</x:v>
      </x:c>
      <x:c r="F1748" s="18" t="n">
        <x:v>0</x:v>
      </x:c>
      <x:c r="G1748" s="18" t="n">
        <x:v>11.22</x:v>
      </x:c>
      <x:c r="H1748" s="18" t="n">
        <x:v>2.2</x:v>
      </x:c>
      <x:c r="I1748" s="18" t="n">
        <x:v>13.42</x:v>
      </x:c>
      <x:c r="J1748" t="n">
        <x:f>IF(A1748=A1747,IFERROR(IF(B1748=EDATE(B1747,1),C1747,0),0),0)</x:f>
        <x:v>1</x:v>
      </x:c>
      <x:c r="K1748" t="n">
        <x:f>IF(AND(J1748=1,C1748=0),1,0)</x:f>
        <x:v>0</x:v>
      </x:c>
      <x:c r="L1748" t="str">
        <x:f>IFERROR(INDEX(Customers!$C$2:$C$451,MATCH(A1748,Customers!$A$2:$A$451,0)),"Unknown")</x:f>
        <x:v>Standard</x:v>
      </x:c>
    </x:row>
    <x:row r="1749">
      <x:c r="A1749" t="n">
        <x:v>320</x:v>
      </x:c>
      <x:c r="B1749" s="16" t="n">
        <x:v>46204</x:v>
      </x:c>
      <x:c r="C1749" t="n">
        <x:v>1</x:v>
      </x:c>
      <x:c r="D1749" t="n">
        <x:v>32</x:v>
      </x:c>
      <x:c r="E1749" s="18" t="n">
        <x:v>4433.71</x:v>
      </x:c>
      <x:c r="F1749" s="18" t="n">
        <x:v>0</x:v>
      </x:c>
      <x:c r="G1749" s="18" t="n">
        <x:v>19.95</x:v>
      </x:c>
      <x:c r="H1749" s="18" t="n">
        <x:v>9.47</x:v>
      </x:c>
      <x:c r="I1749" s="18" t="n">
        <x:v>29.42</x:v>
      </x:c>
      <x:c r="J1749" t="n">
        <x:f>IF(A1749=A1748,IFERROR(IF(B1749=EDATE(B1748,1),C1748,0),0),0)</x:f>
        <x:v>1</x:v>
      </x:c>
      <x:c r="K1749" t="n">
        <x:f>IF(AND(J1749=1,C1749=0),1,0)</x:f>
        <x:v>0</x:v>
      </x:c>
      <x:c r="L1749" t="str">
        <x:f>IFERROR(INDEX(Customers!$C$2:$C$451,MATCH(A1749,Customers!$A$2:$A$451,0)),"Unknown")</x:f>
        <x:v>Standard</x:v>
      </x:c>
    </x:row>
    <x:row r="1750">
      <x:c r="A1750" t="n">
        <x:v>320</x:v>
      </x:c>
      <x:c r="B1750" s="16" t="n">
        <x:v>46235</x:v>
      </x:c>
      <x:c r="C1750" t="n">
        <x:v>1</x:v>
      </x:c>
      <x:c r="D1750" t="n">
        <x:v>30</x:v>
      </x:c>
      <x:c r="E1750" s="18" t="n">
        <x:v>1351.73</x:v>
      </x:c>
      <x:c r="F1750" s="18" t="n">
        <x:v>0</x:v>
      </x:c>
      <x:c r="G1750" s="18" t="n">
        <x:v>6.08</x:v>
      </x:c>
      <x:c r="H1750" s="18" t="n">
        <x:v>4.04</x:v>
      </x:c>
      <x:c r="I1750" s="18" t="n">
        <x:v>10.12</x:v>
      </x:c>
      <x:c r="J1750" t="n">
        <x:f>IF(A1750=A1749,IFERROR(IF(B1750=EDATE(B1749,1),C1749,0),0),0)</x:f>
        <x:v>1</x:v>
      </x:c>
      <x:c r="K1750" t="n">
        <x:f>IF(AND(J1750=1,C1750=0),1,0)</x:f>
        <x:v>0</x:v>
      </x:c>
      <x:c r="L1750" t="str">
        <x:f>IFERROR(INDEX(Customers!$C$2:$C$451,MATCH(A1750,Customers!$A$2:$A$451,0)),"Unknown")</x:f>
        <x:v>Standard</x:v>
      </x:c>
    </x:row>
    <x:row r="1751">
      <x:c r="A1751" t="n">
        <x:v>320</x:v>
      </x:c>
      <x:c r="B1751" s="16" t="n">
        <x:v>46266</x:v>
      </x:c>
      <x:c r="C1751" t="n">
        <x:v>1</x:v>
      </x:c>
      <x:c r="D1751" t="n">
        <x:v>27</x:v>
      </x:c>
      <x:c r="E1751" s="18" t="n">
        <x:v>1138.48</x:v>
      </x:c>
      <x:c r="F1751" s="18" t="n">
        <x:v>0</x:v>
      </x:c>
      <x:c r="G1751" s="18" t="n">
        <x:v>5.12</x:v>
      </x:c>
      <x:c r="H1751" s="18" t="n">
        <x:v>1.41</x:v>
      </x:c>
      <x:c r="I1751" s="18" t="n">
        <x:v>6.53</x:v>
      </x:c>
      <x:c r="J1751" t="n">
        <x:f>IF(A1751=A1750,IFERROR(IF(B1751=EDATE(B1750,1),C1750,0),0),0)</x:f>
        <x:v>1</x:v>
      </x:c>
      <x:c r="K1751" t="n">
        <x:f>IF(AND(J1751=1,C1751=0),1,0)</x:f>
        <x:v>0</x:v>
      </x:c>
      <x:c r="L1751" t="str">
        <x:f>IFERROR(INDEX(Customers!$C$2:$C$451,MATCH(A1751,Customers!$A$2:$A$451,0)),"Unknown")</x:f>
        <x:v>Standard</x:v>
      </x:c>
    </x:row>
    <x:row r="1752">
      <x:c r="A1752" t="n">
        <x:v>321</x:v>
      </x:c>
      <x:c r="B1752" s="16" t="n">
        <x:v>46113</x:v>
      </x:c>
      <x:c r="C1752" t="n">
        <x:v>1</x:v>
      </x:c>
      <x:c r="D1752" t="n">
        <x:v>12</x:v>
      </x:c>
      <x:c r="E1752" s="18" t="n">
        <x:v>468.04</x:v>
      </x:c>
      <x:c r="F1752" s="18" t="n">
        <x:v>0</x:v>
      </x:c>
      <x:c r="G1752" s="18" t="n">
        <x:v>2.11</x:v>
      </x:c>
      <x:c r="H1752" s="18" t="n">
        <x:v>0.47</x:v>
      </x:c>
      <x:c r="I1752" s="18" t="n">
        <x:v>2.58</x:v>
      </x:c>
      <x:c r="J1752" t="n">
        <x:f>IF(A1752=A1751,IFERROR(IF(B1752=EDATE(B1751,1),C1751,0),0),0)</x:f>
        <x:v>0</x:v>
      </x:c>
      <x:c r="K1752" t="n">
        <x:f>IF(AND(J1752=1,C1752=0),1,0)</x:f>
        <x:v>0</x:v>
      </x:c>
      <x:c r="L1752" t="str">
        <x:f>IFERROR(INDEX(Customers!$C$2:$C$451,MATCH(A1752,Customers!$A$2:$A$451,0)),"Unknown")</x:f>
        <x:v>Standard</x:v>
      </x:c>
    </x:row>
    <x:row r="1753">
      <x:c r="A1753" t="n">
        <x:v>321</x:v>
      </x:c>
      <x:c r="B1753" s="16" t="n">
        <x:v>46143</x:v>
      </x:c>
      <x:c r="C1753" t="n">
        <x:v>1</x:v>
      </x:c>
      <x:c r="D1753" t="n">
        <x:v>21</x:v>
      </x:c>
      <x:c r="E1753" s="18" t="n">
        <x:v>2852.81</x:v>
      </x:c>
      <x:c r="F1753" s="18" t="n">
        <x:v>0</x:v>
      </x:c>
      <x:c r="G1753" s="18" t="n">
        <x:v>12.84</x:v>
      </x:c>
      <x:c r="H1753" s="18" t="n">
        <x:v>2.95</x:v>
      </x:c>
      <x:c r="I1753" s="18" t="n">
        <x:v>15.79</x:v>
      </x:c>
      <x:c r="J1753" t="n">
        <x:f>IF(A1753=A1752,IFERROR(IF(B1753=EDATE(B1752,1),C1752,0),0),0)</x:f>
        <x:v>1</x:v>
      </x:c>
      <x:c r="K1753" t="n">
        <x:f>IF(AND(J1753=1,C1753=0),1,0)</x:f>
        <x:v>0</x:v>
      </x:c>
      <x:c r="L1753" t="str">
        <x:f>IFERROR(INDEX(Customers!$C$2:$C$451,MATCH(A1753,Customers!$A$2:$A$451,0)),"Unknown")</x:f>
        <x:v>Standard</x:v>
      </x:c>
    </x:row>
    <x:row r="1754">
      <x:c r="A1754" t="n">
        <x:v>321</x:v>
      </x:c>
      <x:c r="B1754" s="16" t="n">
        <x:v>46174</x:v>
      </x:c>
      <x:c r="C1754" t="n">
        <x:v>0</x:v>
      </x:c>
      <x:c r="D1754" t="n">
        <x:v>0</x:v>
      </x:c>
      <x:c r="E1754" s="18" t="n">
        <x:v>0</x:v>
      </x:c>
      <x:c r="F1754" s="18" t="n">
        <x:v>0</x:v>
      </x:c>
      <x:c r="G1754" s="18" t="n">
        <x:v>0</x:v>
      </x:c>
      <x:c r="H1754" s="18" t="n">
        <x:v>0</x:v>
      </x:c>
      <x:c r="I1754" s="18" t="n">
        <x:v>0</x:v>
      </x:c>
      <x:c r="J1754" t="n">
        <x:f>IF(A1754=A1753,IFERROR(IF(B1754=EDATE(B1753,1),C1753,0),0),0)</x:f>
        <x:v>1</x:v>
      </x:c>
      <x:c r="K1754" t="n">
        <x:f>IF(AND(J1754=1,C1754=0),1,0)</x:f>
        <x:v>1</x:v>
      </x:c>
      <x:c r="L1754" t="str">
        <x:f>IFERROR(INDEX(Customers!$C$2:$C$451,MATCH(A1754,Customers!$A$2:$A$451,0)),"Unknown")</x:f>
        <x:v>Standard</x:v>
      </x:c>
    </x:row>
    <x:row r="1755">
      <x:c r="A1755" t="n">
        <x:v>321</x:v>
      </x:c>
      <x:c r="B1755" s="16" t="n">
        <x:v>46204</x:v>
      </x:c>
      <x:c r="C1755" t="n">
        <x:v>1</x:v>
      </x:c>
      <x:c r="D1755" t="n">
        <x:v>20</x:v>
      </x:c>
      <x:c r="E1755" s="18" t="n">
        <x:v>2236.53</x:v>
      </x:c>
      <x:c r="F1755" s="18" t="n">
        <x:v>0</x:v>
      </x:c>
      <x:c r="G1755" s="18" t="n">
        <x:v>10.06</x:v>
      </x:c>
      <x:c r="H1755" s="18" t="n">
        <x:v>7.14</x:v>
      </x:c>
      <x:c r="I1755" s="18" t="n">
        <x:v>17.2</x:v>
      </x:c>
      <x:c r="J1755" t="n">
        <x:f>IF(A1755=A1754,IFERROR(IF(B1755=EDATE(B1754,1),C1754,0),0),0)</x:f>
        <x:v>0</x:v>
      </x:c>
      <x:c r="K1755" t="n">
        <x:f>IF(AND(J1755=1,C1755=0),1,0)</x:f>
        <x:v>0</x:v>
      </x:c>
      <x:c r="L1755" t="str">
        <x:f>IFERROR(INDEX(Customers!$C$2:$C$451,MATCH(A1755,Customers!$A$2:$A$451,0)),"Unknown")</x:f>
        <x:v>Standard</x:v>
      </x:c>
    </x:row>
    <x:row r="1756">
      <x:c r="A1756" t="n">
        <x:v>321</x:v>
      </x:c>
      <x:c r="B1756" s="16" t="n">
        <x:v>46235</x:v>
      </x:c>
      <x:c r="C1756" t="n">
        <x:v>1</x:v>
      </x:c>
      <x:c r="D1756" t="n">
        <x:v>22</x:v>
      </x:c>
      <x:c r="E1756" s="18" t="n">
        <x:v>2080.98</x:v>
      </x:c>
      <x:c r="F1756" s="18" t="n">
        <x:v>0</x:v>
      </x:c>
      <x:c r="G1756" s="18" t="n">
        <x:v>9.36</x:v>
      </x:c>
      <x:c r="H1756" s="18" t="n">
        <x:v>5.47</x:v>
      </x:c>
      <x:c r="I1756" s="18" t="n">
        <x:v>14.83</x:v>
      </x:c>
      <x:c r="J1756" t="n">
        <x:f>IF(A1756=A1755,IFERROR(IF(B1756=EDATE(B1755,1),C1755,0),0),0)</x:f>
        <x:v>1</x:v>
      </x:c>
      <x:c r="K1756" t="n">
        <x:f>IF(AND(J1756=1,C1756=0),1,0)</x:f>
        <x:v>0</x:v>
      </x:c>
      <x:c r="L1756" t="str">
        <x:f>IFERROR(INDEX(Customers!$C$2:$C$451,MATCH(A1756,Customers!$A$2:$A$451,0)),"Unknown")</x:f>
        <x:v>Standard</x:v>
      </x:c>
    </x:row>
    <x:row r="1757">
      <x:c r="A1757" t="n">
        <x:v>321</x:v>
      </x:c>
      <x:c r="B1757" s="16" t="n">
        <x:v>46266</x:v>
      </x:c>
      <x:c r="C1757" t="n">
        <x:v>0</x:v>
      </x:c>
      <x:c r="D1757" t="n">
        <x:v>0</x:v>
      </x:c>
      <x:c r="E1757" s="18" t="n">
        <x:v>0</x:v>
      </x:c>
      <x:c r="F1757" s="18" t="n">
        <x:v>0</x:v>
      </x:c>
      <x:c r="G1757" s="18" t="n">
        <x:v>0</x:v>
      </x:c>
      <x:c r="H1757" s="18" t="n">
        <x:v>0</x:v>
      </x:c>
      <x:c r="I1757" s="18" t="n">
        <x:v>0</x:v>
      </x:c>
      <x:c r="J1757" t="n">
        <x:f>IF(A1757=A1756,IFERROR(IF(B1757=EDATE(B1756,1),C1756,0),0),0)</x:f>
        <x:v>1</x:v>
      </x:c>
      <x:c r="K1757" t="n">
        <x:f>IF(AND(J1757=1,C1757=0),1,0)</x:f>
        <x:v>1</x:v>
      </x:c>
      <x:c r="L1757" t="str">
        <x:f>IFERROR(INDEX(Customers!$C$2:$C$451,MATCH(A1757,Customers!$A$2:$A$451,0)),"Unknown")</x:f>
        <x:v>Standard</x:v>
      </x:c>
    </x:row>
    <x:row r="1758">
      <x:c r="A1758" t="n">
        <x:v>322</x:v>
      </x:c>
      <x:c r="B1758" s="16" t="n">
        <x:v>46113</x:v>
      </x:c>
      <x:c r="C1758" t="n">
        <x:v>1</x:v>
      </x:c>
      <x:c r="D1758" t="n">
        <x:v>10</x:v>
      </x:c>
      <x:c r="E1758" s="18" t="n">
        <x:v>798.61</x:v>
      </x:c>
      <x:c r="F1758" s="18" t="n">
        <x:v>34</x:v>
      </x:c>
      <x:c r="G1758" s="18" t="n">
        <x:v>3.59</x:v>
      </x:c>
      <x:c r="H1758" s="18" t="n">
        <x:v>0.87</x:v>
      </x:c>
      <x:c r="I1758" s="18" t="n">
        <x:v>38.46</x:v>
      </x:c>
      <x:c r="J1758" t="n">
        <x:f>IF(A1758=A1757,IFERROR(IF(B1758=EDATE(B1757,1),C1757,0),0),0)</x:f>
        <x:v>0</x:v>
      </x:c>
      <x:c r="K1758" t="n">
        <x:f>IF(AND(J1758=1,C1758=0),1,0)</x:f>
        <x:v>0</x:v>
      </x:c>
      <x:c r="L1758" t="str">
        <x:f>IFERROR(INDEX(Customers!$C$2:$C$451,MATCH(A1758,Customers!$A$2:$A$451,0)),"Unknown")</x:f>
        <x:v>Metal</x:v>
      </x:c>
    </x:row>
    <x:row r="1759">
      <x:c r="A1759" t="n">
        <x:v>322</x:v>
      </x:c>
      <x:c r="B1759" s="16" t="n">
        <x:v>46143</x:v>
      </x:c>
      <x:c r="C1759" t="n">
        <x:v>1</x:v>
      </x:c>
      <x:c r="D1759" t="n">
        <x:v>13</x:v>
      </x:c>
      <x:c r="E1759" s="18" t="n">
        <x:v>464.96</x:v>
      </x:c>
      <x:c r="F1759" s="18" t="n">
        <x:v>34</x:v>
      </x:c>
      <x:c r="G1759" s="18" t="n">
        <x:v>2.09</x:v>
      </x:c>
      <x:c r="H1759" s="18" t="n">
        <x:v>1.59</x:v>
      </x:c>
      <x:c r="I1759" s="18" t="n">
        <x:v>37.68</x:v>
      </x:c>
      <x:c r="J1759" t="n">
        <x:f>IF(A1759=A1758,IFERROR(IF(B1759=EDATE(B1758,1),C1758,0),0),0)</x:f>
        <x:v>1</x:v>
      </x:c>
      <x:c r="K1759" t="n">
        <x:f>IF(AND(J1759=1,C1759=0),1,0)</x:f>
        <x:v>0</x:v>
      </x:c>
      <x:c r="L1759" t="str">
        <x:f>IFERROR(INDEX(Customers!$C$2:$C$451,MATCH(A1759,Customers!$A$2:$A$451,0)),"Unknown")</x:f>
        <x:v>Metal</x:v>
      </x:c>
    </x:row>
    <x:row r="1760">
      <x:c r="A1760" t="n">
        <x:v>322</x:v>
      </x:c>
      <x:c r="B1760" s="16" t="n">
        <x:v>46174</x:v>
      </x:c>
      <x:c r="C1760" t="n">
        <x:v>0</x:v>
      </x:c>
      <x:c r="D1760" t="n">
        <x:v>0</x:v>
      </x:c>
      <x:c r="E1760" s="18" t="n">
        <x:v>0</x:v>
      </x:c>
      <x:c r="F1760" s="18" t="n">
        <x:v>0</x:v>
      </x:c>
      <x:c r="G1760" s="18" t="n">
        <x:v>0</x:v>
      </x:c>
      <x:c r="H1760" s="18" t="n">
        <x:v>0</x:v>
      </x:c>
      <x:c r="I1760" s="18" t="n">
        <x:v>0</x:v>
      </x:c>
      <x:c r="J1760" t="n">
        <x:f>IF(A1760=A1759,IFERROR(IF(B1760=EDATE(B1759,1),C1759,0),0),0)</x:f>
        <x:v>1</x:v>
      </x:c>
      <x:c r="K1760" t="n">
        <x:f>IF(AND(J1760=1,C1760=0),1,0)</x:f>
        <x:v>1</x:v>
      </x:c>
      <x:c r="L1760" t="str">
        <x:f>IFERROR(INDEX(Customers!$C$2:$C$451,MATCH(A1760,Customers!$A$2:$A$451,0)),"Unknown")</x:f>
        <x:v>Metal</x:v>
      </x:c>
    </x:row>
    <x:row r="1761">
      <x:c r="A1761" t="n">
        <x:v>322</x:v>
      </x:c>
      <x:c r="B1761" s="16" t="n">
        <x:v>46204</x:v>
      </x:c>
      <x:c r="C1761" t="n">
        <x:v>0</x:v>
      </x:c>
      <x:c r="D1761" t="n">
        <x:v>0</x:v>
      </x:c>
      <x:c r="E1761" s="18" t="n">
        <x:v>0</x:v>
      </x:c>
      <x:c r="F1761" s="18" t="n">
        <x:v>0</x:v>
      </x:c>
      <x:c r="G1761" s="18" t="n">
        <x:v>0</x:v>
      </x:c>
      <x:c r="H1761" s="18" t="n">
        <x:v>0</x:v>
      </x:c>
      <x:c r="I1761" s="18" t="n">
        <x:v>0</x:v>
      </x:c>
      <x:c r="J1761" t="n">
        <x:f>IF(A1761=A1760,IFERROR(IF(B1761=EDATE(B1760,1),C1760,0),0),0)</x:f>
        <x:v>0</x:v>
      </x:c>
      <x:c r="K1761" t="n">
        <x:f>IF(AND(J1761=1,C1761=0),1,0)</x:f>
        <x:v>0</x:v>
      </x:c>
      <x:c r="L1761" t="str">
        <x:f>IFERROR(INDEX(Customers!$C$2:$C$451,MATCH(A1761,Customers!$A$2:$A$451,0)),"Unknown")</x:f>
        <x:v>Metal</x:v>
      </x:c>
    </x:row>
    <x:row r="1762">
      <x:c r="A1762" t="n">
        <x:v>322</x:v>
      </x:c>
      <x:c r="B1762" s="16" t="n">
        <x:v>46235</x:v>
      </x:c>
      <x:c r="C1762" t="n">
        <x:v>0</x:v>
      </x:c>
      <x:c r="D1762" t="n">
        <x:v>0</x:v>
      </x:c>
      <x:c r="E1762" s="18" t="n">
        <x:v>0</x:v>
      </x:c>
      <x:c r="F1762" s="18" t="n">
        <x:v>0</x:v>
      </x:c>
      <x:c r="G1762" s="18" t="n">
        <x:v>0</x:v>
      </x:c>
      <x:c r="H1762" s="18" t="n">
        <x:v>0</x:v>
      </x:c>
      <x:c r="I1762" s="18" t="n">
        <x:v>0</x:v>
      </x:c>
      <x:c r="J1762" t="n">
        <x:f>IF(A1762=A1761,IFERROR(IF(B1762=EDATE(B1761,1),C1761,0),0),0)</x:f>
        <x:v>0</x:v>
      </x:c>
      <x:c r="K1762" t="n">
        <x:f>IF(AND(J1762=1,C1762=0),1,0)</x:f>
        <x:v>0</x:v>
      </x:c>
      <x:c r="L1762" t="str">
        <x:f>IFERROR(INDEX(Customers!$C$2:$C$451,MATCH(A1762,Customers!$A$2:$A$451,0)),"Unknown")</x:f>
        <x:v>Metal</x:v>
      </x:c>
    </x:row>
    <x:row r="1763">
      <x:c r="A1763" t="n">
        <x:v>322</x:v>
      </x:c>
      <x:c r="B1763" s="16" t="n">
        <x:v>46266</x:v>
      </x:c>
      <x:c r="C1763" t="n">
        <x:v>0</x:v>
      </x:c>
      <x:c r="D1763" t="n">
        <x:v>0</x:v>
      </x:c>
      <x:c r="E1763" s="18" t="n">
        <x:v>0</x:v>
      </x:c>
      <x:c r="F1763" s="18" t="n">
        <x:v>0</x:v>
      </x:c>
      <x:c r="G1763" s="18" t="n">
        <x:v>0</x:v>
      </x:c>
      <x:c r="H1763" s="18" t="n">
        <x:v>0</x:v>
      </x:c>
      <x:c r="I1763" s="18" t="n">
        <x:v>0</x:v>
      </x:c>
      <x:c r="J1763" t="n">
        <x:f>IF(A1763=A1762,IFERROR(IF(B1763=EDATE(B1762,1),C1762,0),0),0)</x:f>
        <x:v>0</x:v>
      </x:c>
      <x:c r="K1763" t="n">
        <x:f>IF(AND(J1763=1,C1763=0),1,0)</x:f>
        <x:v>0</x:v>
      </x:c>
      <x:c r="L1763" t="str">
        <x:f>IFERROR(INDEX(Customers!$C$2:$C$451,MATCH(A1763,Customers!$A$2:$A$451,0)),"Unknown")</x:f>
        <x:v>Metal</x:v>
      </x:c>
    </x:row>
    <x:row r="1764">
      <x:c r="A1764" t="n">
        <x:v>323</x:v>
      </x:c>
      <x:c r="B1764" s="16" t="n">
        <x:v>46113</x:v>
      </x:c>
      <x:c r="C1764" t="n">
        <x:v>1</x:v>
      </x:c>
      <x:c r="D1764" t="n">
        <x:v>7</x:v>
      </x:c>
      <x:c r="E1764" s="18" t="n">
        <x:v>366.53</x:v>
      </x:c>
      <x:c r="F1764" s="18" t="n">
        <x:v>34</x:v>
      </x:c>
      <x:c r="G1764" s="18" t="n">
        <x:v>1.65</x:v>
      </x:c>
      <x:c r="H1764" s="18" t="n">
        <x:v>0.53</x:v>
      </x:c>
      <x:c r="I1764" s="18" t="n">
        <x:v>36.18</x:v>
      </x:c>
      <x:c r="J1764" t="n">
        <x:f>IF(A1764=A1763,IFERROR(IF(B1764=EDATE(B1763,1),C1763,0),0),0)</x:f>
        <x:v>0</x:v>
      </x:c>
      <x:c r="K1764" t="n">
        <x:f>IF(AND(J1764=1,C1764=0),1,0)</x:f>
        <x:v>0</x:v>
      </x:c>
      <x:c r="L1764" t="str">
        <x:f>IFERROR(INDEX(Customers!$C$2:$C$451,MATCH(A1764,Customers!$A$2:$A$451,0)),"Unknown")</x:f>
        <x:v>Metal</x:v>
      </x:c>
    </x:row>
    <x:row r="1765">
      <x:c r="A1765" t="n">
        <x:v>323</x:v>
      </x:c>
      <x:c r="B1765" s="16" t="n">
        <x:v>46143</x:v>
      </x:c>
      <x:c r="C1765" t="n">
        <x:v>1</x:v>
      </x:c>
      <x:c r="D1765" t="n">
        <x:v>19</x:v>
      </x:c>
      <x:c r="E1765" s="18" t="n">
        <x:v>2020.02</x:v>
      </x:c>
      <x:c r="F1765" s="18" t="n">
        <x:v>34</x:v>
      </x:c>
      <x:c r="G1765" s="18" t="n">
        <x:v>9.09</x:v>
      </x:c>
      <x:c r="H1765" s="18" t="n">
        <x:v>4.87</x:v>
      </x:c>
      <x:c r="I1765" s="18" t="n">
        <x:v>47.96</x:v>
      </x:c>
      <x:c r="J1765" t="n">
        <x:f>IF(A1765=A1764,IFERROR(IF(B1765=EDATE(B1764,1),C1764,0),0),0)</x:f>
        <x:v>1</x:v>
      </x:c>
      <x:c r="K1765" t="n">
        <x:f>IF(AND(J1765=1,C1765=0),1,0)</x:f>
        <x:v>0</x:v>
      </x:c>
      <x:c r="L1765" t="str">
        <x:f>IFERROR(INDEX(Customers!$C$2:$C$451,MATCH(A1765,Customers!$A$2:$A$451,0)),"Unknown")</x:f>
        <x:v>Metal</x:v>
      </x:c>
    </x:row>
    <x:row r="1766">
      <x:c r="A1766" t="n">
        <x:v>323</x:v>
      </x:c>
      <x:c r="B1766" s="16" t="n">
        <x:v>46174</x:v>
      </x:c>
      <x:c r="C1766" t="n">
        <x:v>1</x:v>
      </x:c>
      <x:c r="D1766" t="n">
        <x:v>36</x:v>
      </x:c>
      <x:c r="E1766" s="18" t="n">
        <x:v>1670.15</x:v>
      </x:c>
      <x:c r="F1766" s="18" t="n">
        <x:v>34</x:v>
      </x:c>
      <x:c r="G1766" s="18" t="n">
        <x:v>7.52</x:v>
      </x:c>
      <x:c r="H1766" s="18" t="n">
        <x:v>2.59</x:v>
      </x:c>
      <x:c r="I1766" s="18" t="n">
        <x:v>44.11</x:v>
      </x:c>
      <x:c r="J1766" t="n">
        <x:f>IF(A1766=A1765,IFERROR(IF(B1766=EDATE(B1765,1),C1765,0),0),0)</x:f>
        <x:v>1</x:v>
      </x:c>
      <x:c r="K1766" t="n">
        <x:f>IF(AND(J1766=1,C1766=0),1,0)</x:f>
        <x:v>0</x:v>
      </x:c>
      <x:c r="L1766" t="str">
        <x:f>IFERROR(INDEX(Customers!$C$2:$C$451,MATCH(A1766,Customers!$A$2:$A$451,0)),"Unknown")</x:f>
        <x:v>Metal</x:v>
      </x:c>
    </x:row>
    <x:row r="1767">
      <x:c r="A1767" t="n">
        <x:v>323</x:v>
      </x:c>
      <x:c r="B1767" s="16" t="n">
        <x:v>46204</x:v>
      </x:c>
      <x:c r="C1767" t="n">
        <x:v>1</x:v>
      </x:c>
      <x:c r="D1767" t="n">
        <x:v>26</x:v>
      </x:c>
      <x:c r="E1767" s="18" t="n">
        <x:v>1143.81</x:v>
      </x:c>
      <x:c r="F1767" s="18" t="n">
        <x:v>34</x:v>
      </x:c>
      <x:c r="G1767" s="18" t="n">
        <x:v>5.15</x:v>
      </x:c>
      <x:c r="H1767" s="18" t="n">
        <x:v>1.68</x:v>
      </x:c>
      <x:c r="I1767" s="18" t="n">
        <x:v>40.83</x:v>
      </x:c>
      <x:c r="J1767" t="n">
        <x:f>IF(A1767=A1766,IFERROR(IF(B1767=EDATE(B1766,1),C1766,0),0),0)</x:f>
        <x:v>1</x:v>
      </x:c>
      <x:c r="K1767" t="n">
        <x:f>IF(AND(J1767=1,C1767=0),1,0)</x:f>
        <x:v>0</x:v>
      </x:c>
      <x:c r="L1767" t="str">
        <x:f>IFERROR(INDEX(Customers!$C$2:$C$451,MATCH(A1767,Customers!$A$2:$A$451,0)),"Unknown")</x:f>
        <x:v>Metal</x:v>
      </x:c>
    </x:row>
    <x:row r="1768">
      <x:c r="A1768" t="n">
        <x:v>323</x:v>
      </x:c>
      <x:c r="B1768" s="16" t="n">
        <x:v>46235</x:v>
      </x:c>
      <x:c r="C1768" t="n">
        <x:v>1</x:v>
      </x:c>
      <x:c r="D1768" t="n">
        <x:v>21</x:v>
      </x:c>
      <x:c r="E1768" s="18" t="n">
        <x:v>1007.21</x:v>
      </x:c>
      <x:c r="F1768" s="18" t="n">
        <x:v>34</x:v>
      </x:c>
      <x:c r="G1768" s="18" t="n">
        <x:v>4.53</x:v>
      </x:c>
      <x:c r="H1768" s="18" t="n">
        <x:v>3.79</x:v>
      </x:c>
      <x:c r="I1768" s="18" t="n">
        <x:v>42.32</x:v>
      </x:c>
      <x:c r="J1768" t="n">
        <x:f>IF(A1768=A1767,IFERROR(IF(B1768=EDATE(B1767,1),C1767,0),0),0)</x:f>
        <x:v>1</x:v>
      </x:c>
      <x:c r="K1768" t="n">
        <x:f>IF(AND(J1768=1,C1768=0),1,0)</x:f>
        <x:v>0</x:v>
      </x:c>
      <x:c r="L1768" t="str">
        <x:f>IFERROR(INDEX(Customers!$C$2:$C$451,MATCH(A1768,Customers!$A$2:$A$451,0)),"Unknown")</x:f>
        <x:v>Metal</x:v>
      </x:c>
    </x:row>
    <x:row r="1769">
      <x:c r="A1769" t="n">
        <x:v>323</x:v>
      </x:c>
      <x:c r="B1769" s="16" t="n">
        <x:v>46266</x:v>
      </x:c>
      <x:c r="C1769" t="n">
        <x:v>0</x:v>
      </x:c>
      <x:c r="D1769" t="n">
        <x:v>0</x:v>
      </x:c>
      <x:c r="E1769" s="18" t="n">
        <x:v>0</x:v>
      </x:c>
      <x:c r="F1769" s="18" t="n">
        <x:v>0</x:v>
      </x:c>
      <x:c r="G1769" s="18" t="n">
        <x:v>0</x:v>
      </x:c>
      <x:c r="H1769" s="18" t="n">
        <x:v>0</x:v>
      </x:c>
      <x:c r="I1769" s="18" t="n">
        <x:v>0</x:v>
      </x:c>
      <x:c r="J1769" t="n">
        <x:f>IF(A1769=A1768,IFERROR(IF(B1769=EDATE(B1768,1),C1768,0),0),0)</x:f>
        <x:v>1</x:v>
      </x:c>
      <x:c r="K1769" t="n">
        <x:f>IF(AND(J1769=1,C1769=0),1,0)</x:f>
        <x:v>1</x:v>
      </x:c>
      <x:c r="L1769" t="str">
        <x:f>IFERROR(INDEX(Customers!$C$2:$C$451,MATCH(A1769,Customers!$A$2:$A$451,0)),"Unknown")</x:f>
        <x:v>Metal</x:v>
      </x:c>
    </x:row>
    <x:row r="1770">
      <x:c r="A1770" t="n">
        <x:v>324</x:v>
      </x:c>
      <x:c r="B1770" s="16" t="n">
        <x:v>46113</x:v>
      </x:c>
      <x:c r="C1770" t="n">
        <x:v>1</x:v>
      </x:c>
      <x:c r="D1770" t="n">
        <x:v>32</x:v>
      </x:c>
      <x:c r="E1770" s="18" t="n">
        <x:v>2747.28</x:v>
      </x:c>
      <x:c r="F1770" s="18" t="n">
        <x:v>0</x:v>
      </x:c>
      <x:c r="G1770" s="18" t="n">
        <x:v>12.36</x:v>
      </x:c>
      <x:c r="H1770" s="18" t="n">
        <x:v>6.42</x:v>
      </x:c>
      <x:c r="I1770" s="18" t="n">
        <x:v>18.78</x:v>
      </x:c>
      <x:c r="J1770" t="n">
        <x:f>IF(A1770=A1769,IFERROR(IF(B1770=EDATE(B1769,1),C1769,0),0),0)</x:f>
        <x:v>0</x:v>
      </x:c>
      <x:c r="K1770" t="n">
        <x:f>IF(AND(J1770=1,C1770=0),1,0)</x:f>
        <x:v>0</x:v>
      </x:c>
      <x:c r="L1770" t="str">
        <x:f>IFERROR(INDEX(Customers!$C$2:$C$451,MATCH(A1770,Customers!$A$2:$A$451,0)),"Unknown")</x:f>
        <x:v>Standard</x:v>
      </x:c>
    </x:row>
    <x:row r="1771">
      <x:c r="A1771" t="n">
        <x:v>324</x:v>
      </x:c>
      <x:c r="B1771" s="16" t="n">
        <x:v>46143</x:v>
      </x:c>
      <x:c r="C1771" t="n">
        <x:v>1</x:v>
      </x:c>
      <x:c r="D1771" t="n">
        <x:v>14</x:v>
      </x:c>
      <x:c r="E1771" s="18" t="n">
        <x:v>725.44</x:v>
      </x:c>
      <x:c r="F1771" s="18" t="n">
        <x:v>0</x:v>
      </x:c>
      <x:c r="G1771" s="18" t="n">
        <x:v>3.26</x:v>
      </x:c>
      <x:c r="H1771" s="18" t="n">
        <x:v>2.53</x:v>
      </x:c>
      <x:c r="I1771" s="18" t="n">
        <x:v>5.79</x:v>
      </x:c>
      <x:c r="J1771" t="n">
        <x:f>IF(A1771=A1770,IFERROR(IF(B1771=EDATE(B1770,1),C1770,0),0),0)</x:f>
        <x:v>1</x:v>
      </x:c>
      <x:c r="K1771" t="n">
        <x:f>IF(AND(J1771=1,C1771=0),1,0)</x:f>
        <x:v>0</x:v>
      </x:c>
      <x:c r="L1771" t="str">
        <x:f>IFERROR(INDEX(Customers!$C$2:$C$451,MATCH(A1771,Customers!$A$2:$A$451,0)),"Unknown")</x:f>
        <x:v>Standard</x:v>
      </x:c>
    </x:row>
    <x:row r="1772">
      <x:c r="A1772" t="n">
        <x:v>324</x:v>
      </x:c>
      <x:c r="B1772" s="16" t="n">
        <x:v>46174</x:v>
      </x:c>
      <x:c r="C1772" t="n">
        <x:v>1</x:v>
      </x:c>
      <x:c r="D1772" t="n">
        <x:v>15</x:v>
      </x:c>
      <x:c r="E1772" s="18" t="n">
        <x:v>1141.53</x:v>
      </x:c>
      <x:c r="F1772" s="18" t="n">
        <x:v>0</x:v>
      </x:c>
      <x:c r="G1772" s="18" t="n">
        <x:v>5.14</x:v>
      </x:c>
      <x:c r="H1772" s="18" t="n">
        <x:v>3.19</x:v>
      </x:c>
      <x:c r="I1772" s="18" t="n">
        <x:v>8.33</x:v>
      </x:c>
      <x:c r="J1772" t="n">
        <x:f>IF(A1772=A1771,IFERROR(IF(B1772=EDATE(B1771,1),C1771,0),0),0)</x:f>
        <x:v>1</x:v>
      </x:c>
      <x:c r="K1772" t="n">
        <x:f>IF(AND(J1772=1,C1772=0),1,0)</x:f>
        <x:v>0</x:v>
      </x:c>
      <x:c r="L1772" t="str">
        <x:f>IFERROR(INDEX(Customers!$C$2:$C$451,MATCH(A1772,Customers!$A$2:$A$451,0)),"Unknown")</x:f>
        <x:v>Standard</x:v>
      </x:c>
    </x:row>
    <x:row r="1773">
      <x:c r="A1773" t="n">
        <x:v>324</x:v>
      </x:c>
      <x:c r="B1773" s="16" t="n">
        <x:v>46204</x:v>
      </x:c>
      <x:c r="C1773" t="n">
        <x:v>1</x:v>
      </x:c>
      <x:c r="D1773" t="n">
        <x:v>10</x:v>
      </x:c>
      <x:c r="E1773" s="18" t="n">
        <x:v>692.83</x:v>
      </x:c>
      <x:c r="F1773" s="18" t="n">
        <x:v>0</x:v>
      </x:c>
      <x:c r="G1773" s="18" t="n">
        <x:v>3.12</x:v>
      </x:c>
      <x:c r="H1773" s="18" t="n">
        <x:v>1.7</x:v>
      </x:c>
      <x:c r="I1773" s="18" t="n">
        <x:v>4.82</x:v>
      </x:c>
      <x:c r="J1773" t="n">
        <x:f>IF(A1773=A1772,IFERROR(IF(B1773=EDATE(B1772,1),C1772,0),0),0)</x:f>
        <x:v>1</x:v>
      </x:c>
      <x:c r="K1773" t="n">
        <x:f>IF(AND(J1773=1,C1773=0),1,0)</x:f>
        <x:v>0</x:v>
      </x:c>
      <x:c r="L1773" t="str">
        <x:f>IFERROR(INDEX(Customers!$C$2:$C$451,MATCH(A1773,Customers!$A$2:$A$451,0)),"Unknown")</x:f>
        <x:v>Standard</x:v>
      </x:c>
    </x:row>
    <x:row r="1774">
      <x:c r="A1774" t="n">
        <x:v>324</x:v>
      </x:c>
      <x:c r="B1774" s="16" t="n">
        <x:v>46235</x:v>
      </x:c>
      <x:c r="C1774" t="n">
        <x:v>1</x:v>
      </x:c>
      <x:c r="D1774" t="n">
        <x:v>36</x:v>
      </x:c>
      <x:c r="E1774" s="18" t="n">
        <x:v>3523.3</x:v>
      </x:c>
      <x:c r="F1774" s="18" t="n">
        <x:v>0</x:v>
      </x:c>
      <x:c r="G1774" s="18" t="n">
        <x:v>15.85</x:v>
      </x:c>
      <x:c r="H1774" s="18" t="n">
        <x:v>8.24</x:v>
      </x:c>
      <x:c r="I1774" s="18" t="n">
        <x:v>24.09</x:v>
      </x:c>
      <x:c r="J1774" t="n">
        <x:f>IF(A1774=A1773,IFERROR(IF(B1774=EDATE(B1773,1),C1773,0),0),0)</x:f>
        <x:v>1</x:v>
      </x:c>
      <x:c r="K1774" t="n">
        <x:f>IF(AND(J1774=1,C1774=0),1,0)</x:f>
        <x:v>0</x:v>
      </x:c>
      <x:c r="L1774" t="str">
        <x:f>IFERROR(INDEX(Customers!$C$2:$C$451,MATCH(A1774,Customers!$A$2:$A$451,0)),"Unknown")</x:f>
        <x:v>Standard</x:v>
      </x:c>
    </x:row>
    <x:row r="1775">
      <x:c r="A1775" t="n">
        <x:v>324</x:v>
      </x:c>
      <x:c r="B1775" s="16" t="n">
        <x:v>46266</x:v>
      </x:c>
      <x:c r="C1775" t="n">
        <x:v>1</x:v>
      </x:c>
      <x:c r="D1775" t="n">
        <x:v>25</x:v>
      </x:c>
      <x:c r="E1775" s="18" t="n">
        <x:v>1066.7</x:v>
      </x:c>
      <x:c r="F1775" s="18" t="n">
        <x:v>0</x:v>
      </x:c>
      <x:c r="G1775" s="18" t="n">
        <x:v>4.8</x:v>
      </x:c>
      <x:c r="H1775" s="18" t="n">
        <x:v>2.4</x:v>
      </x:c>
      <x:c r="I1775" s="18" t="n">
        <x:v>7.2</x:v>
      </x:c>
      <x:c r="J1775" t="n">
        <x:f>IF(A1775=A1774,IFERROR(IF(B1775=EDATE(B1774,1),C1774,0),0),0)</x:f>
        <x:v>1</x:v>
      </x:c>
      <x:c r="K1775" t="n">
        <x:f>IF(AND(J1775=1,C1775=0),1,0)</x:f>
        <x:v>0</x:v>
      </x:c>
      <x:c r="L1775" t="str">
        <x:f>IFERROR(INDEX(Customers!$C$2:$C$451,MATCH(A1775,Customers!$A$2:$A$451,0)),"Unknown")</x:f>
        <x:v>Standard</x:v>
      </x:c>
    </x:row>
    <x:row r="1776">
      <x:c r="A1776" t="n">
        <x:v>325</x:v>
      </x:c>
      <x:c r="B1776" s="16" t="n">
        <x:v>46174</x:v>
      </x:c>
      <x:c r="C1776" t="n">
        <x:v>1</x:v>
      </x:c>
      <x:c r="D1776" t="n">
        <x:v>24</x:v>
      </x:c>
      <x:c r="E1776" s="18" t="n">
        <x:v>3046.23</x:v>
      </x:c>
      <x:c r="F1776" s="18" t="n">
        <x:v>8</x:v>
      </x:c>
      <x:c r="G1776" s="18" t="n">
        <x:v>13.71</x:v>
      </x:c>
      <x:c r="H1776" s="18" t="n">
        <x:v>8.9</x:v>
      </x:c>
      <x:c r="I1776" s="18" t="n">
        <x:v>30.61</x:v>
      </x:c>
      <x:c r="J1776" t="n">
        <x:f>IF(A1776=A1775,IFERROR(IF(B1776=EDATE(B1775,1),C1775,0),0),0)</x:f>
        <x:v>0</x:v>
      </x:c>
      <x:c r="K1776" t="n">
        <x:f>IF(AND(J1776=1,C1776=0),1,0)</x:f>
        <x:v>0</x:v>
      </x:c>
      <x:c r="L1776" t="str">
        <x:f>IFERROR(INDEX(Customers!$C$2:$C$451,MATCH(A1776,Customers!$A$2:$A$451,0)),"Unknown")</x:f>
        <x:v>Plus</x:v>
      </x:c>
    </x:row>
    <x:row r="1777">
      <x:c r="A1777" t="n">
        <x:v>325</x:v>
      </x:c>
      <x:c r="B1777" s="16" t="n">
        <x:v>46204</x:v>
      </x:c>
      <x:c r="C1777" t="n">
        <x:v>1</x:v>
      </x:c>
      <x:c r="D1777" t="n">
        <x:v>34</x:v>
      </x:c>
      <x:c r="E1777" s="18" t="n">
        <x:v>2286.09</x:v>
      </x:c>
      <x:c r="F1777" s="18" t="n">
        <x:v>8</x:v>
      </x:c>
      <x:c r="G1777" s="18" t="n">
        <x:v>10.29</x:v>
      </x:c>
      <x:c r="H1777" s="18" t="n">
        <x:v>6.29</x:v>
      </x:c>
      <x:c r="I1777" s="18" t="n">
        <x:v>24.58</x:v>
      </x:c>
      <x:c r="J1777" t="n">
        <x:f>IF(A1777=A1776,IFERROR(IF(B1777=EDATE(B1776,1),C1776,0),0),0)</x:f>
        <x:v>1</x:v>
      </x:c>
      <x:c r="K1777" t="n">
        <x:f>IF(AND(J1777=1,C1777=0),1,0)</x:f>
        <x:v>0</x:v>
      </x:c>
      <x:c r="L1777" t="str">
        <x:f>IFERROR(INDEX(Customers!$C$2:$C$451,MATCH(A1777,Customers!$A$2:$A$451,0)),"Unknown")</x:f>
        <x:v>Plus</x:v>
      </x:c>
    </x:row>
    <x:row r="1778">
      <x:c r="A1778" t="n">
        <x:v>325</x:v>
      </x:c>
      <x:c r="B1778" s="16" t="n">
        <x:v>46235</x:v>
      </x:c>
      <x:c r="C1778" t="n">
        <x:v>1</x:v>
      </x:c>
      <x:c r="D1778" t="n">
        <x:v>20</x:v>
      </x:c>
      <x:c r="E1778" s="18" t="n">
        <x:v>1002.58</x:v>
      </x:c>
      <x:c r="F1778" s="18" t="n">
        <x:v>8</x:v>
      </x:c>
      <x:c r="G1778" s="18" t="n">
        <x:v>4.51</x:v>
      </x:c>
      <x:c r="H1778" s="18" t="n">
        <x:v>1.14</x:v>
      </x:c>
      <x:c r="I1778" s="18" t="n">
        <x:v>13.65</x:v>
      </x:c>
      <x:c r="J1778" t="n">
        <x:f>IF(A1778=A1777,IFERROR(IF(B1778=EDATE(B1777,1),C1777,0),0),0)</x:f>
        <x:v>1</x:v>
      </x:c>
      <x:c r="K1778" t="n">
        <x:f>IF(AND(J1778=1,C1778=0),1,0)</x:f>
        <x:v>0</x:v>
      </x:c>
      <x:c r="L1778" t="str">
        <x:f>IFERROR(INDEX(Customers!$C$2:$C$451,MATCH(A1778,Customers!$A$2:$A$451,0)),"Unknown")</x:f>
        <x:v>Plus</x:v>
      </x:c>
    </x:row>
    <x:row r="1779">
      <x:c r="A1779" t="n">
        <x:v>325</x:v>
      </x:c>
      <x:c r="B1779" s="16" t="n">
        <x:v>46266</x:v>
      </x:c>
      <x:c r="C1779" t="n">
        <x:v>0</x:v>
      </x:c>
      <x:c r="D1779" t="n">
        <x:v>0</x:v>
      </x:c>
      <x:c r="E1779" s="18" t="n">
        <x:v>0</x:v>
      </x:c>
      <x:c r="F1779" s="18" t="n">
        <x:v>0</x:v>
      </x:c>
      <x:c r="G1779" s="18" t="n">
        <x:v>0</x:v>
      </x:c>
      <x:c r="H1779" s="18" t="n">
        <x:v>0</x:v>
      </x:c>
      <x:c r="I1779" s="18" t="n">
        <x:v>0</x:v>
      </x:c>
      <x:c r="J1779" t="n">
        <x:f>IF(A1779=A1778,IFERROR(IF(B1779=EDATE(B1778,1),C1778,0),0),0)</x:f>
        <x:v>1</x:v>
      </x:c>
      <x:c r="K1779" t="n">
        <x:f>IF(AND(J1779=1,C1779=0),1,0)</x:f>
        <x:v>1</x:v>
      </x:c>
      <x:c r="L1779" t="str">
        <x:f>IFERROR(INDEX(Customers!$C$2:$C$451,MATCH(A1779,Customers!$A$2:$A$451,0)),"Unknown")</x:f>
        <x:v>Plus</x:v>
      </x:c>
    </x:row>
    <x:row r="1780">
      <x:c r="A1780" t="n">
        <x:v>326</x:v>
      </x:c>
      <x:c r="B1780" s="16" t="n">
        <x:v>46174</x:v>
      </x:c>
      <x:c r="C1780" t="n">
        <x:v>1</x:v>
      </x:c>
      <x:c r="D1780" t="n">
        <x:v>21</x:v>
      </x:c>
      <x:c r="E1780" s="18" t="n">
        <x:v>2904.02</x:v>
      </x:c>
      <x:c r="F1780" s="18" t="n">
        <x:v>17</x:v>
      </x:c>
      <x:c r="G1780" s="18" t="n">
        <x:v>13.07</x:v>
      </x:c>
      <x:c r="H1780" s="18" t="n">
        <x:v>10.59</x:v>
      </x:c>
      <x:c r="I1780" s="18" t="n">
        <x:v>40.66</x:v>
      </x:c>
      <x:c r="J1780" t="n">
        <x:f>IF(A1780=A1779,IFERROR(IF(B1780=EDATE(B1779,1),C1779,0),0),0)</x:f>
        <x:v>0</x:v>
      </x:c>
      <x:c r="K1780" t="n">
        <x:f>IF(AND(J1780=1,C1780=0),1,0)</x:f>
        <x:v>0</x:v>
      </x:c>
      <x:c r="L1780" t="str">
        <x:f>IFERROR(INDEX(Customers!$C$2:$C$451,MATCH(A1780,Customers!$A$2:$A$451,0)),"Unknown")</x:f>
        <x:v>Premium</x:v>
      </x:c>
    </x:row>
    <x:row r="1781">
      <x:c r="A1781" t="n">
        <x:v>326</x:v>
      </x:c>
      <x:c r="B1781" s="16" t="n">
        <x:v>46204</x:v>
      </x:c>
      <x:c r="C1781" t="n">
        <x:v>1</x:v>
      </x:c>
      <x:c r="D1781" t="n">
        <x:v>4</x:v>
      </x:c>
      <x:c r="E1781" s="18" t="n">
        <x:v>165.76</x:v>
      </x:c>
      <x:c r="F1781" s="18" t="n">
        <x:v>17</x:v>
      </x:c>
      <x:c r="G1781" s="18" t="n">
        <x:v>0.75</x:v>
      </x:c>
      <x:c r="H1781" s="18" t="n">
        <x:v>0.47</x:v>
      </x:c>
      <x:c r="I1781" s="18" t="n">
        <x:v>18.22</x:v>
      </x:c>
      <x:c r="J1781" t="n">
        <x:f>IF(A1781=A1780,IFERROR(IF(B1781=EDATE(B1780,1),C1780,0),0),0)</x:f>
        <x:v>1</x:v>
      </x:c>
      <x:c r="K1781" t="n">
        <x:f>IF(AND(J1781=1,C1781=0),1,0)</x:f>
        <x:v>0</x:v>
      </x:c>
      <x:c r="L1781" t="str">
        <x:f>IFERROR(INDEX(Customers!$C$2:$C$451,MATCH(A1781,Customers!$A$2:$A$451,0)),"Unknown")</x:f>
        <x:v>Premium</x:v>
      </x:c>
    </x:row>
    <x:row r="1782">
      <x:c r="A1782" t="n">
        <x:v>326</x:v>
      </x:c>
      <x:c r="B1782" s="16" t="n">
        <x:v>46235</x:v>
      </x:c>
      <x:c r="C1782" t="n">
        <x:v>1</x:v>
      </x:c>
      <x:c r="D1782" t="n">
        <x:v>13</x:v>
      </x:c>
      <x:c r="E1782" s="18" t="n">
        <x:v>1381.8</x:v>
      </x:c>
      <x:c r="F1782" s="18" t="n">
        <x:v>17</x:v>
      </x:c>
      <x:c r="G1782" s="18" t="n">
        <x:v>6.22</x:v>
      </x:c>
      <x:c r="H1782" s="18" t="n">
        <x:v>5</x:v>
      </x:c>
      <x:c r="I1782" s="18" t="n">
        <x:v>28.22</x:v>
      </x:c>
      <x:c r="J1782" t="n">
        <x:f>IF(A1782=A1781,IFERROR(IF(B1782=EDATE(B1781,1),C1781,0),0),0)</x:f>
        <x:v>1</x:v>
      </x:c>
      <x:c r="K1782" t="n">
        <x:f>IF(AND(J1782=1,C1782=0),1,0)</x:f>
        <x:v>0</x:v>
      </x:c>
      <x:c r="L1782" t="str">
        <x:f>IFERROR(INDEX(Customers!$C$2:$C$451,MATCH(A1782,Customers!$A$2:$A$451,0)),"Unknown")</x:f>
        <x:v>Premium</x:v>
      </x:c>
    </x:row>
    <x:row r="1783">
      <x:c r="A1783" t="n">
        <x:v>326</x:v>
      </x:c>
      <x:c r="B1783" s="16" t="n">
        <x:v>46266</x:v>
      </x:c>
      <x:c r="C1783" t="n">
        <x:v>1</x:v>
      </x:c>
      <x:c r="D1783" t="n">
        <x:v>14</x:v>
      </x:c>
      <x:c r="E1783" s="18" t="n">
        <x:v>1473.77</x:v>
      </x:c>
      <x:c r="F1783" s="18" t="n">
        <x:v>17</x:v>
      </x:c>
      <x:c r="G1783" s="18" t="n">
        <x:v>6.63</x:v>
      </x:c>
      <x:c r="H1783" s="18" t="n">
        <x:v>1.21</x:v>
      </x:c>
      <x:c r="I1783" s="18" t="n">
        <x:v>24.84</x:v>
      </x:c>
      <x:c r="J1783" t="n">
        <x:f>IF(A1783=A1782,IFERROR(IF(B1783=EDATE(B1782,1),C1782,0),0),0)</x:f>
        <x:v>1</x:v>
      </x:c>
      <x:c r="K1783" t="n">
        <x:f>IF(AND(J1783=1,C1783=0),1,0)</x:f>
        <x:v>0</x:v>
      </x:c>
      <x:c r="L1783" t="str">
        <x:f>IFERROR(INDEX(Customers!$C$2:$C$451,MATCH(A1783,Customers!$A$2:$A$451,0)),"Unknown")</x:f>
        <x:v>Premium</x:v>
      </x:c>
    </x:row>
    <x:row r="1784">
      <x:c r="A1784" t="n">
        <x:v>327</x:v>
      </x:c>
      <x:c r="B1784" s="16" t="n">
        <x:v>46113</x:v>
      </x:c>
      <x:c r="C1784" t="n">
        <x:v>1</x:v>
      </x:c>
      <x:c r="D1784" t="n">
        <x:v>20</x:v>
      </x:c>
      <x:c r="E1784" s="18" t="n">
        <x:v>801.5</x:v>
      </x:c>
      <x:c r="F1784" s="18" t="n">
        <x:v>8</x:v>
      </x:c>
      <x:c r="G1784" s="18" t="n">
        <x:v>3.61</x:v>
      </x:c>
      <x:c r="H1784" s="18" t="n">
        <x:v>2.36</x:v>
      </x:c>
      <x:c r="I1784" s="18" t="n">
        <x:v>13.97</x:v>
      </x:c>
      <x:c r="J1784" t="n">
        <x:f>IF(A1784=A1783,IFERROR(IF(B1784=EDATE(B1783,1),C1783,0),0),0)</x:f>
        <x:v>0</x:v>
      </x:c>
      <x:c r="K1784" t="n">
        <x:f>IF(AND(J1784=1,C1784=0),1,0)</x:f>
        <x:v>0</x:v>
      </x:c>
      <x:c r="L1784" t="str">
        <x:f>IFERROR(INDEX(Customers!$C$2:$C$451,MATCH(A1784,Customers!$A$2:$A$451,0)),"Unknown")</x:f>
        <x:v>Plus</x:v>
      </x:c>
    </x:row>
    <x:row r="1785">
      <x:c r="A1785" t="n">
        <x:v>327</x:v>
      </x:c>
      <x:c r="B1785" s="16" t="n">
        <x:v>46143</x:v>
      </x:c>
      <x:c r="C1785" t="n">
        <x:v>0</x:v>
      </x:c>
      <x:c r="D1785" t="n">
        <x:v>0</x:v>
      </x:c>
      <x:c r="E1785" s="18" t="n">
        <x:v>0</x:v>
      </x:c>
      <x:c r="F1785" s="18" t="n">
        <x:v>0</x:v>
      </x:c>
      <x:c r="G1785" s="18" t="n">
        <x:v>0</x:v>
      </x:c>
      <x:c r="H1785" s="18" t="n">
        <x:v>0</x:v>
      </x:c>
      <x:c r="I1785" s="18" t="n">
        <x:v>0</x:v>
      </x:c>
      <x:c r="J1785" t="n">
        <x:f>IF(A1785=A1784,IFERROR(IF(B1785=EDATE(B1784,1),C1784,0),0),0)</x:f>
        <x:v>1</x:v>
      </x:c>
      <x:c r="K1785" t="n">
        <x:f>IF(AND(J1785=1,C1785=0),1,0)</x:f>
        <x:v>1</x:v>
      </x:c>
      <x:c r="L1785" t="str">
        <x:f>IFERROR(INDEX(Customers!$C$2:$C$451,MATCH(A1785,Customers!$A$2:$A$451,0)),"Unknown")</x:f>
        <x:v>Plus</x:v>
      </x:c>
    </x:row>
    <x:row r="1786">
      <x:c r="A1786" t="n">
        <x:v>327</x:v>
      </x:c>
      <x:c r="B1786" s="16" t="n">
        <x:v>46174</x:v>
      </x:c>
      <x:c r="C1786" t="n">
        <x:v>1</x:v>
      </x:c>
      <x:c r="D1786" t="n">
        <x:v>20</x:v>
      </x:c>
      <x:c r="E1786" s="18" t="n">
        <x:v>2056.47</x:v>
      </x:c>
      <x:c r="F1786" s="18" t="n">
        <x:v>8</x:v>
      </x:c>
      <x:c r="G1786" s="18" t="n">
        <x:v>9.25</x:v>
      </x:c>
      <x:c r="H1786" s="18" t="n">
        <x:v>6.2</x:v>
      </x:c>
      <x:c r="I1786" s="18" t="n">
        <x:v>23.45</x:v>
      </x:c>
      <x:c r="J1786" t="n">
        <x:f>IF(A1786=A1785,IFERROR(IF(B1786=EDATE(B1785,1),C1785,0),0),0)</x:f>
        <x:v>0</x:v>
      </x:c>
      <x:c r="K1786" t="n">
        <x:f>IF(AND(J1786=1,C1786=0),1,0)</x:f>
        <x:v>0</x:v>
      </x:c>
      <x:c r="L1786" t="str">
        <x:f>IFERROR(INDEX(Customers!$C$2:$C$451,MATCH(A1786,Customers!$A$2:$A$451,0)),"Unknown")</x:f>
        <x:v>Plus</x:v>
      </x:c>
    </x:row>
    <x:row r="1787">
      <x:c r="A1787" t="n">
        <x:v>327</x:v>
      </x:c>
      <x:c r="B1787" s="16" t="n">
        <x:v>46204</x:v>
      </x:c>
      <x:c r="C1787" t="n">
        <x:v>0</x:v>
      </x:c>
      <x:c r="D1787" t="n">
        <x:v>0</x:v>
      </x:c>
      <x:c r="E1787" s="18" t="n">
        <x:v>0</x:v>
      </x:c>
      <x:c r="F1787" s="18" t="n">
        <x:v>0</x:v>
      </x:c>
      <x:c r="G1787" s="18" t="n">
        <x:v>0</x:v>
      </x:c>
      <x:c r="H1787" s="18" t="n">
        <x:v>0</x:v>
      </x:c>
      <x:c r="I1787" s="18" t="n">
        <x:v>0</x:v>
      </x:c>
      <x:c r="J1787" t="n">
        <x:f>IF(A1787=A1786,IFERROR(IF(B1787=EDATE(B1786,1),C1786,0),0),0)</x:f>
        <x:v>1</x:v>
      </x:c>
      <x:c r="K1787" t="n">
        <x:f>IF(AND(J1787=1,C1787=0),1,0)</x:f>
        <x:v>1</x:v>
      </x:c>
      <x:c r="L1787" t="str">
        <x:f>IFERROR(INDEX(Customers!$C$2:$C$451,MATCH(A1787,Customers!$A$2:$A$451,0)),"Unknown")</x:f>
        <x:v>Plus</x:v>
      </x:c>
    </x:row>
    <x:row r="1788">
      <x:c r="A1788" t="n">
        <x:v>327</x:v>
      </x:c>
      <x:c r="B1788" s="16" t="n">
        <x:v>46235</x:v>
      </x:c>
      <x:c r="C1788" t="n">
        <x:v>1</x:v>
      </x:c>
      <x:c r="D1788" t="n">
        <x:v>34</x:v>
      </x:c>
      <x:c r="E1788" s="18" t="n">
        <x:v>3546.01</x:v>
      </x:c>
      <x:c r="F1788" s="18" t="n">
        <x:v>8</x:v>
      </x:c>
      <x:c r="G1788" s="18" t="n">
        <x:v>15.96</x:v>
      </x:c>
      <x:c r="H1788" s="18" t="n">
        <x:v>7.22</x:v>
      </x:c>
      <x:c r="I1788" s="18" t="n">
        <x:v>31.18</x:v>
      </x:c>
      <x:c r="J1788" t="n">
        <x:f>IF(A1788=A1787,IFERROR(IF(B1788=EDATE(B1787,1),C1787,0),0),0)</x:f>
        <x:v>0</x:v>
      </x:c>
      <x:c r="K1788" t="n">
        <x:f>IF(AND(J1788=1,C1788=0),1,0)</x:f>
        <x:v>0</x:v>
      </x:c>
      <x:c r="L1788" t="str">
        <x:f>IFERROR(INDEX(Customers!$C$2:$C$451,MATCH(A1788,Customers!$A$2:$A$451,0)),"Unknown")</x:f>
        <x:v>Plus</x:v>
      </x:c>
    </x:row>
    <x:row r="1789">
      <x:c r="A1789" t="n">
        <x:v>327</x:v>
      </x:c>
      <x:c r="B1789" s="16" t="n">
        <x:v>46266</x:v>
      </x:c>
      <x:c r="C1789" t="n">
        <x:v>0</x:v>
      </x:c>
      <x:c r="D1789" t="n">
        <x:v>0</x:v>
      </x:c>
      <x:c r="E1789" s="18" t="n">
        <x:v>0</x:v>
      </x:c>
      <x:c r="F1789" s="18" t="n">
        <x:v>0</x:v>
      </x:c>
      <x:c r="G1789" s="18" t="n">
        <x:v>0</x:v>
      </x:c>
      <x:c r="H1789" s="18" t="n">
        <x:v>0</x:v>
      </x:c>
      <x:c r="I1789" s="18" t="n">
        <x:v>0</x:v>
      </x:c>
      <x:c r="J1789" t="n">
        <x:f>IF(A1789=A1788,IFERROR(IF(B1789=EDATE(B1788,1),C1788,0),0),0)</x:f>
        <x:v>1</x:v>
      </x:c>
      <x:c r="K1789" t="n">
        <x:f>IF(AND(J1789=1,C1789=0),1,0)</x:f>
        <x:v>1</x:v>
      </x:c>
      <x:c r="L1789" t="str">
        <x:f>IFERROR(INDEX(Customers!$C$2:$C$451,MATCH(A1789,Customers!$A$2:$A$451,0)),"Unknown")</x:f>
        <x:v>Plus</x:v>
      </x:c>
    </x:row>
    <x:row r="1790">
      <x:c r="A1790" t="n">
        <x:v>328</x:v>
      </x:c>
      <x:c r="B1790" s="16" t="n">
        <x:v>46113</x:v>
      </x:c>
      <x:c r="C1790" t="n">
        <x:v>1</x:v>
      </x:c>
      <x:c r="D1790" t="n">
        <x:v>11</x:v>
      </x:c>
      <x:c r="E1790" s="18" t="n">
        <x:v>684.14</x:v>
      </x:c>
      <x:c r="F1790" s="18" t="n">
        <x:v>0</x:v>
      </x:c>
      <x:c r="G1790" s="18" t="n">
        <x:v>3.08</x:v>
      </x:c>
      <x:c r="H1790" s="18" t="n">
        <x:v>1.32</x:v>
      </x:c>
      <x:c r="I1790" s="18" t="n">
        <x:v>4.4</x:v>
      </x:c>
      <x:c r="J1790" t="n">
        <x:f>IF(A1790=A1789,IFERROR(IF(B1790=EDATE(B1789,1),C1789,0),0),0)</x:f>
        <x:v>0</x:v>
      </x:c>
      <x:c r="K1790" t="n">
        <x:f>IF(AND(J1790=1,C1790=0),1,0)</x:f>
        <x:v>0</x:v>
      </x:c>
      <x:c r="L1790" t="str">
        <x:f>IFERROR(INDEX(Customers!$C$2:$C$451,MATCH(A1790,Customers!$A$2:$A$451,0)),"Unknown")</x:f>
        <x:v>Standard</x:v>
      </x:c>
    </x:row>
    <x:row r="1791">
      <x:c r="A1791" t="n">
        <x:v>328</x:v>
      </x:c>
      <x:c r="B1791" s="16" t="n">
        <x:v>46143</x:v>
      </x:c>
      <x:c r="C1791" t="n">
        <x:v>0</x:v>
      </x:c>
      <x:c r="D1791" t="n">
        <x:v>0</x:v>
      </x:c>
      <x:c r="E1791" s="18" t="n">
        <x:v>0</x:v>
      </x:c>
      <x:c r="F1791" s="18" t="n">
        <x:v>0</x:v>
      </x:c>
      <x:c r="G1791" s="18" t="n">
        <x:v>0</x:v>
      </x:c>
      <x:c r="H1791" s="18" t="n">
        <x:v>0</x:v>
      </x:c>
      <x:c r="I1791" s="18" t="n">
        <x:v>0</x:v>
      </x:c>
      <x:c r="J1791" t="n">
        <x:f>IF(A1791=A1790,IFERROR(IF(B1791=EDATE(B1790,1),C1790,0),0),0)</x:f>
        <x:v>1</x:v>
      </x:c>
      <x:c r="K1791" t="n">
        <x:f>IF(AND(J1791=1,C1791=0),1,0)</x:f>
        <x:v>1</x:v>
      </x:c>
      <x:c r="L1791" t="str">
        <x:f>IFERROR(INDEX(Customers!$C$2:$C$451,MATCH(A1791,Customers!$A$2:$A$451,0)),"Unknown")</x:f>
        <x:v>Standard</x:v>
      </x:c>
    </x:row>
    <x:row r="1792">
      <x:c r="A1792" t="n">
        <x:v>328</x:v>
      </x:c>
      <x:c r="B1792" s="16" t="n">
        <x:v>46174</x:v>
      </x:c>
      <x:c r="C1792" t="n">
        <x:v>0</x:v>
      </x:c>
      <x:c r="D1792" t="n">
        <x:v>0</x:v>
      </x:c>
      <x:c r="E1792" s="18" t="n">
        <x:v>0</x:v>
      </x:c>
      <x:c r="F1792" s="18" t="n">
        <x:v>0</x:v>
      </x:c>
      <x:c r="G1792" s="18" t="n">
        <x:v>0</x:v>
      </x:c>
      <x:c r="H1792" s="18" t="n">
        <x:v>0</x:v>
      </x:c>
      <x:c r="I1792" s="18" t="n">
        <x:v>0</x:v>
      </x:c>
      <x:c r="J1792" t="n">
        <x:f>IF(A1792=A1791,IFERROR(IF(B1792=EDATE(B1791,1),C1791,0),0),0)</x:f>
        <x:v>0</x:v>
      </x:c>
      <x:c r="K1792" t="n">
        <x:f>IF(AND(J1792=1,C1792=0),1,0)</x:f>
        <x:v>0</x:v>
      </x:c>
      <x:c r="L1792" t="str">
        <x:f>IFERROR(INDEX(Customers!$C$2:$C$451,MATCH(A1792,Customers!$A$2:$A$451,0)),"Unknown")</x:f>
        <x:v>Standard</x:v>
      </x:c>
    </x:row>
    <x:row r="1793">
      <x:c r="A1793" t="n">
        <x:v>328</x:v>
      </x:c>
      <x:c r="B1793" s="16" t="n">
        <x:v>46204</x:v>
      </x:c>
      <x:c r="C1793" t="n">
        <x:v>1</x:v>
      </x:c>
      <x:c r="D1793" t="n">
        <x:v>15</x:v>
      </x:c>
      <x:c r="E1793" s="18" t="n">
        <x:v>1072.18</x:v>
      </x:c>
      <x:c r="F1793" s="18" t="n">
        <x:v>0</x:v>
      </x:c>
      <x:c r="G1793" s="18" t="n">
        <x:v>4.82</x:v>
      </x:c>
      <x:c r="H1793" s="18" t="n">
        <x:v>1.02</x:v>
      </x:c>
      <x:c r="I1793" s="18" t="n">
        <x:v>5.84</x:v>
      </x:c>
      <x:c r="J1793" t="n">
        <x:f>IF(A1793=A1792,IFERROR(IF(B1793=EDATE(B1792,1),C1792,0),0),0)</x:f>
        <x:v>0</x:v>
      </x:c>
      <x:c r="K1793" t="n">
        <x:f>IF(AND(J1793=1,C1793=0),1,0)</x:f>
        <x:v>0</x:v>
      </x:c>
      <x:c r="L1793" t="str">
        <x:f>IFERROR(INDEX(Customers!$C$2:$C$451,MATCH(A1793,Customers!$A$2:$A$451,0)),"Unknown")</x:f>
        <x:v>Standard</x:v>
      </x:c>
    </x:row>
    <x:row r="1794">
      <x:c r="A1794" t="n">
        <x:v>328</x:v>
      </x:c>
      <x:c r="B1794" s="16" t="n">
        <x:v>46235</x:v>
      </x:c>
      <x:c r="C1794" t="n">
        <x:v>0</x:v>
      </x:c>
      <x:c r="D1794" t="n">
        <x:v>0</x:v>
      </x:c>
      <x:c r="E1794" s="18" t="n">
        <x:v>0</x:v>
      </x:c>
      <x:c r="F1794" s="18" t="n">
        <x:v>0</x:v>
      </x:c>
      <x:c r="G1794" s="18" t="n">
        <x:v>0</x:v>
      </x:c>
      <x:c r="H1794" s="18" t="n">
        <x:v>0</x:v>
      </x:c>
      <x:c r="I1794" s="18" t="n">
        <x:v>0</x:v>
      </x:c>
      <x:c r="J1794" t="n">
        <x:f>IF(A1794=A1793,IFERROR(IF(B1794=EDATE(B1793,1),C1793,0),0),0)</x:f>
        <x:v>1</x:v>
      </x:c>
      <x:c r="K1794" t="n">
        <x:f>IF(AND(J1794=1,C1794=0),1,0)</x:f>
        <x:v>1</x:v>
      </x:c>
      <x:c r="L1794" t="str">
        <x:f>IFERROR(INDEX(Customers!$C$2:$C$451,MATCH(A1794,Customers!$A$2:$A$451,0)),"Unknown")</x:f>
        <x:v>Standard</x:v>
      </x:c>
    </x:row>
    <x:row r="1795">
      <x:c r="A1795" t="n">
        <x:v>328</x:v>
      </x:c>
      <x:c r="B1795" s="16" t="n">
        <x:v>46266</x:v>
      </x:c>
      <x:c r="C1795" t="n">
        <x:v>1</x:v>
      </x:c>
      <x:c r="D1795" t="n">
        <x:v>22</x:v>
      </x:c>
      <x:c r="E1795" s="18" t="n">
        <x:v>2549.61</x:v>
      </x:c>
      <x:c r="F1795" s="18" t="n">
        <x:v>0</x:v>
      </x:c>
      <x:c r="G1795" s="18" t="n">
        <x:v>11.47</x:v>
      </x:c>
      <x:c r="H1795" s="18" t="n">
        <x:v>7.19</x:v>
      </x:c>
      <x:c r="I1795" s="18" t="n">
        <x:v>18.66</x:v>
      </x:c>
      <x:c r="J1795" t="n">
        <x:f>IF(A1795=A1794,IFERROR(IF(B1795=EDATE(B1794,1),C1794,0),0),0)</x:f>
        <x:v>0</x:v>
      </x:c>
      <x:c r="K1795" t="n">
        <x:f>IF(AND(J1795=1,C1795=0),1,0)</x:f>
        <x:v>0</x:v>
      </x:c>
      <x:c r="L1795" t="str">
        <x:f>IFERROR(INDEX(Customers!$C$2:$C$451,MATCH(A1795,Customers!$A$2:$A$451,0)),"Unknown")</x:f>
        <x:v>Standard</x:v>
      </x:c>
    </x:row>
    <x:row r="1796">
      <x:c r="A1796" t="n">
        <x:v>329</x:v>
      </x:c>
      <x:c r="B1796" s="16" t="n">
        <x:v>46113</x:v>
      </x:c>
      <x:c r="C1796" t="n">
        <x:v>0</x:v>
      </x:c>
      <x:c r="D1796" t="n">
        <x:v>0</x:v>
      </x:c>
      <x:c r="E1796" s="18" t="n">
        <x:v>0</x:v>
      </x:c>
      <x:c r="F1796" s="18" t="n">
        <x:v>0</x:v>
      </x:c>
      <x:c r="G1796" s="18" t="n">
        <x:v>0</x:v>
      </x:c>
      <x:c r="H1796" s="18" t="n">
        <x:v>0</x:v>
      </x:c>
      <x:c r="I1796" s="18" t="n">
        <x:v>0</x:v>
      </x:c>
      <x:c r="J1796" t="n">
        <x:f>IF(A1796=A1795,IFERROR(IF(B1796=EDATE(B1795,1),C1795,0),0),0)</x:f>
        <x:v>0</x:v>
      </x:c>
      <x:c r="K1796" t="n">
        <x:f>IF(AND(J1796=1,C1796=0),1,0)</x:f>
        <x:v>0</x:v>
      </x:c>
      <x:c r="L1796" t="str">
        <x:f>IFERROR(INDEX(Customers!$C$2:$C$451,MATCH(A1796,Customers!$A$2:$A$451,0)),"Unknown")</x:f>
        <x:v>Plus</x:v>
      </x:c>
    </x:row>
    <x:row r="1797">
      <x:c r="A1797" t="n">
        <x:v>329</x:v>
      </x:c>
      <x:c r="B1797" s="16" t="n">
        <x:v>46143</x:v>
      </x:c>
      <x:c r="C1797" t="n">
        <x:v>1</x:v>
      </x:c>
      <x:c r="D1797" t="n">
        <x:v>10</x:v>
      </x:c>
      <x:c r="E1797" s="18" t="n">
        <x:v>523.21</x:v>
      </x:c>
      <x:c r="F1797" s="18" t="n">
        <x:v>8</x:v>
      </x:c>
      <x:c r="G1797" s="18" t="n">
        <x:v>2.35</x:v>
      </x:c>
      <x:c r="H1797" s="18" t="n">
        <x:v>1.65</x:v>
      </x:c>
      <x:c r="I1797" s="18" t="n">
        <x:v>12</x:v>
      </x:c>
      <x:c r="J1797" t="n">
        <x:f>IF(A1797=A1796,IFERROR(IF(B1797=EDATE(B1796,1),C1796,0),0),0)</x:f>
        <x:v>0</x:v>
      </x:c>
      <x:c r="K1797" t="n">
        <x:f>IF(AND(J1797=1,C1797=0),1,0)</x:f>
        <x:v>0</x:v>
      </x:c>
      <x:c r="L1797" t="str">
        <x:f>IFERROR(INDEX(Customers!$C$2:$C$451,MATCH(A1797,Customers!$A$2:$A$451,0)),"Unknown")</x:f>
        <x:v>Plus</x:v>
      </x:c>
    </x:row>
    <x:row r="1798">
      <x:c r="A1798" t="n">
        <x:v>329</x:v>
      </x:c>
      <x:c r="B1798" s="16" t="n">
        <x:v>46174</x:v>
      </x:c>
      <x:c r="C1798" t="n">
        <x:v>1</x:v>
      </x:c>
      <x:c r="D1798" t="n">
        <x:v>7</x:v>
      </x:c>
      <x:c r="E1798" s="18" t="n">
        <x:v>757.89</x:v>
      </x:c>
      <x:c r="F1798" s="18" t="n">
        <x:v>8</x:v>
      </x:c>
      <x:c r="G1798" s="18" t="n">
        <x:v>3.41</x:v>
      </x:c>
      <x:c r="H1798" s="18" t="n">
        <x:v>1.54</x:v>
      </x:c>
      <x:c r="I1798" s="18" t="n">
        <x:v>12.95</x:v>
      </x:c>
      <x:c r="J1798" t="n">
        <x:f>IF(A1798=A1797,IFERROR(IF(B1798=EDATE(B1797,1),C1797,0),0),0)</x:f>
        <x:v>1</x:v>
      </x:c>
      <x:c r="K1798" t="n">
        <x:f>IF(AND(J1798=1,C1798=0),1,0)</x:f>
        <x:v>0</x:v>
      </x:c>
      <x:c r="L1798" t="str">
        <x:f>IFERROR(INDEX(Customers!$C$2:$C$451,MATCH(A1798,Customers!$A$2:$A$451,0)),"Unknown")</x:f>
        <x:v>Plus</x:v>
      </x:c>
    </x:row>
    <x:row r="1799">
      <x:c r="A1799" t="n">
        <x:v>329</x:v>
      </x:c>
      <x:c r="B1799" s="16" t="n">
        <x:v>46204</x:v>
      </x:c>
      <x:c r="C1799" t="n">
        <x:v>1</x:v>
      </x:c>
      <x:c r="D1799" t="n">
        <x:v>22</x:v>
      </x:c>
      <x:c r="E1799" s="18" t="n">
        <x:v>2668.28</x:v>
      </x:c>
      <x:c r="F1799" s="18" t="n">
        <x:v>8</x:v>
      </x:c>
      <x:c r="G1799" s="18" t="n">
        <x:v>12.01</x:v>
      </x:c>
      <x:c r="H1799" s="18" t="n">
        <x:v>4.57</x:v>
      </x:c>
      <x:c r="I1799" s="18" t="n">
        <x:v>24.58</x:v>
      </x:c>
      <x:c r="J1799" t="n">
        <x:f>IF(A1799=A1798,IFERROR(IF(B1799=EDATE(B1798,1),C1798,0),0),0)</x:f>
        <x:v>1</x:v>
      </x:c>
      <x:c r="K1799" t="n">
        <x:f>IF(AND(J1799=1,C1799=0),1,0)</x:f>
        <x:v>0</x:v>
      </x:c>
      <x:c r="L1799" t="str">
        <x:f>IFERROR(INDEX(Customers!$C$2:$C$451,MATCH(A1799,Customers!$A$2:$A$451,0)),"Unknown")</x:f>
        <x:v>Plus</x:v>
      </x:c>
    </x:row>
    <x:row r="1800">
      <x:c r="A1800" t="n">
        <x:v>329</x:v>
      </x:c>
      <x:c r="B1800" s="16" t="n">
        <x:v>46235</x:v>
      </x:c>
      <x:c r="C1800" t="n">
        <x:v>1</x:v>
      </x:c>
      <x:c r="D1800" t="n">
        <x:v>7</x:v>
      </x:c>
      <x:c r="E1800" s="18" t="n">
        <x:v>258.01</x:v>
      </x:c>
      <x:c r="F1800" s="18" t="n">
        <x:v>8</x:v>
      </x:c>
      <x:c r="G1800" s="18" t="n">
        <x:v>1.16</x:v>
      </x:c>
      <x:c r="H1800" s="18" t="n">
        <x:v>0.65</x:v>
      </x:c>
      <x:c r="I1800" s="18" t="n">
        <x:v>9.81</x:v>
      </x:c>
      <x:c r="J1800" t="n">
        <x:f>IF(A1800=A1799,IFERROR(IF(B1800=EDATE(B1799,1),C1799,0),0),0)</x:f>
        <x:v>1</x:v>
      </x:c>
      <x:c r="K1800" t="n">
        <x:f>IF(AND(J1800=1,C1800=0),1,0)</x:f>
        <x:v>0</x:v>
      </x:c>
      <x:c r="L1800" t="str">
        <x:f>IFERROR(INDEX(Customers!$C$2:$C$451,MATCH(A1800,Customers!$A$2:$A$451,0)),"Unknown")</x:f>
        <x:v>Plus</x:v>
      </x:c>
    </x:row>
    <x:row r="1801">
      <x:c r="A1801" t="n">
        <x:v>329</x:v>
      </x:c>
      <x:c r="B1801" s="16" t="n">
        <x:v>46266</x:v>
      </x:c>
      <x:c r="C1801" t="n">
        <x:v>1</x:v>
      </x:c>
      <x:c r="D1801" t="n">
        <x:v>7</x:v>
      </x:c>
      <x:c r="E1801" s="18" t="n">
        <x:v>647.48</x:v>
      </x:c>
      <x:c r="F1801" s="18" t="n">
        <x:v>8</x:v>
      </x:c>
      <x:c r="G1801" s="18" t="n">
        <x:v>2.91</x:v>
      </x:c>
      <x:c r="H1801" s="18" t="n">
        <x:v>0.54</x:v>
      </x:c>
      <x:c r="I1801" s="18" t="n">
        <x:v>11.45</x:v>
      </x:c>
      <x:c r="J1801" t="n">
        <x:f>IF(A1801=A1800,IFERROR(IF(B1801=EDATE(B1800,1),C1800,0),0),0)</x:f>
        <x:v>1</x:v>
      </x:c>
      <x:c r="K1801" t="n">
        <x:f>IF(AND(J1801=1,C1801=0),1,0)</x:f>
        <x:v>0</x:v>
      </x:c>
      <x:c r="L1801" t="str">
        <x:f>IFERROR(INDEX(Customers!$C$2:$C$451,MATCH(A1801,Customers!$A$2:$A$451,0)),"Unknown")</x:f>
        <x:v>Plus</x:v>
      </x:c>
    </x:row>
    <x:row r="1802">
      <x:c r="A1802" t="n">
        <x:v>330</x:v>
      </x:c>
      <x:c r="B1802" s="16" t="n">
        <x:v>46113</x:v>
      </x:c>
      <x:c r="C1802" t="n">
        <x:v>1</x:v>
      </x:c>
      <x:c r="D1802" t="n">
        <x:v>25</x:v>
      </x:c>
      <x:c r="E1802" s="18" t="n">
        <x:v>2459.89</x:v>
      </x:c>
      <x:c r="F1802" s="18" t="n">
        <x:v>0</x:v>
      </x:c>
      <x:c r="G1802" s="18" t="n">
        <x:v>11.07</x:v>
      </x:c>
      <x:c r="H1802" s="18" t="n">
        <x:v>3</x:v>
      </x:c>
      <x:c r="I1802" s="18" t="n">
        <x:v>14.07</x:v>
      </x:c>
      <x:c r="J1802" t="n">
        <x:f>IF(A1802=A1801,IFERROR(IF(B1802=EDATE(B1801,1),C1801,0),0),0)</x:f>
        <x:v>0</x:v>
      </x:c>
      <x:c r="K1802" t="n">
        <x:f>IF(AND(J1802=1,C1802=0),1,0)</x:f>
        <x:v>0</x:v>
      </x:c>
      <x:c r="L1802" t="str">
        <x:f>IFERROR(INDEX(Customers!$C$2:$C$451,MATCH(A1802,Customers!$A$2:$A$451,0)),"Unknown")</x:f>
        <x:v>Standard</x:v>
      </x:c>
    </x:row>
    <x:row r="1803">
      <x:c r="A1803" t="n">
        <x:v>330</x:v>
      </x:c>
      <x:c r="B1803" s="16" t="n">
        <x:v>46143</x:v>
      </x:c>
      <x:c r="C1803" t="n">
        <x:v>1</x:v>
      </x:c>
      <x:c r="D1803" t="n">
        <x:v>20</x:v>
      </x:c>
      <x:c r="E1803" s="18" t="n">
        <x:v>1252.43</x:v>
      </x:c>
      <x:c r="F1803" s="18" t="n">
        <x:v>0</x:v>
      </x:c>
      <x:c r="G1803" s="18" t="n">
        <x:v>5.64</x:v>
      </x:c>
      <x:c r="H1803" s="18" t="n">
        <x:v>1.37</x:v>
      </x:c>
      <x:c r="I1803" s="18" t="n">
        <x:v>7.01</x:v>
      </x:c>
      <x:c r="J1803" t="n">
        <x:f>IF(A1803=A1802,IFERROR(IF(B1803=EDATE(B1802,1),C1802,0),0),0)</x:f>
        <x:v>1</x:v>
      </x:c>
      <x:c r="K1803" t="n">
        <x:f>IF(AND(J1803=1,C1803=0),1,0)</x:f>
        <x:v>0</x:v>
      </x:c>
      <x:c r="L1803" t="str">
        <x:f>IFERROR(INDEX(Customers!$C$2:$C$451,MATCH(A1803,Customers!$A$2:$A$451,0)),"Unknown")</x:f>
        <x:v>Standard</x:v>
      </x:c>
    </x:row>
    <x:row r="1804">
      <x:c r="A1804" t="n">
        <x:v>330</x:v>
      </x:c>
      <x:c r="B1804" s="16" t="n">
        <x:v>46174</x:v>
      </x:c>
      <x:c r="C1804" t="n">
        <x:v>1</x:v>
      </x:c>
      <x:c r="D1804" t="n">
        <x:v>30</x:v>
      </x:c>
      <x:c r="E1804" s="18" t="n">
        <x:v>3299.22</x:v>
      </x:c>
      <x:c r="F1804" s="18" t="n">
        <x:v>0</x:v>
      </x:c>
      <x:c r="G1804" s="18" t="n">
        <x:v>14.85</x:v>
      </x:c>
      <x:c r="H1804" s="18" t="n">
        <x:v>4.7</x:v>
      </x:c>
      <x:c r="I1804" s="18" t="n">
        <x:v>19.55</x:v>
      </x:c>
      <x:c r="J1804" t="n">
        <x:f>IF(A1804=A1803,IFERROR(IF(B1804=EDATE(B1803,1),C1803,0),0),0)</x:f>
        <x:v>1</x:v>
      </x:c>
      <x:c r="K1804" t="n">
        <x:f>IF(AND(J1804=1,C1804=0),1,0)</x:f>
        <x:v>0</x:v>
      </x:c>
      <x:c r="L1804" t="str">
        <x:f>IFERROR(INDEX(Customers!$C$2:$C$451,MATCH(A1804,Customers!$A$2:$A$451,0)),"Unknown")</x:f>
        <x:v>Standard</x:v>
      </x:c>
    </x:row>
    <x:row r="1805">
      <x:c r="A1805" t="n">
        <x:v>330</x:v>
      </x:c>
      <x:c r="B1805" s="16" t="n">
        <x:v>46204</x:v>
      </x:c>
      <x:c r="C1805" t="n">
        <x:v>1</x:v>
      </x:c>
      <x:c r="D1805" t="n">
        <x:v>30</x:v>
      </x:c>
      <x:c r="E1805" s="18" t="n">
        <x:v>2034.94</x:v>
      </x:c>
      <x:c r="F1805" s="18" t="n">
        <x:v>0</x:v>
      </x:c>
      <x:c r="G1805" s="18" t="n">
        <x:v>9.16</x:v>
      </x:c>
      <x:c r="H1805" s="18" t="n">
        <x:v>2.51</x:v>
      </x:c>
      <x:c r="I1805" s="18" t="n">
        <x:v>11.67</x:v>
      </x:c>
      <x:c r="J1805" t="n">
        <x:f>IF(A1805=A1804,IFERROR(IF(B1805=EDATE(B1804,1),C1804,0),0),0)</x:f>
        <x:v>1</x:v>
      </x:c>
      <x:c r="K1805" t="n">
        <x:f>IF(AND(J1805=1,C1805=0),1,0)</x:f>
        <x:v>0</x:v>
      </x:c>
      <x:c r="L1805" t="str">
        <x:f>IFERROR(INDEX(Customers!$C$2:$C$451,MATCH(A1805,Customers!$A$2:$A$451,0)),"Unknown")</x:f>
        <x:v>Standard</x:v>
      </x:c>
    </x:row>
    <x:row r="1806">
      <x:c r="A1806" t="n">
        <x:v>330</x:v>
      </x:c>
      <x:c r="B1806" s="16" t="n">
        <x:v>46235</x:v>
      </x:c>
      <x:c r="C1806" t="n">
        <x:v>1</x:v>
      </x:c>
      <x:c r="D1806" t="n">
        <x:v>20</x:v>
      </x:c>
      <x:c r="E1806" s="18" t="n">
        <x:v>1318.51</x:v>
      </x:c>
      <x:c r="F1806" s="18" t="n">
        <x:v>0</x:v>
      </x:c>
      <x:c r="G1806" s="18" t="n">
        <x:v>5.93</x:v>
      </x:c>
      <x:c r="H1806" s="18" t="n">
        <x:v>3.28</x:v>
      </x:c>
      <x:c r="I1806" s="18" t="n">
        <x:v>9.21</x:v>
      </x:c>
      <x:c r="J1806" t="n">
        <x:f>IF(A1806=A1805,IFERROR(IF(B1806=EDATE(B1805,1),C1805,0),0),0)</x:f>
        <x:v>1</x:v>
      </x:c>
      <x:c r="K1806" t="n">
        <x:f>IF(AND(J1806=1,C1806=0),1,0)</x:f>
        <x:v>0</x:v>
      </x:c>
      <x:c r="L1806" t="str">
        <x:f>IFERROR(INDEX(Customers!$C$2:$C$451,MATCH(A1806,Customers!$A$2:$A$451,0)),"Unknown")</x:f>
        <x:v>Standard</x:v>
      </x:c>
    </x:row>
    <x:row r="1807">
      <x:c r="A1807" t="n">
        <x:v>330</x:v>
      </x:c>
      <x:c r="B1807" s="16" t="n">
        <x:v>46266</x:v>
      </x:c>
      <x:c r="C1807" t="n">
        <x:v>0</x:v>
      </x:c>
      <x:c r="D1807" t="n">
        <x:v>0</x:v>
      </x:c>
      <x:c r="E1807" s="18" t="n">
        <x:v>0</x:v>
      </x:c>
      <x:c r="F1807" s="18" t="n">
        <x:v>0</x:v>
      </x:c>
      <x:c r="G1807" s="18" t="n">
        <x:v>0</x:v>
      </x:c>
      <x:c r="H1807" s="18" t="n">
        <x:v>0</x:v>
      </x:c>
      <x:c r="I1807" s="18" t="n">
        <x:v>0</x:v>
      </x:c>
      <x:c r="J1807" t="n">
        <x:f>IF(A1807=A1806,IFERROR(IF(B1807=EDATE(B1806,1),C1806,0),0),0)</x:f>
        <x:v>1</x:v>
      </x:c>
      <x:c r="K1807" t="n">
        <x:f>IF(AND(J1807=1,C1807=0),1,0)</x:f>
        <x:v>1</x:v>
      </x:c>
      <x:c r="L1807" t="str">
        <x:f>IFERROR(INDEX(Customers!$C$2:$C$451,MATCH(A1807,Customers!$A$2:$A$451,0)),"Unknown")</x:f>
        <x:v>Standard</x:v>
      </x:c>
    </x:row>
    <x:row r="1808">
      <x:c r="A1808" t="n">
        <x:v>331</x:v>
      </x:c>
      <x:c r="B1808" s="16" t="n">
        <x:v>46174</x:v>
      </x:c>
      <x:c r="C1808" t="n">
        <x:v>0</x:v>
      </x:c>
      <x:c r="D1808" t="n">
        <x:v>0</x:v>
      </x:c>
      <x:c r="E1808" s="18" t="n">
        <x:v>0</x:v>
      </x:c>
      <x:c r="F1808" s="18" t="n">
        <x:v>0</x:v>
      </x:c>
      <x:c r="G1808" s="18" t="n">
        <x:v>0</x:v>
      </x:c>
      <x:c r="H1808" s="18" t="n">
        <x:v>0</x:v>
      </x:c>
      <x:c r="I1808" s="18" t="n">
        <x:v>0</x:v>
      </x:c>
      <x:c r="J1808" t="n">
        <x:f>IF(A1808=A1807,IFERROR(IF(B1808=EDATE(B1807,1),C1807,0),0),0)</x:f>
        <x:v>0</x:v>
      </x:c>
      <x:c r="K1808" t="n">
        <x:f>IF(AND(J1808=1,C1808=0),1,0)</x:f>
        <x:v>0</x:v>
      </x:c>
      <x:c r="L1808" t="str">
        <x:f>IFERROR(INDEX(Customers!$C$2:$C$451,MATCH(A1808,Customers!$A$2:$A$451,0)),"Unknown")</x:f>
        <x:v>Standard</x:v>
      </x:c>
    </x:row>
    <x:row r="1809">
      <x:c r="A1809" t="n">
        <x:v>331</x:v>
      </x:c>
      <x:c r="B1809" s="16" t="n">
        <x:v>46204</x:v>
      </x:c>
      <x:c r="C1809" t="n">
        <x:v>1</x:v>
      </x:c>
      <x:c r="D1809" t="n">
        <x:v>21</x:v>
      </x:c>
      <x:c r="E1809" s="18" t="n">
        <x:v>1603.33</x:v>
      </x:c>
      <x:c r="F1809" s="18" t="n">
        <x:v>0</x:v>
      </x:c>
      <x:c r="G1809" s="18" t="n">
        <x:v>7.21</x:v>
      </x:c>
      <x:c r="H1809" s="18" t="n">
        <x:v>2.85</x:v>
      </x:c>
      <x:c r="I1809" s="18" t="n">
        <x:v>10.06</x:v>
      </x:c>
      <x:c r="J1809" t="n">
        <x:f>IF(A1809=A1808,IFERROR(IF(B1809=EDATE(B1808,1),C1808,0),0),0)</x:f>
        <x:v>0</x:v>
      </x:c>
      <x:c r="K1809" t="n">
        <x:f>IF(AND(J1809=1,C1809=0),1,0)</x:f>
        <x:v>0</x:v>
      </x:c>
      <x:c r="L1809" t="str">
        <x:f>IFERROR(INDEX(Customers!$C$2:$C$451,MATCH(A1809,Customers!$A$2:$A$451,0)),"Unknown")</x:f>
        <x:v>Standard</x:v>
      </x:c>
    </x:row>
    <x:row r="1810">
      <x:c r="A1810" t="n">
        <x:v>331</x:v>
      </x:c>
      <x:c r="B1810" s="16" t="n">
        <x:v>46235</x:v>
      </x:c>
      <x:c r="C1810" t="n">
        <x:v>1</x:v>
      </x:c>
      <x:c r="D1810" t="n">
        <x:v>31</x:v>
      </x:c>
      <x:c r="E1810" s="18" t="n">
        <x:v>3576.92</x:v>
      </x:c>
      <x:c r="F1810" s="18" t="n">
        <x:v>0</x:v>
      </x:c>
      <x:c r="G1810" s="18" t="n">
        <x:v>16.1</x:v>
      </x:c>
      <x:c r="H1810" s="18" t="n">
        <x:v>7.8</x:v>
      </x:c>
      <x:c r="I1810" s="18" t="n">
        <x:v>23.9</x:v>
      </x:c>
      <x:c r="J1810" t="n">
        <x:f>IF(A1810=A1809,IFERROR(IF(B1810=EDATE(B1809,1),C1809,0),0),0)</x:f>
        <x:v>1</x:v>
      </x:c>
      <x:c r="K1810" t="n">
        <x:f>IF(AND(J1810=1,C1810=0),1,0)</x:f>
        <x:v>0</x:v>
      </x:c>
      <x:c r="L1810" t="str">
        <x:f>IFERROR(INDEX(Customers!$C$2:$C$451,MATCH(A1810,Customers!$A$2:$A$451,0)),"Unknown")</x:f>
        <x:v>Standard</x:v>
      </x:c>
    </x:row>
    <x:row r="1811">
      <x:c r="A1811" t="n">
        <x:v>331</x:v>
      </x:c>
      <x:c r="B1811" s="16" t="n">
        <x:v>46266</x:v>
      </x:c>
      <x:c r="C1811" t="n">
        <x:v>1</x:v>
      </x:c>
      <x:c r="D1811" t="n">
        <x:v>19</x:v>
      </x:c>
      <x:c r="E1811" s="18" t="n">
        <x:v>1313.04</x:v>
      </x:c>
      <x:c r="F1811" s="18" t="n">
        <x:v>0</x:v>
      </x:c>
      <x:c r="G1811" s="18" t="n">
        <x:v>5.91</x:v>
      </x:c>
      <x:c r="H1811" s="18" t="n">
        <x:v>2.87</x:v>
      </x:c>
      <x:c r="I1811" s="18" t="n">
        <x:v>8.78</x:v>
      </x:c>
      <x:c r="J1811" t="n">
        <x:f>IF(A1811=A1810,IFERROR(IF(B1811=EDATE(B1810,1),C1810,0),0),0)</x:f>
        <x:v>1</x:v>
      </x:c>
      <x:c r="K1811" t="n">
        <x:f>IF(AND(J1811=1,C1811=0),1,0)</x:f>
        <x:v>0</x:v>
      </x:c>
      <x:c r="L1811" t="str">
        <x:f>IFERROR(INDEX(Customers!$C$2:$C$451,MATCH(A1811,Customers!$A$2:$A$451,0)),"Unknown")</x:f>
        <x:v>Standard</x:v>
      </x:c>
    </x:row>
    <x:row r="1812">
      <x:c r="A1812" t="n">
        <x:v>332</x:v>
      </x:c>
      <x:c r="B1812" s="16" t="n">
        <x:v>46113</x:v>
      </x:c>
      <x:c r="C1812" t="n">
        <x:v>1</x:v>
      </x:c>
      <x:c r="D1812" t="n">
        <x:v>36</x:v>
      </x:c>
      <x:c r="E1812" s="18" t="n">
        <x:v>3745.19</x:v>
      </x:c>
      <x:c r="F1812" s="18" t="n">
        <x:v>17</x:v>
      </x:c>
      <x:c r="G1812" s="18" t="n">
        <x:v>16.85</x:v>
      </x:c>
      <x:c r="H1812" s="18" t="n">
        <x:v>10.39</x:v>
      </x:c>
      <x:c r="I1812" s="18" t="n">
        <x:v>44.24</x:v>
      </x:c>
      <x:c r="J1812" t="n">
        <x:f>IF(A1812=A1811,IFERROR(IF(B1812=EDATE(B1811,1),C1811,0),0),0)</x:f>
        <x:v>0</x:v>
      </x:c>
      <x:c r="K1812" t="n">
        <x:f>IF(AND(J1812=1,C1812=0),1,0)</x:f>
        <x:v>0</x:v>
      </x:c>
      <x:c r="L1812" t="str">
        <x:f>IFERROR(INDEX(Customers!$C$2:$C$451,MATCH(A1812,Customers!$A$2:$A$451,0)),"Unknown")</x:f>
        <x:v>Premium</x:v>
      </x:c>
    </x:row>
    <x:row r="1813">
      <x:c r="A1813" t="n">
        <x:v>332</x:v>
      </x:c>
      <x:c r="B1813" s="16" t="n">
        <x:v>46143</x:v>
      </x:c>
      <x:c r="C1813" t="n">
        <x:v>1</x:v>
      </x:c>
      <x:c r="D1813" t="n">
        <x:v>25</x:v>
      </x:c>
      <x:c r="E1813" s="18" t="n">
        <x:v>1748.84</x:v>
      </x:c>
      <x:c r="F1813" s="18" t="n">
        <x:v>17</x:v>
      </x:c>
      <x:c r="G1813" s="18" t="n">
        <x:v>7.87</x:v>
      </x:c>
      <x:c r="H1813" s="18" t="n">
        <x:v>2.22</x:v>
      </x:c>
      <x:c r="I1813" s="18" t="n">
        <x:v>27.09</x:v>
      </x:c>
      <x:c r="J1813" t="n">
        <x:f>IF(A1813=A1812,IFERROR(IF(B1813=EDATE(B1812,1),C1812,0),0),0)</x:f>
        <x:v>1</x:v>
      </x:c>
      <x:c r="K1813" t="n">
        <x:f>IF(AND(J1813=1,C1813=0),1,0)</x:f>
        <x:v>0</x:v>
      </x:c>
      <x:c r="L1813" t="str">
        <x:f>IFERROR(INDEX(Customers!$C$2:$C$451,MATCH(A1813,Customers!$A$2:$A$451,0)),"Unknown")</x:f>
        <x:v>Premium</x:v>
      </x:c>
    </x:row>
    <x:row r="1814">
      <x:c r="A1814" t="n">
        <x:v>332</x:v>
      </x:c>
      <x:c r="B1814" s="16" t="n">
        <x:v>46174</x:v>
      </x:c>
      <x:c r="C1814" t="n">
        <x:v>1</x:v>
      </x:c>
      <x:c r="D1814" t="n">
        <x:v>29</x:v>
      </x:c>
      <x:c r="E1814" s="18" t="n">
        <x:v>2655.97</x:v>
      </x:c>
      <x:c r="F1814" s="18" t="n">
        <x:v>17</x:v>
      </x:c>
      <x:c r="G1814" s="18" t="n">
        <x:v>11.95</x:v>
      </x:c>
      <x:c r="H1814" s="18" t="n">
        <x:v>8.44</x:v>
      </x:c>
      <x:c r="I1814" s="18" t="n">
        <x:v>37.39</x:v>
      </x:c>
      <x:c r="J1814" t="n">
        <x:f>IF(A1814=A1813,IFERROR(IF(B1814=EDATE(B1813,1),C1813,0),0),0)</x:f>
        <x:v>1</x:v>
      </x:c>
      <x:c r="K1814" t="n">
        <x:f>IF(AND(J1814=1,C1814=0),1,0)</x:f>
        <x:v>0</x:v>
      </x:c>
      <x:c r="L1814" t="str">
        <x:f>IFERROR(INDEX(Customers!$C$2:$C$451,MATCH(A1814,Customers!$A$2:$A$451,0)),"Unknown")</x:f>
        <x:v>Premium</x:v>
      </x:c>
    </x:row>
    <x:row r="1815">
      <x:c r="A1815" t="n">
        <x:v>332</x:v>
      </x:c>
      <x:c r="B1815" s="16" t="n">
        <x:v>46204</x:v>
      </x:c>
      <x:c r="C1815" t="n">
        <x:v>1</x:v>
      </x:c>
      <x:c r="D1815" t="n">
        <x:v>23</x:v>
      </x:c>
      <x:c r="E1815" s="18" t="n">
        <x:v>1475.69</x:v>
      </x:c>
      <x:c r="F1815" s="18" t="n">
        <x:v>17</x:v>
      </x:c>
      <x:c r="G1815" s="18" t="n">
        <x:v>6.64</x:v>
      </x:c>
      <x:c r="H1815" s="18" t="n">
        <x:v>4.92</x:v>
      </x:c>
      <x:c r="I1815" s="18" t="n">
        <x:v>28.56</x:v>
      </x:c>
      <x:c r="J1815" t="n">
        <x:f>IF(A1815=A1814,IFERROR(IF(B1815=EDATE(B1814,1),C1814,0),0),0)</x:f>
        <x:v>1</x:v>
      </x:c>
      <x:c r="K1815" t="n">
        <x:f>IF(AND(J1815=1,C1815=0),1,0)</x:f>
        <x:v>0</x:v>
      </x:c>
      <x:c r="L1815" t="str">
        <x:f>IFERROR(INDEX(Customers!$C$2:$C$451,MATCH(A1815,Customers!$A$2:$A$451,0)),"Unknown")</x:f>
        <x:v>Premium</x:v>
      </x:c>
    </x:row>
    <x:row r="1816">
      <x:c r="A1816" t="n">
        <x:v>332</x:v>
      </x:c>
      <x:c r="B1816" s="16" t="n">
        <x:v>46235</x:v>
      </x:c>
      <x:c r="C1816" t="n">
        <x:v>1</x:v>
      </x:c>
      <x:c r="D1816" t="n">
        <x:v>31</x:v>
      </x:c>
      <x:c r="E1816" s="18" t="n">
        <x:v>2967.34</x:v>
      </x:c>
      <x:c r="F1816" s="18" t="n">
        <x:v>17</x:v>
      </x:c>
      <x:c r="G1816" s="18" t="n">
        <x:v>13.35</x:v>
      </x:c>
      <x:c r="H1816" s="18" t="n">
        <x:v>8.91</x:v>
      </x:c>
      <x:c r="I1816" s="18" t="n">
        <x:v>39.26</x:v>
      </x:c>
      <x:c r="J1816" t="n">
        <x:f>IF(A1816=A1815,IFERROR(IF(B1816=EDATE(B1815,1),C1815,0),0),0)</x:f>
        <x:v>1</x:v>
      </x:c>
      <x:c r="K1816" t="n">
        <x:f>IF(AND(J1816=1,C1816=0),1,0)</x:f>
        <x:v>0</x:v>
      </x:c>
      <x:c r="L1816" t="str">
        <x:f>IFERROR(INDEX(Customers!$C$2:$C$451,MATCH(A1816,Customers!$A$2:$A$451,0)),"Unknown")</x:f>
        <x:v>Premium</x:v>
      </x:c>
    </x:row>
    <x:row r="1817">
      <x:c r="A1817" t="n">
        <x:v>332</x:v>
      </x:c>
      <x:c r="B1817" s="16" t="n">
        <x:v>46266</x:v>
      </x:c>
      <x:c r="C1817" t="n">
        <x:v>0</x:v>
      </x:c>
      <x:c r="D1817" t="n">
        <x:v>0</x:v>
      </x:c>
      <x:c r="E1817" s="18" t="n">
        <x:v>0</x:v>
      </x:c>
      <x:c r="F1817" s="18" t="n">
        <x:v>0</x:v>
      </x:c>
      <x:c r="G1817" s="18" t="n">
        <x:v>0</x:v>
      </x:c>
      <x:c r="H1817" s="18" t="n">
        <x:v>0</x:v>
      </x:c>
      <x:c r="I1817" s="18" t="n">
        <x:v>0</x:v>
      </x:c>
      <x:c r="J1817" t="n">
        <x:f>IF(A1817=A1816,IFERROR(IF(B1817=EDATE(B1816,1),C1816,0),0),0)</x:f>
        <x:v>1</x:v>
      </x:c>
      <x:c r="K1817" t="n">
        <x:f>IF(AND(J1817=1,C1817=0),1,0)</x:f>
        <x:v>1</x:v>
      </x:c>
      <x:c r="L1817" t="str">
        <x:f>IFERROR(INDEX(Customers!$C$2:$C$451,MATCH(A1817,Customers!$A$2:$A$451,0)),"Unknown")</x:f>
        <x:v>Premium</x:v>
      </x:c>
    </x:row>
    <x:row r="1818">
      <x:c r="A1818" t="n">
        <x:v>333</x:v>
      </x:c>
      <x:c r="B1818" s="16" t="n">
        <x:v>46113</x:v>
      </x:c>
      <x:c r="C1818" t="n">
        <x:v>0</x:v>
      </x:c>
      <x:c r="D1818" t="n">
        <x:v>0</x:v>
      </x:c>
      <x:c r="E1818" s="18" t="n">
        <x:v>0</x:v>
      </x:c>
      <x:c r="F1818" s="18" t="n">
        <x:v>0</x:v>
      </x:c>
      <x:c r="G1818" s="18" t="n">
        <x:v>0</x:v>
      </x:c>
      <x:c r="H1818" s="18" t="n">
        <x:v>0</x:v>
      </x:c>
      <x:c r="I1818" s="18" t="n">
        <x:v>0</x:v>
      </x:c>
      <x:c r="J1818" t="n">
        <x:f>IF(A1818=A1817,IFERROR(IF(B1818=EDATE(B1817,1),C1817,0),0),0)</x:f>
        <x:v>0</x:v>
      </x:c>
      <x:c r="K1818" t="n">
        <x:f>IF(AND(J1818=1,C1818=0),1,0)</x:f>
        <x:v>0</x:v>
      </x:c>
      <x:c r="L1818" t="str">
        <x:f>IFERROR(INDEX(Customers!$C$2:$C$451,MATCH(A1818,Customers!$A$2:$A$451,0)),"Unknown")</x:f>
        <x:v>Metal</x:v>
      </x:c>
    </x:row>
    <x:row r="1819">
      <x:c r="A1819" t="n">
        <x:v>333</x:v>
      </x:c>
      <x:c r="B1819" s="16" t="n">
        <x:v>46143</x:v>
      </x:c>
      <x:c r="C1819" t="n">
        <x:v>0</x:v>
      </x:c>
      <x:c r="D1819" t="n">
        <x:v>0</x:v>
      </x:c>
      <x:c r="E1819" s="18" t="n">
        <x:v>0</x:v>
      </x:c>
      <x:c r="F1819" s="18" t="n">
        <x:v>0</x:v>
      </x:c>
      <x:c r="G1819" s="18" t="n">
        <x:v>0</x:v>
      </x:c>
      <x:c r="H1819" s="18" t="n">
        <x:v>0</x:v>
      </x:c>
      <x:c r="I1819" s="18" t="n">
        <x:v>0</x:v>
      </x:c>
      <x:c r="J1819" t="n">
        <x:f>IF(A1819=A1818,IFERROR(IF(B1819=EDATE(B1818,1),C1818,0),0),0)</x:f>
        <x:v>0</x:v>
      </x:c>
      <x:c r="K1819" t="n">
        <x:f>IF(AND(J1819=1,C1819=0),1,0)</x:f>
        <x:v>0</x:v>
      </x:c>
      <x:c r="L1819" t="str">
        <x:f>IFERROR(INDEX(Customers!$C$2:$C$451,MATCH(A1819,Customers!$A$2:$A$451,0)),"Unknown")</x:f>
        <x:v>Metal</x:v>
      </x:c>
    </x:row>
    <x:row r="1820">
      <x:c r="A1820" t="n">
        <x:v>333</x:v>
      </x:c>
      <x:c r="B1820" s="16" t="n">
        <x:v>46174</x:v>
      </x:c>
      <x:c r="C1820" t="n">
        <x:v>0</x:v>
      </x:c>
      <x:c r="D1820" t="n">
        <x:v>0</x:v>
      </x:c>
      <x:c r="E1820" s="18" t="n">
        <x:v>0</x:v>
      </x:c>
      <x:c r="F1820" s="18" t="n">
        <x:v>0</x:v>
      </x:c>
      <x:c r="G1820" s="18" t="n">
        <x:v>0</x:v>
      </x:c>
      <x:c r="H1820" s="18" t="n">
        <x:v>0</x:v>
      </x:c>
      <x:c r="I1820" s="18" t="n">
        <x:v>0</x:v>
      </x:c>
      <x:c r="J1820" t="n">
        <x:f>IF(A1820=A1819,IFERROR(IF(B1820=EDATE(B1819,1),C1819,0),0),0)</x:f>
        <x:v>0</x:v>
      </x:c>
      <x:c r="K1820" t="n">
        <x:f>IF(AND(J1820=1,C1820=0),1,0)</x:f>
        <x:v>0</x:v>
      </x:c>
      <x:c r="L1820" t="str">
        <x:f>IFERROR(INDEX(Customers!$C$2:$C$451,MATCH(A1820,Customers!$A$2:$A$451,0)),"Unknown")</x:f>
        <x:v>Metal</x:v>
      </x:c>
    </x:row>
    <x:row r="1821">
      <x:c r="A1821" t="n">
        <x:v>333</x:v>
      </x:c>
      <x:c r="B1821" s="16" t="n">
        <x:v>46204</x:v>
      </x:c>
      <x:c r="C1821" t="n">
        <x:v>0</x:v>
      </x:c>
      <x:c r="D1821" t="n">
        <x:v>0</x:v>
      </x:c>
      <x:c r="E1821" s="18" t="n">
        <x:v>0</x:v>
      </x:c>
      <x:c r="F1821" s="18" t="n">
        <x:v>0</x:v>
      </x:c>
      <x:c r="G1821" s="18" t="n">
        <x:v>0</x:v>
      </x:c>
      <x:c r="H1821" s="18" t="n">
        <x:v>0</x:v>
      </x:c>
      <x:c r="I1821" s="18" t="n">
        <x:v>0</x:v>
      </x:c>
      <x:c r="J1821" t="n">
        <x:f>IF(A1821=A1820,IFERROR(IF(B1821=EDATE(B1820,1),C1820,0),0),0)</x:f>
        <x:v>0</x:v>
      </x:c>
      <x:c r="K1821" t="n">
        <x:f>IF(AND(J1821=1,C1821=0),1,0)</x:f>
        <x:v>0</x:v>
      </x:c>
      <x:c r="L1821" t="str">
        <x:f>IFERROR(INDEX(Customers!$C$2:$C$451,MATCH(A1821,Customers!$A$2:$A$451,0)),"Unknown")</x:f>
        <x:v>Metal</x:v>
      </x:c>
    </x:row>
    <x:row r="1822">
      <x:c r="A1822" t="n">
        <x:v>333</x:v>
      </x:c>
      <x:c r="B1822" s="16" t="n">
        <x:v>46235</x:v>
      </x:c>
      <x:c r="C1822" t="n">
        <x:v>1</x:v>
      </x:c>
      <x:c r="D1822" t="n">
        <x:v>20</x:v>
      </x:c>
      <x:c r="E1822" s="18" t="n">
        <x:v>1030.11</x:v>
      </x:c>
      <x:c r="F1822" s="18" t="n">
        <x:v>34</x:v>
      </x:c>
      <x:c r="G1822" s="18" t="n">
        <x:v>4.64</x:v>
      </x:c>
      <x:c r="H1822" s="18" t="n">
        <x:v>1.36</x:v>
      </x:c>
      <x:c r="I1822" s="18" t="n">
        <x:v>40</x:v>
      </x:c>
      <x:c r="J1822" t="n">
        <x:f>IF(A1822=A1821,IFERROR(IF(B1822=EDATE(B1821,1),C1821,0),0),0)</x:f>
        <x:v>0</x:v>
      </x:c>
      <x:c r="K1822" t="n">
        <x:f>IF(AND(J1822=1,C1822=0),1,0)</x:f>
        <x:v>0</x:v>
      </x:c>
      <x:c r="L1822" t="str">
        <x:f>IFERROR(INDEX(Customers!$C$2:$C$451,MATCH(A1822,Customers!$A$2:$A$451,0)),"Unknown")</x:f>
        <x:v>Metal</x:v>
      </x:c>
    </x:row>
    <x:row r="1823">
      <x:c r="A1823" t="n">
        <x:v>333</x:v>
      </x:c>
      <x:c r="B1823" s="16" t="n">
        <x:v>46266</x:v>
      </x:c>
      <x:c r="C1823" t="n">
        <x:v>1</x:v>
      </x:c>
      <x:c r="D1823" t="n">
        <x:v>17</x:v>
      </x:c>
      <x:c r="E1823" s="18" t="n">
        <x:v>1504.83</x:v>
      </x:c>
      <x:c r="F1823" s="18" t="n">
        <x:v>34</x:v>
      </x:c>
      <x:c r="G1823" s="18" t="n">
        <x:v>6.77</x:v>
      </x:c>
      <x:c r="H1823" s="18" t="n">
        <x:v>3.15</x:v>
      </x:c>
      <x:c r="I1823" s="18" t="n">
        <x:v>43.92</x:v>
      </x:c>
      <x:c r="J1823" t="n">
        <x:f>IF(A1823=A1822,IFERROR(IF(B1823=EDATE(B1822,1),C1822,0),0),0)</x:f>
        <x:v>1</x:v>
      </x:c>
      <x:c r="K1823" t="n">
        <x:f>IF(AND(J1823=1,C1823=0),1,0)</x:f>
        <x:v>0</x:v>
      </x:c>
      <x:c r="L1823" t="str">
        <x:f>IFERROR(INDEX(Customers!$C$2:$C$451,MATCH(A1823,Customers!$A$2:$A$451,0)),"Unknown")</x:f>
        <x:v>Metal</x:v>
      </x:c>
    </x:row>
    <x:row r="1824">
      <x:c r="A1824" t="n">
        <x:v>334</x:v>
      </x:c>
      <x:c r="B1824" s="16" t="n">
        <x:v>46113</x:v>
      </x:c>
      <x:c r="C1824" t="n">
        <x:v>1</x:v>
      </x:c>
      <x:c r="D1824" t="n">
        <x:v>35</x:v>
      </x:c>
      <x:c r="E1824" s="18" t="n">
        <x:v>4103.47</x:v>
      </x:c>
      <x:c r="F1824" s="18" t="n">
        <x:v>0</x:v>
      </x:c>
      <x:c r="G1824" s="18" t="n">
        <x:v>18.47</x:v>
      </x:c>
      <x:c r="H1824" s="18" t="n">
        <x:v>15.1</x:v>
      </x:c>
      <x:c r="I1824" s="18" t="n">
        <x:v>33.57</x:v>
      </x:c>
      <x:c r="J1824" t="n">
        <x:f>IF(A1824=A1823,IFERROR(IF(B1824=EDATE(B1823,1),C1823,0),0),0)</x:f>
        <x:v>0</x:v>
      </x:c>
      <x:c r="K1824" t="n">
        <x:f>IF(AND(J1824=1,C1824=0),1,0)</x:f>
        <x:v>0</x:v>
      </x:c>
      <x:c r="L1824" t="str">
        <x:f>IFERROR(INDEX(Customers!$C$2:$C$451,MATCH(A1824,Customers!$A$2:$A$451,0)),"Unknown")</x:f>
        <x:v>Standard</x:v>
      </x:c>
    </x:row>
    <x:row r="1825">
      <x:c r="A1825" t="n">
        <x:v>334</x:v>
      </x:c>
      <x:c r="B1825" s="16" t="n">
        <x:v>46143</x:v>
      </x:c>
      <x:c r="C1825" t="n">
        <x:v>1</x:v>
      </x:c>
      <x:c r="D1825" t="n">
        <x:v>28</x:v>
      </x:c>
      <x:c r="E1825" s="18" t="n">
        <x:v>3570.62</x:v>
      </x:c>
      <x:c r="F1825" s="18" t="n">
        <x:v>0</x:v>
      </x:c>
      <x:c r="G1825" s="18" t="n">
        <x:v>16.07</x:v>
      </x:c>
      <x:c r="H1825" s="18" t="n">
        <x:v>4.28</x:v>
      </x:c>
      <x:c r="I1825" s="18" t="n">
        <x:v>20.35</x:v>
      </x:c>
      <x:c r="J1825" t="n">
        <x:f>IF(A1825=A1824,IFERROR(IF(B1825=EDATE(B1824,1),C1824,0),0),0)</x:f>
        <x:v>1</x:v>
      </x:c>
      <x:c r="K1825" t="n">
        <x:f>IF(AND(J1825=1,C1825=0),1,0)</x:f>
        <x:v>0</x:v>
      </x:c>
      <x:c r="L1825" t="str">
        <x:f>IFERROR(INDEX(Customers!$C$2:$C$451,MATCH(A1825,Customers!$A$2:$A$451,0)),"Unknown")</x:f>
        <x:v>Standard</x:v>
      </x:c>
    </x:row>
    <x:row r="1826">
      <x:c r="A1826" t="n">
        <x:v>334</x:v>
      </x:c>
      <x:c r="B1826" s="16" t="n">
        <x:v>46174</x:v>
      </x:c>
      <x:c r="C1826" t="n">
        <x:v>1</x:v>
      </x:c>
      <x:c r="D1826" t="n">
        <x:v>36</x:v>
      </x:c>
      <x:c r="E1826" s="18" t="n">
        <x:v>3180.69</x:v>
      </x:c>
      <x:c r="F1826" s="18" t="n">
        <x:v>0</x:v>
      </x:c>
      <x:c r="G1826" s="18" t="n">
        <x:v>14.31</x:v>
      </x:c>
      <x:c r="H1826" s="18" t="n">
        <x:v>11.93</x:v>
      </x:c>
      <x:c r="I1826" s="18" t="n">
        <x:v>26.24</x:v>
      </x:c>
      <x:c r="J1826" t="n">
        <x:f>IF(A1826=A1825,IFERROR(IF(B1826=EDATE(B1825,1),C1825,0),0),0)</x:f>
        <x:v>1</x:v>
      </x:c>
      <x:c r="K1826" t="n">
        <x:f>IF(AND(J1826=1,C1826=0),1,0)</x:f>
        <x:v>0</x:v>
      </x:c>
      <x:c r="L1826" t="str">
        <x:f>IFERROR(INDEX(Customers!$C$2:$C$451,MATCH(A1826,Customers!$A$2:$A$451,0)),"Unknown")</x:f>
        <x:v>Standard</x:v>
      </x:c>
    </x:row>
    <x:row r="1827">
      <x:c r="A1827" t="n">
        <x:v>334</x:v>
      </x:c>
      <x:c r="B1827" s="16" t="n">
        <x:v>46204</x:v>
      </x:c>
      <x:c r="C1827" t="n">
        <x:v>1</x:v>
      </x:c>
      <x:c r="D1827" t="n">
        <x:v>23</x:v>
      </x:c>
      <x:c r="E1827" s="18" t="n">
        <x:v>3067.76</x:v>
      </x:c>
      <x:c r="F1827" s="18" t="n">
        <x:v>0</x:v>
      </x:c>
      <x:c r="G1827" s="18" t="n">
        <x:v>13.8</x:v>
      </x:c>
      <x:c r="H1827" s="18" t="n">
        <x:v>4.14</x:v>
      </x:c>
      <x:c r="I1827" s="18" t="n">
        <x:v>17.94</x:v>
      </x:c>
      <x:c r="J1827" t="n">
        <x:f>IF(A1827=A1826,IFERROR(IF(B1827=EDATE(B1826,1),C1826,0),0),0)</x:f>
        <x:v>1</x:v>
      </x:c>
      <x:c r="K1827" t="n">
        <x:f>IF(AND(J1827=1,C1827=0),1,0)</x:f>
        <x:v>0</x:v>
      </x:c>
      <x:c r="L1827" t="str">
        <x:f>IFERROR(INDEX(Customers!$C$2:$C$451,MATCH(A1827,Customers!$A$2:$A$451,0)),"Unknown")</x:f>
        <x:v>Standard</x:v>
      </x:c>
    </x:row>
    <x:row r="1828">
      <x:c r="A1828" t="n">
        <x:v>334</x:v>
      </x:c>
      <x:c r="B1828" s="16" t="n">
        <x:v>46235</x:v>
      </x:c>
      <x:c r="C1828" t="n">
        <x:v>1</x:v>
      </x:c>
      <x:c r="D1828" t="n">
        <x:v>21</x:v>
      </x:c>
      <x:c r="E1828" s="18" t="n">
        <x:v>2767.43</x:v>
      </x:c>
      <x:c r="F1828" s="18" t="n">
        <x:v>0</x:v>
      </x:c>
      <x:c r="G1828" s="18" t="n">
        <x:v>12.45</x:v>
      </x:c>
      <x:c r="H1828" s="18" t="n">
        <x:v>3.06</x:v>
      </x:c>
      <x:c r="I1828" s="18" t="n">
        <x:v>15.51</x:v>
      </x:c>
      <x:c r="J1828" t="n">
        <x:f>IF(A1828=A1827,IFERROR(IF(B1828=EDATE(B1827,1),C1827,0),0),0)</x:f>
        <x:v>1</x:v>
      </x:c>
      <x:c r="K1828" t="n">
        <x:f>IF(AND(J1828=1,C1828=0),1,0)</x:f>
        <x:v>0</x:v>
      </x:c>
      <x:c r="L1828" t="str">
        <x:f>IFERROR(INDEX(Customers!$C$2:$C$451,MATCH(A1828,Customers!$A$2:$A$451,0)),"Unknown")</x:f>
        <x:v>Standard</x:v>
      </x:c>
    </x:row>
    <x:row r="1829">
      <x:c r="A1829" t="n">
        <x:v>334</x:v>
      </x:c>
      <x:c r="B1829" s="16" t="n">
        <x:v>46266</x:v>
      </x:c>
      <x:c r="C1829" t="n">
        <x:v>1</x:v>
      </x:c>
      <x:c r="D1829" t="n">
        <x:v>20</x:v>
      </x:c>
      <x:c r="E1829" s="18" t="n">
        <x:v>999.9</x:v>
      </x:c>
      <x:c r="F1829" s="18" t="n">
        <x:v>0</x:v>
      </x:c>
      <x:c r="G1829" s="18" t="n">
        <x:v>4.5</x:v>
      </x:c>
      <x:c r="H1829" s="18" t="n">
        <x:v>0.89</x:v>
      </x:c>
      <x:c r="I1829" s="18" t="n">
        <x:v>5.39</x:v>
      </x:c>
      <x:c r="J1829" t="n">
        <x:f>IF(A1829=A1828,IFERROR(IF(B1829=EDATE(B1828,1),C1828,0),0),0)</x:f>
        <x:v>1</x:v>
      </x:c>
      <x:c r="K1829" t="n">
        <x:f>IF(AND(J1829=1,C1829=0),1,0)</x:f>
        <x:v>0</x:v>
      </x:c>
      <x:c r="L1829" t="str">
        <x:f>IFERROR(INDEX(Customers!$C$2:$C$451,MATCH(A1829,Customers!$A$2:$A$451,0)),"Unknown")</x:f>
        <x:v>Standard</x:v>
      </x:c>
    </x:row>
    <x:row r="1830">
      <x:c r="A1830" t="n">
        <x:v>335</x:v>
      </x:c>
      <x:c r="B1830" s="16" t="n">
        <x:v>46113</x:v>
      </x:c>
      <x:c r="C1830" t="n">
        <x:v>1</x:v>
      </x:c>
      <x:c r="D1830" t="n">
        <x:v>8</x:v>
      </x:c>
      <x:c r="E1830" s="18" t="n">
        <x:v>543.54</x:v>
      </x:c>
      <x:c r="F1830" s="18" t="n">
        <x:v>0</x:v>
      </x:c>
      <x:c r="G1830" s="18" t="n">
        <x:v>2.45</x:v>
      </x:c>
      <x:c r="H1830" s="18" t="n">
        <x:v>1.93</x:v>
      </x:c>
      <x:c r="I1830" s="18" t="n">
        <x:v>4.38</x:v>
      </x:c>
      <x:c r="J1830" t="n">
        <x:f>IF(A1830=A1829,IFERROR(IF(B1830=EDATE(B1829,1),C1829,0),0),0)</x:f>
        <x:v>0</x:v>
      </x:c>
      <x:c r="K1830" t="n">
        <x:f>IF(AND(J1830=1,C1830=0),1,0)</x:f>
        <x:v>0</x:v>
      </x:c>
      <x:c r="L1830" t="str">
        <x:f>IFERROR(INDEX(Customers!$C$2:$C$451,MATCH(A1830,Customers!$A$2:$A$451,0)),"Unknown")</x:f>
        <x:v>Standard</x:v>
      </x:c>
    </x:row>
    <x:row r="1831">
      <x:c r="A1831" t="n">
        <x:v>335</x:v>
      </x:c>
      <x:c r="B1831" s="16" t="n">
        <x:v>46143</x:v>
      </x:c>
      <x:c r="C1831" t="n">
        <x:v>1</x:v>
      </x:c>
      <x:c r="D1831" t="n">
        <x:v>12</x:v>
      </x:c>
      <x:c r="E1831" s="18" t="n">
        <x:v>1075.04</x:v>
      </x:c>
      <x:c r="F1831" s="18" t="n">
        <x:v>0</x:v>
      </x:c>
      <x:c r="G1831" s="18" t="n">
        <x:v>4.84</x:v>
      </x:c>
      <x:c r="H1831" s="18" t="n">
        <x:v>2.05</x:v>
      </x:c>
      <x:c r="I1831" s="18" t="n">
        <x:v>6.89</x:v>
      </x:c>
      <x:c r="J1831" t="n">
        <x:f>IF(A1831=A1830,IFERROR(IF(B1831=EDATE(B1830,1),C1830,0),0),0)</x:f>
        <x:v>1</x:v>
      </x:c>
      <x:c r="K1831" t="n">
        <x:f>IF(AND(J1831=1,C1831=0),1,0)</x:f>
        <x:v>0</x:v>
      </x:c>
      <x:c r="L1831" t="str">
        <x:f>IFERROR(INDEX(Customers!$C$2:$C$451,MATCH(A1831,Customers!$A$2:$A$451,0)),"Unknown")</x:f>
        <x:v>Standard</x:v>
      </x:c>
    </x:row>
    <x:row r="1832">
      <x:c r="A1832" t="n">
        <x:v>335</x:v>
      </x:c>
      <x:c r="B1832" s="16" t="n">
        <x:v>46174</x:v>
      </x:c>
      <x:c r="C1832" t="n">
        <x:v>1</x:v>
      </x:c>
      <x:c r="D1832" t="n">
        <x:v>33</x:v>
      </x:c>
      <x:c r="E1832" s="18" t="n">
        <x:v>3458.68</x:v>
      </x:c>
      <x:c r="F1832" s="18" t="n">
        <x:v>0</x:v>
      </x:c>
      <x:c r="G1832" s="18" t="n">
        <x:v>15.56</x:v>
      </x:c>
      <x:c r="H1832" s="18" t="n">
        <x:v>5.49</x:v>
      </x:c>
      <x:c r="I1832" s="18" t="n">
        <x:v>21.05</x:v>
      </x:c>
      <x:c r="J1832" t="n">
        <x:f>IF(A1832=A1831,IFERROR(IF(B1832=EDATE(B1831,1),C1831,0),0),0)</x:f>
        <x:v>1</x:v>
      </x:c>
      <x:c r="K1832" t="n">
        <x:f>IF(AND(J1832=1,C1832=0),1,0)</x:f>
        <x:v>0</x:v>
      </x:c>
      <x:c r="L1832" t="str">
        <x:f>IFERROR(INDEX(Customers!$C$2:$C$451,MATCH(A1832,Customers!$A$2:$A$451,0)),"Unknown")</x:f>
        <x:v>Standard</x:v>
      </x:c>
    </x:row>
    <x:row r="1833">
      <x:c r="A1833" t="n">
        <x:v>335</x:v>
      </x:c>
      <x:c r="B1833" s="16" t="n">
        <x:v>46204</x:v>
      </x:c>
      <x:c r="C1833" t="n">
        <x:v>1</x:v>
      </x:c>
      <x:c r="D1833" t="n">
        <x:v>12</x:v>
      </x:c>
      <x:c r="E1833" s="18" t="n">
        <x:v>799.79</x:v>
      </x:c>
      <x:c r="F1833" s="18" t="n">
        <x:v>0</x:v>
      </x:c>
      <x:c r="G1833" s="18" t="n">
        <x:v>3.6</x:v>
      </x:c>
      <x:c r="H1833" s="18" t="n">
        <x:v>2.34</x:v>
      </x:c>
      <x:c r="I1833" s="18" t="n">
        <x:v>5.94</x:v>
      </x:c>
      <x:c r="J1833" t="n">
        <x:f>IF(A1833=A1832,IFERROR(IF(B1833=EDATE(B1832,1),C1832,0),0),0)</x:f>
        <x:v>1</x:v>
      </x:c>
      <x:c r="K1833" t="n">
        <x:f>IF(AND(J1833=1,C1833=0),1,0)</x:f>
        <x:v>0</x:v>
      </x:c>
      <x:c r="L1833" t="str">
        <x:f>IFERROR(INDEX(Customers!$C$2:$C$451,MATCH(A1833,Customers!$A$2:$A$451,0)),"Unknown")</x:f>
        <x:v>Standard</x:v>
      </x:c>
    </x:row>
    <x:row r="1834">
      <x:c r="A1834" t="n">
        <x:v>335</x:v>
      </x:c>
      <x:c r="B1834" s="16" t="n">
        <x:v>46235</x:v>
      </x:c>
      <x:c r="C1834" t="n">
        <x:v>1</x:v>
      </x:c>
      <x:c r="D1834" t="n">
        <x:v>4</x:v>
      </x:c>
      <x:c r="E1834" s="18" t="n">
        <x:v>251.03</x:v>
      </x:c>
      <x:c r="F1834" s="18" t="n">
        <x:v>0</x:v>
      </x:c>
      <x:c r="G1834" s="18" t="n">
        <x:v>1.13</x:v>
      </x:c>
      <x:c r="H1834" s="18" t="n">
        <x:v>0.44</x:v>
      </x:c>
      <x:c r="I1834" s="18" t="n">
        <x:v>1.57</x:v>
      </x:c>
      <x:c r="J1834" t="n">
        <x:f>IF(A1834=A1833,IFERROR(IF(B1834=EDATE(B1833,1),C1833,0),0),0)</x:f>
        <x:v>1</x:v>
      </x:c>
      <x:c r="K1834" t="n">
        <x:f>IF(AND(J1834=1,C1834=0),1,0)</x:f>
        <x:v>0</x:v>
      </x:c>
      <x:c r="L1834" t="str">
        <x:f>IFERROR(INDEX(Customers!$C$2:$C$451,MATCH(A1834,Customers!$A$2:$A$451,0)),"Unknown")</x:f>
        <x:v>Standard</x:v>
      </x:c>
    </x:row>
    <x:row r="1835">
      <x:c r="A1835" t="n">
        <x:v>335</x:v>
      </x:c>
      <x:c r="B1835" s="16" t="n">
        <x:v>46266</x:v>
      </x:c>
      <x:c r="C1835" t="n">
        <x:v>1</x:v>
      </x:c>
      <x:c r="D1835" t="n">
        <x:v>28</x:v>
      </x:c>
      <x:c r="E1835" s="18" t="n">
        <x:v>2288.67</x:v>
      </x:c>
      <x:c r="F1835" s="18" t="n">
        <x:v>0</x:v>
      </x:c>
      <x:c r="G1835" s="18" t="n">
        <x:v>10.3</x:v>
      </x:c>
      <x:c r="H1835" s="18" t="n">
        <x:v>3.26</x:v>
      </x:c>
      <x:c r="I1835" s="18" t="n">
        <x:v>13.56</x:v>
      </x:c>
      <x:c r="J1835" t="n">
        <x:f>IF(A1835=A1834,IFERROR(IF(B1835=EDATE(B1834,1),C1834,0),0),0)</x:f>
        <x:v>1</x:v>
      </x:c>
      <x:c r="K1835" t="n">
        <x:f>IF(AND(J1835=1,C1835=0),1,0)</x:f>
        <x:v>0</x:v>
      </x:c>
      <x:c r="L1835" t="str">
        <x:f>IFERROR(INDEX(Customers!$C$2:$C$451,MATCH(A1835,Customers!$A$2:$A$451,0)),"Unknown")</x:f>
        <x:v>Standard</x:v>
      </x:c>
    </x:row>
    <x:row r="1836">
      <x:c r="A1836" t="n">
        <x:v>336</x:v>
      </x:c>
      <x:c r="B1836" s="16" t="n">
        <x:v>46113</x:v>
      </x:c>
      <x:c r="C1836" t="n">
        <x:v>1</x:v>
      </x:c>
      <x:c r="D1836" t="n">
        <x:v>27</x:v>
      </x:c>
      <x:c r="E1836" s="18" t="n">
        <x:v>3287.04</x:v>
      </x:c>
      <x:c r="F1836" s="18" t="n">
        <x:v>8</x:v>
      </x:c>
      <x:c r="G1836" s="18" t="n">
        <x:v>14.79</x:v>
      </x:c>
      <x:c r="H1836" s="18" t="n">
        <x:v>11.36</x:v>
      </x:c>
      <x:c r="I1836" s="18" t="n">
        <x:v>34.15</x:v>
      </x:c>
      <x:c r="J1836" t="n">
        <x:f>IF(A1836=A1835,IFERROR(IF(B1836=EDATE(B1835,1),C1835,0),0),0)</x:f>
        <x:v>0</x:v>
      </x:c>
      <x:c r="K1836" t="n">
        <x:f>IF(AND(J1836=1,C1836=0),1,0)</x:f>
        <x:v>0</x:v>
      </x:c>
      <x:c r="L1836" t="str">
        <x:f>IFERROR(INDEX(Customers!$C$2:$C$451,MATCH(A1836,Customers!$A$2:$A$451,0)),"Unknown")</x:f>
        <x:v>Plus</x:v>
      </x:c>
    </x:row>
    <x:row r="1837">
      <x:c r="A1837" t="n">
        <x:v>336</x:v>
      </x:c>
      <x:c r="B1837" s="16" t="n">
        <x:v>46143</x:v>
      </x:c>
      <x:c r="C1837" t="n">
        <x:v>1</x:v>
      </x:c>
      <x:c r="D1837" t="n">
        <x:v>8</x:v>
      </x:c>
      <x:c r="E1837" s="18" t="n">
        <x:v>963.95</x:v>
      </x:c>
      <x:c r="F1837" s="18" t="n">
        <x:v>8</x:v>
      </x:c>
      <x:c r="G1837" s="18" t="n">
        <x:v>4.34</x:v>
      </x:c>
      <x:c r="H1837" s="18" t="n">
        <x:v>3.41</x:v>
      </x:c>
      <x:c r="I1837" s="18" t="n">
        <x:v>15.75</x:v>
      </x:c>
      <x:c r="J1837" t="n">
        <x:f>IF(A1837=A1836,IFERROR(IF(B1837=EDATE(B1836,1),C1836,0),0),0)</x:f>
        <x:v>1</x:v>
      </x:c>
      <x:c r="K1837" t="n">
        <x:f>IF(AND(J1837=1,C1837=0),1,0)</x:f>
        <x:v>0</x:v>
      </x:c>
      <x:c r="L1837" t="str">
        <x:f>IFERROR(INDEX(Customers!$C$2:$C$451,MATCH(A1837,Customers!$A$2:$A$451,0)),"Unknown")</x:f>
        <x:v>Plus</x:v>
      </x:c>
    </x:row>
    <x:row r="1838">
      <x:c r="A1838" t="n">
        <x:v>336</x:v>
      </x:c>
      <x:c r="B1838" s="16" t="n">
        <x:v>46174</x:v>
      </x:c>
      <x:c r="C1838" t="n">
        <x:v>1</x:v>
      </x:c>
      <x:c r="D1838" t="n">
        <x:v>10</x:v>
      </x:c>
      <x:c r="E1838" s="18" t="n">
        <x:v>1231.73</x:v>
      </x:c>
      <x:c r="F1838" s="18" t="n">
        <x:v>8</x:v>
      </x:c>
      <x:c r="G1838" s="18" t="n">
        <x:v>5.54</x:v>
      </x:c>
      <x:c r="H1838" s="18" t="n">
        <x:v>1.92</x:v>
      </x:c>
      <x:c r="I1838" s="18" t="n">
        <x:v>15.46</x:v>
      </x:c>
      <x:c r="J1838" t="n">
        <x:f>IF(A1838=A1837,IFERROR(IF(B1838=EDATE(B1837,1),C1837,0),0),0)</x:f>
        <x:v>1</x:v>
      </x:c>
      <x:c r="K1838" t="n">
        <x:f>IF(AND(J1838=1,C1838=0),1,0)</x:f>
        <x:v>0</x:v>
      </x:c>
      <x:c r="L1838" t="str">
        <x:f>IFERROR(INDEX(Customers!$C$2:$C$451,MATCH(A1838,Customers!$A$2:$A$451,0)),"Unknown")</x:f>
        <x:v>Plus</x:v>
      </x:c>
    </x:row>
    <x:row r="1839">
      <x:c r="A1839" t="n">
        <x:v>336</x:v>
      </x:c>
      <x:c r="B1839" s="16" t="n">
        <x:v>46204</x:v>
      </x:c>
      <x:c r="C1839" t="n">
        <x:v>1</x:v>
      </x:c>
      <x:c r="D1839" t="n">
        <x:v>33</x:v>
      </x:c>
      <x:c r="E1839" s="18" t="n">
        <x:v>2791.67</x:v>
      </x:c>
      <x:c r="F1839" s="18" t="n">
        <x:v>8</x:v>
      </x:c>
      <x:c r="G1839" s="18" t="n">
        <x:v>12.56</x:v>
      </x:c>
      <x:c r="H1839" s="18" t="n">
        <x:v>3.53</x:v>
      </x:c>
      <x:c r="I1839" s="18" t="n">
        <x:v>24.09</x:v>
      </x:c>
      <x:c r="J1839" t="n">
        <x:f>IF(A1839=A1838,IFERROR(IF(B1839=EDATE(B1838,1),C1838,0),0),0)</x:f>
        <x:v>1</x:v>
      </x:c>
      <x:c r="K1839" t="n">
        <x:f>IF(AND(J1839=1,C1839=0),1,0)</x:f>
        <x:v>0</x:v>
      </x:c>
      <x:c r="L1839" t="str">
        <x:f>IFERROR(INDEX(Customers!$C$2:$C$451,MATCH(A1839,Customers!$A$2:$A$451,0)),"Unknown")</x:f>
        <x:v>Plus</x:v>
      </x:c>
    </x:row>
    <x:row r="1840">
      <x:c r="A1840" t="n">
        <x:v>336</x:v>
      </x:c>
      <x:c r="B1840" s="16" t="n">
        <x:v>46235</x:v>
      </x:c>
      <x:c r="C1840" t="n">
        <x:v>1</x:v>
      </x:c>
      <x:c r="D1840" t="n">
        <x:v>35</x:v>
      </x:c>
      <x:c r="E1840" s="18" t="n">
        <x:v>1733.56</x:v>
      </x:c>
      <x:c r="F1840" s="18" t="n">
        <x:v>8</x:v>
      </x:c>
      <x:c r="G1840" s="18" t="n">
        <x:v>7.8</x:v>
      </x:c>
      <x:c r="H1840" s="18" t="n">
        <x:v>2.58</x:v>
      </x:c>
      <x:c r="I1840" s="18" t="n">
        <x:v>18.38</x:v>
      </x:c>
      <x:c r="J1840" t="n">
        <x:f>IF(A1840=A1839,IFERROR(IF(B1840=EDATE(B1839,1),C1839,0),0),0)</x:f>
        <x:v>1</x:v>
      </x:c>
      <x:c r="K1840" t="n">
        <x:f>IF(AND(J1840=1,C1840=0),1,0)</x:f>
        <x:v>0</x:v>
      </x:c>
      <x:c r="L1840" t="str">
        <x:f>IFERROR(INDEX(Customers!$C$2:$C$451,MATCH(A1840,Customers!$A$2:$A$451,0)),"Unknown")</x:f>
        <x:v>Plus</x:v>
      </x:c>
    </x:row>
    <x:row r="1841">
      <x:c r="A1841" t="n">
        <x:v>336</x:v>
      </x:c>
      <x:c r="B1841" s="16" t="n">
        <x:v>46266</x:v>
      </x:c>
      <x:c r="C1841" t="n">
        <x:v>1</x:v>
      </x:c>
      <x:c r="D1841" t="n">
        <x:v>32</x:v>
      </x:c>
      <x:c r="E1841" s="18" t="n">
        <x:v>2488.49</x:v>
      </x:c>
      <x:c r="F1841" s="18" t="n">
        <x:v>8</x:v>
      </x:c>
      <x:c r="G1841" s="18" t="n">
        <x:v>11.2</x:v>
      </x:c>
      <x:c r="H1841" s="18" t="n">
        <x:v>6.05</x:v>
      </x:c>
      <x:c r="I1841" s="18" t="n">
        <x:v>25.25</x:v>
      </x:c>
      <x:c r="J1841" t="n">
        <x:f>IF(A1841=A1840,IFERROR(IF(B1841=EDATE(B1840,1),C1840,0),0),0)</x:f>
        <x:v>1</x:v>
      </x:c>
      <x:c r="K1841" t="n">
        <x:f>IF(AND(J1841=1,C1841=0),1,0)</x:f>
        <x:v>0</x:v>
      </x:c>
      <x:c r="L1841" t="str">
        <x:f>IFERROR(INDEX(Customers!$C$2:$C$451,MATCH(A1841,Customers!$A$2:$A$451,0)),"Unknown")</x:f>
        <x:v>Plus</x:v>
      </x:c>
    </x:row>
    <x:row r="1842">
      <x:c r="A1842" t="n">
        <x:v>337</x:v>
      </x:c>
      <x:c r="B1842" s="16" t="n">
        <x:v>46113</x:v>
      </x:c>
      <x:c r="C1842" t="n">
        <x:v>0</x:v>
      </x:c>
      <x:c r="D1842" t="n">
        <x:v>0</x:v>
      </x:c>
      <x:c r="E1842" s="18" t="n">
        <x:v>0</x:v>
      </x:c>
      <x:c r="F1842" s="18" t="n">
        <x:v>0</x:v>
      </x:c>
      <x:c r="G1842" s="18" t="n">
        <x:v>0</x:v>
      </x:c>
      <x:c r="H1842" s="18" t="n">
        <x:v>0</x:v>
      </x:c>
      <x:c r="I1842" s="18" t="n">
        <x:v>0</x:v>
      </x:c>
      <x:c r="J1842" t="n">
        <x:f>IF(A1842=A1841,IFERROR(IF(B1842=EDATE(B1841,1),C1841,0),0),0)</x:f>
        <x:v>0</x:v>
      </x:c>
      <x:c r="K1842" t="n">
        <x:f>IF(AND(J1842=1,C1842=0),1,0)</x:f>
        <x:v>0</x:v>
      </x:c>
      <x:c r="L1842" t="str">
        <x:f>IFERROR(INDEX(Customers!$C$2:$C$451,MATCH(A1842,Customers!$A$2:$A$451,0)),"Unknown")</x:f>
        <x:v>Standard</x:v>
      </x:c>
    </x:row>
    <x:row r="1843">
      <x:c r="A1843" t="n">
        <x:v>337</x:v>
      </x:c>
      <x:c r="B1843" s="16" t="n">
        <x:v>46143</x:v>
      </x:c>
      <x:c r="C1843" t="n">
        <x:v>1</x:v>
      </x:c>
      <x:c r="D1843" t="n">
        <x:v>35</x:v>
      </x:c>
      <x:c r="E1843" s="18" t="n">
        <x:v>2022.95</x:v>
      </x:c>
      <x:c r="F1843" s="18" t="n">
        <x:v>0</x:v>
      </x:c>
      <x:c r="G1843" s="18" t="n">
        <x:v>9.1</x:v>
      </x:c>
      <x:c r="H1843" s="18" t="n">
        <x:v>5.56</x:v>
      </x:c>
      <x:c r="I1843" s="18" t="n">
        <x:v>14.66</x:v>
      </x:c>
      <x:c r="J1843" t="n">
        <x:f>IF(A1843=A1842,IFERROR(IF(B1843=EDATE(B1842,1),C1842,0),0),0)</x:f>
        <x:v>0</x:v>
      </x:c>
      <x:c r="K1843" t="n">
        <x:f>IF(AND(J1843=1,C1843=0),1,0)</x:f>
        <x:v>0</x:v>
      </x:c>
      <x:c r="L1843" t="str">
        <x:f>IFERROR(INDEX(Customers!$C$2:$C$451,MATCH(A1843,Customers!$A$2:$A$451,0)),"Unknown")</x:f>
        <x:v>Standard</x:v>
      </x:c>
    </x:row>
    <x:row r="1844">
      <x:c r="A1844" t="n">
        <x:v>337</x:v>
      </x:c>
      <x:c r="B1844" s="16" t="n">
        <x:v>46174</x:v>
      </x:c>
      <x:c r="C1844" t="n">
        <x:v>1</x:v>
      </x:c>
      <x:c r="D1844" t="n">
        <x:v>27</x:v>
      </x:c>
      <x:c r="E1844" s="18" t="n">
        <x:v>1251.92</x:v>
      </x:c>
      <x:c r="F1844" s="18" t="n">
        <x:v>0</x:v>
      </x:c>
      <x:c r="G1844" s="18" t="n">
        <x:v>5.63</x:v>
      </x:c>
      <x:c r="H1844" s="18" t="n">
        <x:v>2.57</x:v>
      </x:c>
      <x:c r="I1844" s="18" t="n">
        <x:v>8.2</x:v>
      </x:c>
      <x:c r="J1844" t="n">
        <x:f>IF(A1844=A1843,IFERROR(IF(B1844=EDATE(B1843,1),C1843,0),0),0)</x:f>
        <x:v>1</x:v>
      </x:c>
      <x:c r="K1844" t="n">
        <x:f>IF(AND(J1844=1,C1844=0),1,0)</x:f>
        <x:v>0</x:v>
      </x:c>
      <x:c r="L1844" t="str">
        <x:f>IFERROR(INDEX(Customers!$C$2:$C$451,MATCH(A1844,Customers!$A$2:$A$451,0)),"Unknown")</x:f>
        <x:v>Standard</x:v>
      </x:c>
    </x:row>
    <x:row r="1845">
      <x:c r="A1845" t="n">
        <x:v>337</x:v>
      </x:c>
      <x:c r="B1845" s="16" t="n">
        <x:v>46204</x:v>
      </x:c>
      <x:c r="C1845" t="n">
        <x:v>1</x:v>
      </x:c>
      <x:c r="D1845" t="n">
        <x:v>30</x:v>
      </x:c>
      <x:c r="E1845" s="18" t="n">
        <x:v>1300.41</x:v>
      </x:c>
      <x:c r="F1845" s="18" t="n">
        <x:v>0</x:v>
      </x:c>
      <x:c r="G1845" s="18" t="n">
        <x:v>5.85</x:v>
      </x:c>
      <x:c r="H1845" s="18" t="n">
        <x:v>3.43</x:v>
      </x:c>
      <x:c r="I1845" s="18" t="n">
        <x:v>9.28</x:v>
      </x:c>
      <x:c r="J1845" t="n">
        <x:f>IF(A1845=A1844,IFERROR(IF(B1845=EDATE(B1844,1),C1844,0),0),0)</x:f>
        <x:v>1</x:v>
      </x:c>
      <x:c r="K1845" t="n">
        <x:f>IF(AND(J1845=1,C1845=0),1,0)</x:f>
        <x:v>0</x:v>
      </x:c>
      <x:c r="L1845" t="str">
        <x:f>IFERROR(INDEX(Customers!$C$2:$C$451,MATCH(A1845,Customers!$A$2:$A$451,0)),"Unknown")</x:f>
        <x:v>Standard</x:v>
      </x:c>
    </x:row>
    <x:row r="1846">
      <x:c r="A1846" t="n">
        <x:v>337</x:v>
      </x:c>
      <x:c r="B1846" s="16" t="n">
        <x:v>46235</x:v>
      </x:c>
      <x:c r="C1846" t="n">
        <x:v>1</x:v>
      </x:c>
      <x:c r="D1846" t="n">
        <x:v>8</x:v>
      </x:c>
      <x:c r="E1846" s="18" t="n">
        <x:v>706.51</x:v>
      </x:c>
      <x:c r="F1846" s="18" t="n">
        <x:v>0</x:v>
      </x:c>
      <x:c r="G1846" s="18" t="n">
        <x:v>3.18</x:v>
      </x:c>
      <x:c r="H1846" s="18" t="n">
        <x:v>2.08</x:v>
      </x:c>
      <x:c r="I1846" s="18" t="n">
        <x:v>5.26</x:v>
      </x:c>
      <x:c r="J1846" t="n">
        <x:f>IF(A1846=A1845,IFERROR(IF(B1846=EDATE(B1845,1),C1845,0),0),0)</x:f>
        <x:v>1</x:v>
      </x:c>
      <x:c r="K1846" t="n">
        <x:f>IF(AND(J1846=1,C1846=0),1,0)</x:f>
        <x:v>0</x:v>
      </x:c>
      <x:c r="L1846" t="str">
        <x:f>IFERROR(INDEX(Customers!$C$2:$C$451,MATCH(A1846,Customers!$A$2:$A$451,0)),"Unknown")</x:f>
        <x:v>Standard</x:v>
      </x:c>
    </x:row>
    <x:row r="1847">
      <x:c r="A1847" t="n">
        <x:v>337</x:v>
      </x:c>
      <x:c r="B1847" s="16" t="n">
        <x:v>46266</x:v>
      </x:c>
      <x:c r="C1847" t="n">
        <x:v>1</x:v>
      </x:c>
      <x:c r="D1847" t="n">
        <x:v>4</x:v>
      </x:c>
      <x:c r="E1847" s="18" t="n">
        <x:v>256.71</x:v>
      </x:c>
      <x:c r="F1847" s="18" t="n">
        <x:v>0</x:v>
      </x:c>
      <x:c r="G1847" s="18" t="n">
        <x:v>1.16</x:v>
      </x:c>
      <x:c r="H1847" s="18" t="n">
        <x:v>0.97</x:v>
      </x:c>
      <x:c r="I1847" s="18" t="n">
        <x:v>2.13</x:v>
      </x:c>
      <x:c r="J1847" t="n">
        <x:f>IF(A1847=A1846,IFERROR(IF(B1847=EDATE(B1846,1),C1846,0),0),0)</x:f>
        <x:v>1</x:v>
      </x:c>
      <x:c r="K1847" t="n">
        <x:f>IF(AND(J1847=1,C1847=0),1,0)</x:f>
        <x:v>0</x:v>
      </x:c>
      <x:c r="L1847" t="str">
        <x:f>IFERROR(INDEX(Customers!$C$2:$C$451,MATCH(A1847,Customers!$A$2:$A$451,0)),"Unknown")</x:f>
        <x:v>Standard</x:v>
      </x:c>
    </x:row>
    <x:row r="1848">
      <x:c r="A1848" t="n">
        <x:v>338</x:v>
      </x:c>
      <x:c r="B1848" s="16" t="n">
        <x:v>46113</x:v>
      </x:c>
      <x:c r="C1848" t="n">
        <x:v>1</x:v>
      </x:c>
      <x:c r="D1848" t="n">
        <x:v>19</x:v>
      </x:c>
      <x:c r="E1848" s="18" t="n">
        <x:v>1384.3</x:v>
      </x:c>
      <x:c r="F1848" s="18" t="n">
        <x:v>8</x:v>
      </x:c>
      <x:c r="G1848" s="18" t="n">
        <x:v>6.23</x:v>
      </x:c>
      <x:c r="H1848" s="18" t="n">
        <x:v>1.92</x:v>
      </x:c>
      <x:c r="I1848" s="18" t="n">
        <x:v>16.15</x:v>
      </x:c>
      <x:c r="J1848" t="n">
        <x:f>IF(A1848=A1847,IFERROR(IF(B1848=EDATE(B1847,1),C1847,0),0),0)</x:f>
        <x:v>0</x:v>
      </x:c>
      <x:c r="K1848" t="n">
        <x:f>IF(AND(J1848=1,C1848=0),1,0)</x:f>
        <x:v>0</x:v>
      </x:c>
      <x:c r="L1848" t="str">
        <x:f>IFERROR(INDEX(Customers!$C$2:$C$451,MATCH(A1848,Customers!$A$2:$A$451,0)),"Unknown")</x:f>
        <x:v>Plus</x:v>
      </x:c>
    </x:row>
    <x:row r="1849">
      <x:c r="A1849" t="n">
        <x:v>338</x:v>
      </x:c>
      <x:c r="B1849" s="16" t="n">
        <x:v>46143</x:v>
      </x:c>
      <x:c r="C1849" t="n">
        <x:v>1</x:v>
      </x:c>
      <x:c r="D1849" t="n">
        <x:v>36</x:v>
      </x:c>
      <x:c r="E1849" s="18" t="n">
        <x:v>2805.13</x:v>
      </x:c>
      <x:c r="F1849" s="18" t="n">
        <x:v>8</x:v>
      </x:c>
      <x:c r="G1849" s="18" t="n">
        <x:v>12.62</x:v>
      </x:c>
      <x:c r="H1849" s="18" t="n">
        <x:v>7.27</x:v>
      </x:c>
      <x:c r="I1849" s="18" t="n">
        <x:v>27.89</x:v>
      </x:c>
      <x:c r="J1849" t="n">
        <x:f>IF(A1849=A1848,IFERROR(IF(B1849=EDATE(B1848,1),C1848,0),0),0)</x:f>
        <x:v>1</x:v>
      </x:c>
      <x:c r="K1849" t="n">
        <x:f>IF(AND(J1849=1,C1849=0),1,0)</x:f>
        <x:v>0</x:v>
      </x:c>
      <x:c r="L1849" t="str">
        <x:f>IFERROR(INDEX(Customers!$C$2:$C$451,MATCH(A1849,Customers!$A$2:$A$451,0)),"Unknown")</x:f>
        <x:v>Plus</x:v>
      </x:c>
    </x:row>
    <x:row r="1850">
      <x:c r="A1850" t="n">
        <x:v>338</x:v>
      </x:c>
      <x:c r="B1850" s="16" t="n">
        <x:v>46174</x:v>
      </x:c>
      <x:c r="C1850" t="n">
        <x:v>1</x:v>
      </x:c>
      <x:c r="D1850" t="n">
        <x:v>17</x:v>
      </x:c>
      <x:c r="E1850" s="18" t="n">
        <x:v>1271.03</x:v>
      </x:c>
      <x:c r="F1850" s="18" t="n">
        <x:v>8</x:v>
      </x:c>
      <x:c r="G1850" s="18" t="n">
        <x:v>5.72</x:v>
      </x:c>
      <x:c r="H1850" s="18" t="n">
        <x:v>4.53</x:v>
      </x:c>
      <x:c r="I1850" s="18" t="n">
        <x:v>18.25</x:v>
      </x:c>
      <x:c r="J1850" t="n">
        <x:f>IF(A1850=A1849,IFERROR(IF(B1850=EDATE(B1849,1),C1849,0),0),0)</x:f>
        <x:v>1</x:v>
      </x:c>
      <x:c r="K1850" t="n">
        <x:f>IF(AND(J1850=1,C1850=0),1,0)</x:f>
        <x:v>0</x:v>
      </x:c>
      <x:c r="L1850" t="str">
        <x:f>IFERROR(INDEX(Customers!$C$2:$C$451,MATCH(A1850,Customers!$A$2:$A$451,0)),"Unknown")</x:f>
        <x:v>Plus</x:v>
      </x:c>
    </x:row>
    <x:row r="1851">
      <x:c r="A1851" t="n">
        <x:v>338</x:v>
      </x:c>
      <x:c r="B1851" s="16" t="n">
        <x:v>46204</x:v>
      </x:c>
      <x:c r="C1851" t="n">
        <x:v>1</x:v>
      </x:c>
      <x:c r="D1851" t="n">
        <x:v>35</x:v>
      </x:c>
      <x:c r="E1851" s="18" t="n">
        <x:v>3023.64</x:v>
      </x:c>
      <x:c r="F1851" s="18" t="n">
        <x:v>8</x:v>
      </x:c>
      <x:c r="G1851" s="18" t="n">
        <x:v>13.61</x:v>
      </x:c>
      <x:c r="H1851" s="18" t="n">
        <x:v>7.45</x:v>
      </x:c>
      <x:c r="I1851" s="18" t="n">
        <x:v>29.06</x:v>
      </x:c>
      <x:c r="J1851" t="n">
        <x:f>IF(A1851=A1850,IFERROR(IF(B1851=EDATE(B1850,1),C1850,0),0),0)</x:f>
        <x:v>1</x:v>
      </x:c>
      <x:c r="K1851" t="n">
        <x:f>IF(AND(J1851=1,C1851=0),1,0)</x:f>
        <x:v>0</x:v>
      </x:c>
      <x:c r="L1851" t="str">
        <x:f>IFERROR(INDEX(Customers!$C$2:$C$451,MATCH(A1851,Customers!$A$2:$A$451,0)),"Unknown")</x:f>
        <x:v>Plus</x:v>
      </x:c>
    </x:row>
    <x:row r="1852">
      <x:c r="A1852" t="n">
        <x:v>338</x:v>
      </x:c>
      <x:c r="B1852" s="16" t="n">
        <x:v>46235</x:v>
      </x:c>
      <x:c r="C1852" t="n">
        <x:v>1</x:v>
      </x:c>
      <x:c r="D1852" t="n">
        <x:v>26</x:v>
      </x:c>
      <x:c r="E1852" s="18" t="n">
        <x:v>1261.8</x:v>
      </x:c>
      <x:c r="F1852" s="18" t="n">
        <x:v>8</x:v>
      </x:c>
      <x:c r="G1852" s="18" t="n">
        <x:v>5.68</x:v>
      </x:c>
      <x:c r="H1852" s="18" t="n">
        <x:v>2.48</x:v>
      </x:c>
      <x:c r="I1852" s="18" t="n">
        <x:v>16.16</x:v>
      </x:c>
      <x:c r="J1852" t="n">
        <x:f>IF(A1852=A1851,IFERROR(IF(B1852=EDATE(B1851,1),C1851,0),0),0)</x:f>
        <x:v>1</x:v>
      </x:c>
      <x:c r="K1852" t="n">
        <x:f>IF(AND(J1852=1,C1852=0),1,0)</x:f>
        <x:v>0</x:v>
      </x:c>
      <x:c r="L1852" t="str">
        <x:f>IFERROR(INDEX(Customers!$C$2:$C$451,MATCH(A1852,Customers!$A$2:$A$451,0)),"Unknown")</x:f>
        <x:v>Plus</x:v>
      </x:c>
    </x:row>
    <x:row r="1853">
      <x:c r="A1853" t="n">
        <x:v>338</x:v>
      </x:c>
      <x:c r="B1853" s="16" t="n">
        <x:v>46266</x:v>
      </x:c>
      <x:c r="C1853" t="n">
        <x:v>1</x:v>
      </x:c>
      <x:c r="D1853" t="n">
        <x:v>15</x:v>
      </x:c>
      <x:c r="E1853" s="18" t="n">
        <x:v>1744.36</x:v>
      </x:c>
      <x:c r="F1853" s="18" t="n">
        <x:v>8</x:v>
      </x:c>
      <x:c r="G1853" s="18" t="n">
        <x:v>7.85</x:v>
      </x:c>
      <x:c r="H1853" s="18" t="n">
        <x:v>5.4</x:v>
      </x:c>
      <x:c r="I1853" s="18" t="n">
        <x:v>21.25</x:v>
      </x:c>
      <x:c r="J1853" t="n">
        <x:f>IF(A1853=A1852,IFERROR(IF(B1853=EDATE(B1852,1),C1852,0),0),0)</x:f>
        <x:v>1</x:v>
      </x:c>
      <x:c r="K1853" t="n">
        <x:f>IF(AND(J1853=1,C1853=0),1,0)</x:f>
        <x:v>0</x:v>
      </x:c>
      <x:c r="L1853" t="str">
        <x:f>IFERROR(INDEX(Customers!$C$2:$C$451,MATCH(A1853,Customers!$A$2:$A$451,0)),"Unknown")</x:f>
        <x:v>Plus</x:v>
      </x:c>
    </x:row>
    <x:row r="1854">
      <x:c r="A1854" t="n">
        <x:v>339</x:v>
      </x:c>
      <x:c r="B1854" s="16" t="n">
        <x:v>46113</x:v>
      </x:c>
      <x:c r="C1854" t="n">
        <x:v>1</x:v>
      </x:c>
      <x:c r="D1854" t="n">
        <x:v>25</x:v>
      </x:c>
      <x:c r="E1854" s="18" t="n">
        <x:v>2039.75</x:v>
      </x:c>
      <x:c r="F1854" s="18" t="n">
        <x:v>8</x:v>
      </x:c>
      <x:c r="G1854" s="18" t="n">
        <x:v>9.18</x:v>
      </x:c>
      <x:c r="H1854" s="18" t="n">
        <x:v>2.52</x:v>
      </x:c>
      <x:c r="I1854" s="18" t="n">
        <x:v>19.7</x:v>
      </x:c>
      <x:c r="J1854" t="n">
        <x:f>IF(A1854=A1853,IFERROR(IF(B1854=EDATE(B1853,1),C1853,0),0),0)</x:f>
        <x:v>0</x:v>
      </x:c>
      <x:c r="K1854" t="n">
        <x:f>IF(AND(J1854=1,C1854=0),1,0)</x:f>
        <x:v>0</x:v>
      </x:c>
      <x:c r="L1854" t="str">
        <x:f>IFERROR(INDEX(Customers!$C$2:$C$451,MATCH(A1854,Customers!$A$2:$A$451,0)),"Unknown")</x:f>
        <x:v>Plus</x:v>
      </x:c>
    </x:row>
    <x:row r="1855">
      <x:c r="A1855" t="n">
        <x:v>339</x:v>
      </x:c>
      <x:c r="B1855" s="16" t="n">
        <x:v>46143</x:v>
      </x:c>
      <x:c r="C1855" t="n">
        <x:v>0</x:v>
      </x:c>
      <x:c r="D1855" t="n">
        <x:v>0</x:v>
      </x:c>
      <x:c r="E1855" s="18" t="n">
        <x:v>0</x:v>
      </x:c>
      <x:c r="F1855" s="18" t="n">
        <x:v>0</x:v>
      </x:c>
      <x:c r="G1855" s="18" t="n">
        <x:v>0</x:v>
      </x:c>
      <x:c r="H1855" s="18" t="n">
        <x:v>0</x:v>
      </x:c>
      <x:c r="I1855" s="18" t="n">
        <x:v>0</x:v>
      </x:c>
      <x:c r="J1855" t="n">
        <x:f>IF(A1855=A1854,IFERROR(IF(B1855=EDATE(B1854,1),C1854,0),0),0)</x:f>
        <x:v>1</x:v>
      </x:c>
      <x:c r="K1855" t="n">
        <x:f>IF(AND(J1855=1,C1855=0),1,0)</x:f>
        <x:v>1</x:v>
      </x:c>
      <x:c r="L1855" t="str">
        <x:f>IFERROR(INDEX(Customers!$C$2:$C$451,MATCH(A1855,Customers!$A$2:$A$451,0)),"Unknown")</x:f>
        <x:v>Plus</x:v>
      </x:c>
    </x:row>
    <x:row r="1856">
      <x:c r="A1856" t="n">
        <x:v>339</x:v>
      </x:c>
      <x:c r="B1856" s="16" t="n">
        <x:v>46174</x:v>
      </x:c>
      <x:c r="C1856" t="n">
        <x:v>1</x:v>
      </x:c>
      <x:c r="D1856" t="n">
        <x:v>26</x:v>
      </x:c>
      <x:c r="E1856" s="18" t="n">
        <x:v>2641.72</x:v>
      </x:c>
      <x:c r="F1856" s="18" t="n">
        <x:v>8</x:v>
      </x:c>
      <x:c r="G1856" s="18" t="n">
        <x:v>11.89</x:v>
      </x:c>
      <x:c r="H1856" s="18" t="n">
        <x:v>2.48</x:v>
      </x:c>
      <x:c r="I1856" s="18" t="n">
        <x:v>22.37</x:v>
      </x:c>
      <x:c r="J1856" t="n">
        <x:f>IF(A1856=A1855,IFERROR(IF(B1856=EDATE(B1855,1),C1855,0),0),0)</x:f>
        <x:v>0</x:v>
      </x:c>
      <x:c r="K1856" t="n">
        <x:f>IF(AND(J1856=1,C1856=0),1,0)</x:f>
        <x:v>0</x:v>
      </x:c>
      <x:c r="L1856" t="str">
        <x:f>IFERROR(INDEX(Customers!$C$2:$C$451,MATCH(A1856,Customers!$A$2:$A$451,0)),"Unknown")</x:f>
        <x:v>Plus</x:v>
      </x:c>
    </x:row>
    <x:row r="1857">
      <x:c r="A1857" t="n">
        <x:v>339</x:v>
      </x:c>
      <x:c r="B1857" s="16" t="n">
        <x:v>46204</x:v>
      </x:c>
      <x:c r="C1857" t="n">
        <x:v>1</x:v>
      </x:c>
      <x:c r="D1857" t="n">
        <x:v>29</x:v>
      </x:c>
      <x:c r="E1857" s="18" t="n">
        <x:v>2551.32</x:v>
      </x:c>
      <x:c r="F1857" s="18" t="n">
        <x:v>8</x:v>
      </x:c>
      <x:c r="G1857" s="18" t="n">
        <x:v>11.48</x:v>
      </x:c>
      <x:c r="H1857" s="18" t="n">
        <x:v>3.91</x:v>
      </x:c>
      <x:c r="I1857" s="18" t="n">
        <x:v>23.39</x:v>
      </x:c>
      <x:c r="J1857" t="n">
        <x:f>IF(A1857=A1856,IFERROR(IF(B1857=EDATE(B1856,1),C1856,0),0),0)</x:f>
        <x:v>1</x:v>
      </x:c>
      <x:c r="K1857" t="n">
        <x:f>IF(AND(J1857=1,C1857=0),1,0)</x:f>
        <x:v>0</x:v>
      </x:c>
      <x:c r="L1857" t="str">
        <x:f>IFERROR(INDEX(Customers!$C$2:$C$451,MATCH(A1857,Customers!$A$2:$A$451,0)),"Unknown")</x:f>
        <x:v>Plus</x:v>
      </x:c>
    </x:row>
    <x:row r="1858">
      <x:c r="A1858" t="n">
        <x:v>339</x:v>
      </x:c>
      <x:c r="B1858" s="16" t="n">
        <x:v>46235</x:v>
      </x:c>
      <x:c r="C1858" t="n">
        <x:v>1</x:v>
      </x:c>
      <x:c r="D1858" t="n">
        <x:v>28</x:v>
      </x:c>
      <x:c r="E1858" s="18" t="n">
        <x:v>2231.37</x:v>
      </x:c>
      <x:c r="F1858" s="18" t="n">
        <x:v>8</x:v>
      </x:c>
      <x:c r="G1858" s="18" t="n">
        <x:v>10.04</x:v>
      </x:c>
      <x:c r="H1858" s="18" t="n">
        <x:v>2.59</x:v>
      </x:c>
      <x:c r="I1858" s="18" t="n">
        <x:v>20.63</x:v>
      </x:c>
      <x:c r="J1858" t="n">
        <x:f>IF(A1858=A1857,IFERROR(IF(B1858=EDATE(B1857,1),C1857,0),0),0)</x:f>
        <x:v>1</x:v>
      </x:c>
      <x:c r="K1858" t="n">
        <x:f>IF(AND(J1858=1,C1858=0),1,0)</x:f>
        <x:v>0</x:v>
      </x:c>
      <x:c r="L1858" t="str">
        <x:f>IFERROR(INDEX(Customers!$C$2:$C$451,MATCH(A1858,Customers!$A$2:$A$451,0)),"Unknown")</x:f>
        <x:v>Plus</x:v>
      </x:c>
    </x:row>
    <x:row r="1859">
      <x:c r="A1859" t="n">
        <x:v>339</x:v>
      </x:c>
      <x:c r="B1859" s="16" t="n">
        <x:v>46266</x:v>
      </x:c>
      <x:c r="C1859" t="n">
        <x:v>1</x:v>
      </x:c>
      <x:c r="D1859" t="n">
        <x:v>12</x:v>
      </x:c>
      <x:c r="E1859" s="18" t="n">
        <x:v>719.94</x:v>
      </x:c>
      <x:c r="F1859" s="18" t="n">
        <x:v>8</x:v>
      </x:c>
      <x:c r="G1859" s="18" t="n">
        <x:v>3.24</x:v>
      </x:c>
      <x:c r="H1859" s="18" t="n">
        <x:v>2.11</x:v>
      </x:c>
      <x:c r="I1859" s="18" t="n">
        <x:v>13.35</x:v>
      </x:c>
      <x:c r="J1859" t="n">
        <x:f>IF(A1859=A1858,IFERROR(IF(B1859=EDATE(B1858,1),C1858,0),0),0)</x:f>
        <x:v>1</x:v>
      </x:c>
      <x:c r="K1859" t="n">
        <x:f>IF(AND(J1859=1,C1859=0),1,0)</x:f>
        <x:v>0</x:v>
      </x:c>
      <x:c r="L1859" t="str">
        <x:f>IFERROR(INDEX(Customers!$C$2:$C$451,MATCH(A1859,Customers!$A$2:$A$451,0)),"Unknown")</x:f>
        <x:v>Plus</x:v>
      </x:c>
    </x:row>
    <x:row r="1860">
      <x:c r="A1860" t="n">
        <x:v>340</x:v>
      </x:c>
      <x:c r="B1860" s="16" t="n">
        <x:v>46113</x:v>
      </x:c>
      <x:c r="C1860" t="n">
        <x:v>1</x:v>
      </x:c>
      <x:c r="D1860" t="n">
        <x:v>6</x:v>
      </x:c>
      <x:c r="E1860" s="18" t="n">
        <x:v>727.41</x:v>
      </x:c>
      <x:c r="F1860" s="18" t="n">
        <x:v>8</x:v>
      </x:c>
      <x:c r="G1860" s="18" t="n">
        <x:v>3.27</x:v>
      </x:c>
      <x:c r="H1860" s="18" t="n">
        <x:v>1.43</x:v>
      </x:c>
      <x:c r="I1860" s="18" t="n">
        <x:v>12.7</x:v>
      </x:c>
      <x:c r="J1860" t="n">
        <x:f>IF(A1860=A1859,IFERROR(IF(B1860=EDATE(B1859,1),C1859,0),0),0)</x:f>
        <x:v>0</x:v>
      </x:c>
      <x:c r="K1860" t="n">
        <x:f>IF(AND(J1860=1,C1860=0),1,0)</x:f>
        <x:v>0</x:v>
      </x:c>
      <x:c r="L1860" t="str">
        <x:f>IFERROR(INDEX(Customers!$C$2:$C$451,MATCH(A1860,Customers!$A$2:$A$451,0)),"Unknown")</x:f>
        <x:v>Plus</x:v>
      </x:c>
    </x:row>
    <x:row r="1861">
      <x:c r="A1861" t="n">
        <x:v>340</x:v>
      </x:c>
      <x:c r="B1861" s="16" t="n">
        <x:v>46143</x:v>
      </x:c>
      <x:c r="C1861" t="n">
        <x:v>1</x:v>
      </x:c>
      <x:c r="D1861" t="n">
        <x:v>20</x:v>
      </x:c>
      <x:c r="E1861" s="18" t="n">
        <x:v>996.19</x:v>
      </x:c>
      <x:c r="F1861" s="18" t="n">
        <x:v>8</x:v>
      </x:c>
      <x:c r="G1861" s="18" t="n">
        <x:v>4.48</x:v>
      </x:c>
      <x:c r="H1861" s="18" t="n">
        <x:v>1.07</x:v>
      </x:c>
      <x:c r="I1861" s="18" t="n">
        <x:v>13.55</x:v>
      </x:c>
      <x:c r="J1861" t="n">
        <x:f>IF(A1861=A1860,IFERROR(IF(B1861=EDATE(B1860,1),C1860,0),0),0)</x:f>
        <x:v>1</x:v>
      </x:c>
      <x:c r="K1861" t="n">
        <x:f>IF(AND(J1861=1,C1861=0),1,0)</x:f>
        <x:v>0</x:v>
      </x:c>
      <x:c r="L1861" t="str">
        <x:f>IFERROR(INDEX(Customers!$C$2:$C$451,MATCH(A1861,Customers!$A$2:$A$451,0)),"Unknown")</x:f>
        <x:v>Plus</x:v>
      </x:c>
    </x:row>
    <x:row r="1862">
      <x:c r="A1862" t="n">
        <x:v>340</x:v>
      </x:c>
      <x:c r="B1862" s="16" t="n">
        <x:v>46174</x:v>
      </x:c>
      <x:c r="C1862" t="n">
        <x:v>1</x:v>
      </x:c>
      <x:c r="D1862" t="n">
        <x:v>32</x:v>
      </x:c>
      <x:c r="E1862" s="18" t="n">
        <x:v>4465.76</x:v>
      </x:c>
      <x:c r="F1862" s="18" t="n">
        <x:v>8</x:v>
      </x:c>
      <x:c r="G1862" s="18" t="n">
        <x:v>20.1</x:v>
      </x:c>
      <x:c r="H1862" s="18" t="n">
        <x:v>13.34</x:v>
      </x:c>
      <x:c r="I1862" s="18" t="n">
        <x:v>41.44</x:v>
      </x:c>
      <x:c r="J1862" t="n">
        <x:f>IF(A1862=A1861,IFERROR(IF(B1862=EDATE(B1861,1),C1861,0),0),0)</x:f>
        <x:v>1</x:v>
      </x:c>
      <x:c r="K1862" t="n">
        <x:f>IF(AND(J1862=1,C1862=0),1,0)</x:f>
        <x:v>0</x:v>
      </x:c>
      <x:c r="L1862" t="str">
        <x:f>IFERROR(INDEX(Customers!$C$2:$C$451,MATCH(A1862,Customers!$A$2:$A$451,0)),"Unknown")</x:f>
        <x:v>Plus</x:v>
      </x:c>
    </x:row>
    <x:row r="1863">
      <x:c r="A1863" t="n">
        <x:v>340</x:v>
      </x:c>
      <x:c r="B1863" s="16" t="n">
        <x:v>46204</x:v>
      </x:c>
      <x:c r="C1863" t="n">
        <x:v>1</x:v>
      </x:c>
      <x:c r="D1863" t="n">
        <x:v>12</x:v>
      </x:c>
      <x:c r="E1863" s="18" t="n">
        <x:v>1235</x:v>
      </x:c>
      <x:c r="F1863" s="18" t="n">
        <x:v>8</x:v>
      </x:c>
      <x:c r="G1863" s="18" t="n">
        <x:v>5.56</x:v>
      </x:c>
      <x:c r="H1863" s="18" t="n">
        <x:v>1.78</x:v>
      </x:c>
      <x:c r="I1863" s="18" t="n">
        <x:v>15.34</x:v>
      </x:c>
      <x:c r="J1863" t="n">
        <x:f>IF(A1863=A1862,IFERROR(IF(B1863=EDATE(B1862,1),C1862,0),0),0)</x:f>
        <x:v>1</x:v>
      </x:c>
      <x:c r="K1863" t="n">
        <x:f>IF(AND(J1863=1,C1863=0),1,0)</x:f>
        <x:v>0</x:v>
      </x:c>
      <x:c r="L1863" t="str">
        <x:f>IFERROR(INDEX(Customers!$C$2:$C$451,MATCH(A1863,Customers!$A$2:$A$451,0)),"Unknown")</x:f>
        <x:v>Plus</x:v>
      </x:c>
    </x:row>
    <x:row r="1864">
      <x:c r="A1864" t="n">
        <x:v>340</x:v>
      </x:c>
      <x:c r="B1864" s="16" t="n">
        <x:v>46235</x:v>
      </x:c>
      <x:c r="C1864" t="n">
        <x:v>1</x:v>
      </x:c>
      <x:c r="D1864" t="n">
        <x:v>21</x:v>
      </x:c>
      <x:c r="E1864" s="18" t="n">
        <x:v>1217</x:v>
      </x:c>
      <x:c r="F1864" s="18" t="n">
        <x:v>8</x:v>
      </x:c>
      <x:c r="G1864" s="18" t="n">
        <x:v>5.48</x:v>
      </x:c>
      <x:c r="H1864" s="18" t="n">
        <x:v>1.6</x:v>
      </x:c>
      <x:c r="I1864" s="18" t="n">
        <x:v>15.08</x:v>
      </x:c>
      <x:c r="J1864" t="n">
        <x:f>IF(A1864=A1863,IFERROR(IF(B1864=EDATE(B1863,1),C1863,0),0),0)</x:f>
        <x:v>1</x:v>
      </x:c>
      <x:c r="K1864" t="n">
        <x:f>IF(AND(J1864=1,C1864=0),1,0)</x:f>
        <x:v>0</x:v>
      </x:c>
      <x:c r="L1864" t="str">
        <x:f>IFERROR(INDEX(Customers!$C$2:$C$451,MATCH(A1864,Customers!$A$2:$A$451,0)),"Unknown")</x:f>
        <x:v>Plus</x:v>
      </x:c>
    </x:row>
    <x:row r="1865">
      <x:c r="A1865" t="n">
        <x:v>340</x:v>
      </x:c>
      <x:c r="B1865" s="16" t="n">
        <x:v>46266</x:v>
      </x:c>
      <x:c r="C1865" t="n">
        <x:v>1</x:v>
      </x:c>
      <x:c r="D1865" t="n">
        <x:v>13</x:v>
      </x:c>
      <x:c r="E1865" s="18" t="n">
        <x:v>1815.46</x:v>
      </x:c>
      <x:c r="F1865" s="18" t="n">
        <x:v>8</x:v>
      </x:c>
      <x:c r="G1865" s="18" t="n">
        <x:v>8.17</x:v>
      </x:c>
      <x:c r="H1865" s="18" t="n">
        <x:v>3.41</x:v>
      </x:c>
      <x:c r="I1865" s="18" t="n">
        <x:v>19.58</x:v>
      </x:c>
      <x:c r="J1865" t="n">
        <x:f>IF(A1865=A1864,IFERROR(IF(B1865=EDATE(B1864,1),C1864,0),0),0)</x:f>
        <x:v>1</x:v>
      </x:c>
      <x:c r="K1865" t="n">
        <x:f>IF(AND(J1865=1,C1865=0),1,0)</x:f>
        <x:v>0</x:v>
      </x:c>
      <x:c r="L1865" t="str">
        <x:f>IFERROR(INDEX(Customers!$C$2:$C$451,MATCH(A1865,Customers!$A$2:$A$451,0)),"Unknown")</x:f>
        <x:v>Plus</x:v>
      </x:c>
    </x:row>
    <x:row r="1866">
      <x:c r="A1866" t="n">
        <x:v>341</x:v>
      </x:c>
      <x:c r="B1866" s="16" t="n">
        <x:v>46113</x:v>
      </x:c>
      <x:c r="C1866" t="n">
        <x:v>1</x:v>
      </x:c>
      <x:c r="D1866" t="n">
        <x:v>14</x:v>
      </x:c>
      <x:c r="E1866" s="18" t="n">
        <x:v>1290.08</x:v>
      </x:c>
      <x:c r="F1866" s="18" t="n">
        <x:v>8</x:v>
      </x:c>
      <x:c r="G1866" s="18" t="n">
        <x:v>5.81</x:v>
      </x:c>
      <x:c r="H1866" s="18" t="n">
        <x:v>3.13</x:v>
      </x:c>
      <x:c r="I1866" s="18" t="n">
        <x:v>16.94</x:v>
      </x:c>
      <x:c r="J1866" t="n">
        <x:f>IF(A1866=A1865,IFERROR(IF(B1866=EDATE(B1865,1),C1865,0),0),0)</x:f>
        <x:v>0</x:v>
      </x:c>
      <x:c r="K1866" t="n">
        <x:f>IF(AND(J1866=1,C1866=0),1,0)</x:f>
        <x:v>0</x:v>
      </x:c>
      <x:c r="L1866" t="str">
        <x:f>IFERROR(INDEX(Customers!$C$2:$C$451,MATCH(A1866,Customers!$A$2:$A$451,0)),"Unknown")</x:f>
        <x:v>Plus</x:v>
      </x:c>
    </x:row>
    <x:row r="1867">
      <x:c r="A1867" t="n">
        <x:v>341</x:v>
      </x:c>
      <x:c r="B1867" s="16" t="n">
        <x:v>46143</x:v>
      </x:c>
      <x:c r="C1867" t="n">
        <x:v>1</x:v>
      </x:c>
      <x:c r="D1867" t="n">
        <x:v>13</x:v>
      </x:c>
      <x:c r="E1867" s="18" t="n">
        <x:v>1689.8</x:v>
      </x:c>
      <x:c r="F1867" s="18" t="n">
        <x:v>8</x:v>
      </x:c>
      <x:c r="G1867" s="18" t="n">
        <x:v>7.6</x:v>
      </x:c>
      <x:c r="H1867" s="18" t="n">
        <x:v>3.02</x:v>
      </x:c>
      <x:c r="I1867" s="18" t="n">
        <x:v>18.62</x:v>
      </x:c>
      <x:c r="J1867" t="n">
        <x:f>IF(A1867=A1866,IFERROR(IF(B1867=EDATE(B1866,1),C1866,0),0),0)</x:f>
        <x:v>1</x:v>
      </x:c>
      <x:c r="K1867" t="n">
        <x:f>IF(AND(J1867=1,C1867=0),1,0)</x:f>
        <x:v>0</x:v>
      </x:c>
      <x:c r="L1867" t="str">
        <x:f>IFERROR(INDEX(Customers!$C$2:$C$451,MATCH(A1867,Customers!$A$2:$A$451,0)),"Unknown")</x:f>
        <x:v>Plus</x:v>
      </x:c>
    </x:row>
    <x:row r="1868">
      <x:c r="A1868" t="n">
        <x:v>341</x:v>
      </x:c>
      <x:c r="B1868" s="16" t="n">
        <x:v>46174</x:v>
      </x:c>
      <x:c r="C1868" t="n">
        <x:v>1</x:v>
      </x:c>
      <x:c r="D1868" t="n">
        <x:v>21</x:v>
      </x:c>
      <x:c r="E1868" s="18" t="n">
        <x:v>1209.39</x:v>
      </x:c>
      <x:c r="F1868" s="18" t="n">
        <x:v>8</x:v>
      </x:c>
      <x:c r="G1868" s="18" t="n">
        <x:v>5.44</x:v>
      </x:c>
      <x:c r="H1868" s="18" t="n">
        <x:v>1.04</x:v>
      </x:c>
      <x:c r="I1868" s="18" t="n">
        <x:v>14.48</x:v>
      </x:c>
      <x:c r="J1868" t="n">
        <x:f>IF(A1868=A1867,IFERROR(IF(B1868=EDATE(B1867,1),C1867,0),0),0)</x:f>
        <x:v>1</x:v>
      </x:c>
      <x:c r="K1868" t="n">
        <x:f>IF(AND(J1868=1,C1868=0),1,0)</x:f>
        <x:v>0</x:v>
      </x:c>
      <x:c r="L1868" t="str">
        <x:f>IFERROR(INDEX(Customers!$C$2:$C$451,MATCH(A1868,Customers!$A$2:$A$451,0)),"Unknown")</x:f>
        <x:v>Plus</x:v>
      </x:c>
    </x:row>
    <x:row r="1869">
      <x:c r="A1869" t="n">
        <x:v>341</x:v>
      </x:c>
      <x:c r="B1869" s="16" t="n">
        <x:v>46204</x:v>
      </x:c>
      <x:c r="C1869" t="n">
        <x:v>1</x:v>
      </x:c>
      <x:c r="D1869" t="n">
        <x:v>28</x:v>
      </x:c>
      <x:c r="E1869" s="18" t="n">
        <x:v>3120.25</x:v>
      </x:c>
      <x:c r="F1869" s="18" t="n">
        <x:v>8</x:v>
      </x:c>
      <x:c r="G1869" s="18" t="n">
        <x:v>14.04</x:v>
      </x:c>
      <x:c r="H1869" s="18" t="n">
        <x:v>8.64</x:v>
      </x:c>
      <x:c r="I1869" s="18" t="n">
        <x:v>30.68</x:v>
      </x:c>
      <x:c r="J1869" t="n">
        <x:f>IF(A1869=A1868,IFERROR(IF(B1869=EDATE(B1868,1),C1868,0),0),0)</x:f>
        <x:v>1</x:v>
      </x:c>
      <x:c r="K1869" t="n">
        <x:f>IF(AND(J1869=1,C1869=0),1,0)</x:f>
        <x:v>0</x:v>
      </x:c>
      <x:c r="L1869" t="str">
        <x:f>IFERROR(INDEX(Customers!$C$2:$C$451,MATCH(A1869,Customers!$A$2:$A$451,0)),"Unknown")</x:f>
        <x:v>Plus</x:v>
      </x:c>
    </x:row>
    <x:row r="1870">
      <x:c r="A1870" t="n">
        <x:v>341</x:v>
      </x:c>
      <x:c r="B1870" s="16" t="n">
        <x:v>46235</x:v>
      </x:c>
      <x:c r="C1870" t="n">
        <x:v>0</x:v>
      </x:c>
      <x:c r="D1870" t="n">
        <x:v>0</x:v>
      </x:c>
      <x:c r="E1870" s="18" t="n">
        <x:v>0</x:v>
      </x:c>
      <x:c r="F1870" s="18" t="n">
        <x:v>0</x:v>
      </x:c>
      <x:c r="G1870" s="18" t="n">
        <x:v>0</x:v>
      </x:c>
      <x:c r="H1870" s="18" t="n">
        <x:v>0</x:v>
      </x:c>
      <x:c r="I1870" s="18" t="n">
        <x:v>0</x:v>
      </x:c>
      <x:c r="J1870" t="n">
        <x:f>IF(A1870=A1869,IFERROR(IF(B1870=EDATE(B1869,1),C1869,0),0),0)</x:f>
        <x:v>1</x:v>
      </x:c>
      <x:c r="K1870" t="n">
        <x:f>IF(AND(J1870=1,C1870=0),1,0)</x:f>
        <x:v>1</x:v>
      </x:c>
      <x:c r="L1870" t="str">
        <x:f>IFERROR(INDEX(Customers!$C$2:$C$451,MATCH(A1870,Customers!$A$2:$A$451,0)),"Unknown")</x:f>
        <x:v>Plus</x:v>
      </x:c>
    </x:row>
    <x:row r="1871">
      <x:c r="A1871" t="n">
        <x:v>341</x:v>
      </x:c>
      <x:c r="B1871" s="16" t="n">
        <x:v>46266</x:v>
      </x:c>
      <x:c r="C1871" t="n">
        <x:v>1</x:v>
      </x:c>
      <x:c r="D1871" t="n">
        <x:v>16</x:v>
      </x:c>
      <x:c r="E1871" s="18" t="n">
        <x:v>1636.93</x:v>
      </x:c>
      <x:c r="F1871" s="18" t="n">
        <x:v>8</x:v>
      </x:c>
      <x:c r="G1871" s="18" t="n">
        <x:v>7.37</x:v>
      </x:c>
      <x:c r="H1871" s="18" t="n">
        <x:v>3.45</x:v>
      </x:c>
      <x:c r="I1871" s="18" t="n">
        <x:v>18.82</x:v>
      </x:c>
      <x:c r="J1871" t="n">
        <x:f>IF(A1871=A1870,IFERROR(IF(B1871=EDATE(B1870,1),C1870,0),0),0)</x:f>
        <x:v>0</x:v>
      </x:c>
      <x:c r="K1871" t="n">
        <x:f>IF(AND(J1871=1,C1871=0),1,0)</x:f>
        <x:v>0</x:v>
      </x:c>
      <x:c r="L1871" t="str">
        <x:f>IFERROR(INDEX(Customers!$C$2:$C$451,MATCH(A1871,Customers!$A$2:$A$451,0)),"Unknown")</x:f>
        <x:v>Plus</x:v>
      </x:c>
    </x:row>
    <x:row r="1872">
      <x:c r="A1872" t="n">
        <x:v>342</x:v>
      </x:c>
      <x:c r="B1872" s="16" t="n">
        <x:v>46113</x:v>
      </x:c>
      <x:c r="C1872" t="n">
        <x:v>1</x:v>
      </x:c>
      <x:c r="D1872" t="n">
        <x:v>33</x:v>
      </x:c>
      <x:c r="E1872" s="18" t="n">
        <x:v>1187.5</x:v>
      </x:c>
      <x:c r="F1872" s="18" t="n">
        <x:v>17</x:v>
      </x:c>
      <x:c r="G1872" s="18" t="n">
        <x:v>5.34</x:v>
      </x:c>
      <x:c r="H1872" s="18" t="n">
        <x:v>1.77</x:v>
      </x:c>
      <x:c r="I1872" s="18" t="n">
        <x:v>24.11</x:v>
      </x:c>
      <x:c r="J1872" t="n">
        <x:f>IF(A1872=A1871,IFERROR(IF(B1872=EDATE(B1871,1),C1871,0),0),0)</x:f>
        <x:v>0</x:v>
      </x:c>
      <x:c r="K1872" t="n">
        <x:f>IF(AND(J1872=1,C1872=0),1,0)</x:f>
        <x:v>0</x:v>
      </x:c>
      <x:c r="L1872" t="str">
        <x:f>IFERROR(INDEX(Customers!$C$2:$C$451,MATCH(A1872,Customers!$A$2:$A$451,0)),"Unknown")</x:f>
        <x:v>Premium</x:v>
      </x:c>
    </x:row>
    <x:row r="1873">
      <x:c r="A1873" t="n">
        <x:v>342</x:v>
      </x:c>
      <x:c r="B1873" s="16" t="n">
        <x:v>46143</x:v>
      </x:c>
      <x:c r="C1873" t="n">
        <x:v>1</x:v>
      </x:c>
      <x:c r="D1873" t="n">
        <x:v>6</x:v>
      </x:c>
      <x:c r="E1873" s="18" t="n">
        <x:v>575.04</x:v>
      </x:c>
      <x:c r="F1873" s="18" t="n">
        <x:v>17</x:v>
      </x:c>
      <x:c r="G1873" s="18" t="n">
        <x:v>2.59</x:v>
      </x:c>
      <x:c r="H1873" s="18" t="n">
        <x:v>2.01</x:v>
      </x:c>
      <x:c r="I1873" s="18" t="n">
        <x:v>21.6</x:v>
      </x:c>
      <x:c r="J1873" t="n">
        <x:f>IF(A1873=A1872,IFERROR(IF(B1873=EDATE(B1872,1),C1872,0),0),0)</x:f>
        <x:v>1</x:v>
      </x:c>
      <x:c r="K1873" t="n">
        <x:f>IF(AND(J1873=1,C1873=0),1,0)</x:f>
        <x:v>0</x:v>
      </x:c>
      <x:c r="L1873" t="str">
        <x:f>IFERROR(INDEX(Customers!$C$2:$C$451,MATCH(A1873,Customers!$A$2:$A$451,0)),"Unknown")</x:f>
        <x:v>Premium</x:v>
      </x:c>
    </x:row>
    <x:row r="1874">
      <x:c r="A1874" t="n">
        <x:v>342</x:v>
      </x:c>
      <x:c r="B1874" s="16" t="n">
        <x:v>46174</x:v>
      </x:c>
      <x:c r="C1874" t="n">
        <x:v>1</x:v>
      </x:c>
      <x:c r="D1874" t="n">
        <x:v>35</x:v>
      </x:c>
      <x:c r="E1874" s="18" t="n">
        <x:v>2766.8</x:v>
      </x:c>
      <x:c r="F1874" s="18" t="n">
        <x:v>17</x:v>
      </x:c>
      <x:c r="G1874" s="18" t="n">
        <x:v>12.45</x:v>
      </x:c>
      <x:c r="H1874" s="18" t="n">
        <x:v>8.81</x:v>
      </x:c>
      <x:c r="I1874" s="18" t="n">
        <x:v>38.26</x:v>
      </x:c>
      <x:c r="J1874" t="n">
        <x:f>IF(A1874=A1873,IFERROR(IF(B1874=EDATE(B1873,1),C1873,0),0),0)</x:f>
        <x:v>1</x:v>
      </x:c>
      <x:c r="K1874" t="n">
        <x:f>IF(AND(J1874=1,C1874=0),1,0)</x:f>
        <x:v>0</x:v>
      </x:c>
      <x:c r="L1874" t="str">
        <x:f>IFERROR(INDEX(Customers!$C$2:$C$451,MATCH(A1874,Customers!$A$2:$A$451,0)),"Unknown")</x:f>
        <x:v>Premium</x:v>
      </x:c>
    </x:row>
    <x:row r="1875">
      <x:c r="A1875" t="n">
        <x:v>342</x:v>
      </x:c>
      <x:c r="B1875" s="16" t="n">
        <x:v>46204</x:v>
      </x:c>
      <x:c r="C1875" t="n">
        <x:v>1</x:v>
      </x:c>
      <x:c r="D1875" t="n">
        <x:v>5</x:v>
      </x:c>
      <x:c r="E1875" s="18" t="n">
        <x:v>238.79</x:v>
      </x:c>
      <x:c r="F1875" s="18" t="n">
        <x:v>17</x:v>
      </x:c>
      <x:c r="G1875" s="18" t="n">
        <x:v>1.07</x:v>
      </x:c>
      <x:c r="H1875" s="18" t="n">
        <x:v>0.36</x:v>
      </x:c>
      <x:c r="I1875" s="18" t="n">
        <x:v>18.43</x:v>
      </x:c>
      <x:c r="J1875" t="n">
        <x:f>IF(A1875=A1874,IFERROR(IF(B1875=EDATE(B1874,1),C1874,0),0),0)</x:f>
        <x:v>1</x:v>
      </x:c>
      <x:c r="K1875" t="n">
        <x:f>IF(AND(J1875=1,C1875=0),1,0)</x:f>
        <x:v>0</x:v>
      </x:c>
      <x:c r="L1875" t="str">
        <x:f>IFERROR(INDEX(Customers!$C$2:$C$451,MATCH(A1875,Customers!$A$2:$A$451,0)),"Unknown")</x:f>
        <x:v>Premium</x:v>
      </x:c>
    </x:row>
    <x:row r="1876">
      <x:c r="A1876" t="n">
        <x:v>342</x:v>
      </x:c>
      <x:c r="B1876" s="16" t="n">
        <x:v>46235</x:v>
      </x:c>
      <x:c r="C1876" t="n">
        <x:v>1</x:v>
      </x:c>
      <x:c r="D1876" t="n">
        <x:v>5</x:v>
      </x:c>
      <x:c r="E1876" s="18" t="n">
        <x:v>219.2</x:v>
      </x:c>
      <x:c r="F1876" s="18" t="n">
        <x:v>17</x:v>
      </x:c>
      <x:c r="G1876" s="18" t="n">
        <x:v>0.99</x:v>
      </x:c>
      <x:c r="H1876" s="18" t="n">
        <x:v>0.76</x:v>
      </x:c>
      <x:c r="I1876" s="18" t="n">
        <x:v>18.75</x:v>
      </x:c>
      <x:c r="J1876" t="n">
        <x:f>IF(A1876=A1875,IFERROR(IF(B1876=EDATE(B1875,1),C1875,0),0),0)</x:f>
        <x:v>1</x:v>
      </x:c>
      <x:c r="K1876" t="n">
        <x:f>IF(AND(J1876=1,C1876=0),1,0)</x:f>
        <x:v>0</x:v>
      </x:c>
      <x:c r="L1876" t="str">
        <x:f>IFERROR(INDEX(Customers!$C$2:$C$451,MATCH(A1876,Customers!$A$2:$A$451,0)),"Unknown")</x:f>
        <x:v>Premium</x:v>
      </x:c>
    </x:row>
    <x:row r="1877">
      <x:c r="A1877" t="n">
        <x:v>342</x:v>
      </x:c>
      <x:c r="B1877" s="16" t="n">
        <x:v>46266</x:v>
      </x:c>
      <x:c r="C1877" t="n">
        <x:v>0</x:v>
      </x:c>
      <x:c r="D1877" t="n">
        <x:v>0</x:v>
      </x:c>
      <x:c r="E1877" s="18" t="n">
        <x:v>0</x:v>
      </x:c>
      <x:c r="F1877" s="18" t="n">
        <x:v>0</x:v>
      </x:c>
      <x:c r="G1877" s="18" t="n">
        <x:v>0</x:v>
      </x:c>
      <x:c r="H1877" s="18" t="n">
        <x:v>0</x:v>
      </x:c>
      <x:c r="I1877" s="18" t="n">
        <x:v>0</x:v>
      </x:c>
      <x:c r="J1877" t="n">
        <x:f>IF(A1877=A1876,IFERROR(IF(B1877=EDATE(B1876,1),C1876,0),0),0)</x:f>
        <x:v>1</x:v>
      </x:c>
      <x:c r="K1877" t="n">
        <x:f>IF(AND(J1877=1,C1877=0),1,0)</x:f>
        <x:v>1</x:v>
      </x:c>
      <x:c r="L1877" t="str">
        <x:f>IFERROR(INDEX(Customers!$C$2:$C$451,MATCH(A1877,Customers!$A$2:$A$451,0)),"Unknown")</x:f>
        <x:v>Premium</x:v>
      </x:c>
    </x:row>
    <x:row r="1878">
      <x:c r="A1878" t="n">
        <x:v>343</x:v>
      </x:c>
      <x:c r="B1878" s="16" t="n">
        <x:v>46143</x:v>
      </x:c>
      <x:c r="C1878" t="n">
        <x:v>1</x:v>
      </x:c>
      <x:c r="D1878" t="n">
        <x:v>33</x:v>
      </x:c>
      <x:c r="E1878" s="18" t="n">
        <x:v>1745.25</x:v>
      </x:c>
      <x:c r="F1878" s="18" t="n">
        <x:v>0</x:v>
      </x:c>
      <x:c r="G1878" s="18" t="n">
        <x:v>7.85</x:v>
      </x:c>
      <x:c r="H1878" s="18" t="n">
        <x:v>6.15</x:v>
      </x:c>
      <x:c r="I1878" s="18" t="n">
        <x:v>14</x:v>
      </x:c>
      <x:c r="J1878" t="n">
        <x:f>IF(A1878=A1877,IFERROR(IF(B1878=EDATE(B1877,1),C1877,0),0),0)</x:f>
        <x:v>0</x:v>
      </x:c>
      <x:c r="K1878" t="n">
        <x:f>IF(AND(J1878=1,C1878=0),1,0)</x:f>
        <x:v>0</x:v>
      </x:c>
      <x:c r="L1878" t="str">
        <x:f>IFERROR(INDEX(Customers!$C$2:$C$451,MATCH(A1878,Customers!$A$2:$A$451,0)),"Unknown")</x:f>
        <x:v>Standard</x:v>
      </x:c>
    </x:row>
    <x:row r="1879">
      <x:c r="A1879" t="n">
        <x:v>343</x:v>
      </x:c>
      <x:c r="B1879" s="16" t="n">
        <x:v>46174</x:v>
      </x:c>
      <x:c r="C1879" t="n">
        <x:v>1</x:v>
      </x:c>
      <x:c r="D1879" t="n">
        <x:v>18</x:v>
      </x:c>
      <x:c r="E1879" s="18" t="n">
        <x:v>1252.72</x:v>
      </x:c>
      <x:c r="F1879" s="18" t="n">
        <x:v>0</x:v>
      </x:c>
      <x:c r="G1879" s="18" t="n">
        <x:v>5.64</x:v>
      </x:c>
      <x:c r="H1879" s="18" t="n">
        <x:v>3.53</x:v>
      </x:c>
      <x:c r="I1879" s="18" t="n">
        <x:v>9.17</x:v>
      </x:c>
      <x:c r="J1879" t="n">
        <x:f>IF(A1879=A1878,IFERROR(IF(B1879=EDATE(B1878,1),C1878,0),0),0)</x:f>
        <x:v>1</x:v>
      </x:c>
      <x:c r="K1879" t="n">
        <x:f>IF(AND(J1879=1,C1879=0),1,0)</x:f>
        <x:v>0</x:v>
      </x:c>
      <x:c r="L1879" t="str">
        <x:f>IFERROR(INDEX(Customers!$C$2:$C$451,MATCH(A1879,Customers!$A$2:$A$451,0)),"Unknown")</x:f>
        <x:v>Standard</x:v>
      </x:c>
    </x:row>
    <x:row r="1880">
      <x:c r="A1880" t="n">
        <x:v>343</x:v>
      </x:c>
      <x:c r="B1880" s="16" t="n">
        <x:v>46204</x:v>
      </x:c>
      <x:c r="C1880" t="n">
        <x:v>1</x:v>
      </x:c>
      <x:c r="D1880" t="n">
        <x:v>24</x:v>
      </x:c>
      <x:c r="E1880" s="18" t="n">
        <x:v>887.75</x:v>
      </x:c>
      <x:c r="F1880" s="18" t="n">
        <x:v>0</x:v>
      </x:c>
      <x:c r="G1880" s="18" t="n">
        <x:v>3.99</x:v>
      </x:c>
      <x:c r="H1880" s="18" t="n">
        <x:v>2.77</x:v>
      </x:c>
      <x:c r="I1880" s="18" t="n">
        <x:v>6.76</x:v>
      </x:c>
      <x:c r="J1880" t="n">
        <x:f>IF(A1880=A1879,IFERROR(IF(B1880=EDATE(B1879,1),C1879,0),0),0)</x:f>
        <x:v>1</x:v>
      </x:c>
      <x:c r="K1880" t="n">
        <x:f>IF(AND(J1880=1,C1880=0),1,0)</x:f>
        <x:v>0</x:v>
      </x:c>
      <x:c r="L1880" t="str">
        <x:f>IFERROR(INDEX(Customers!$C$2:$C$451,MATCH(A1880,Customers!$A$2:$A$451,0)),"Unknown")</x:f>
        <x:v>Standard</x:v>
      </x:c>
    </x:row>
    <x:row r="1881">
      <x:c r="A1881" t="n">
        <x:v>343</x:v>
      </x:c>
      <x:c r="B1881" s="16" t="n">
        <x:v>46235</x:v>
      </x:c>
      <x:c r="C1881" t="n">
        <x:v>0</x:v>
      </x:c>
      <x:c r="D1881" t="n">
        <x:v>0</x:v>
      </x:c>
      <x:c r="E1881" s="18" t="n">
        <x:v>0</x:v>
      </x:c>
      <x:c r="F1881" s="18" t="n">
        <x:v>0</x:v>
      </x:c>
      <x:c r="G1881" s="18" t="n">
        <x:v>0</x:v>
      </x:c>
      <x:c r="H1881" s="18" t="n">
        <x:v>0</x:v>
      </x:c>
      <x:c r="I1881" s="18" t="n">
        <x:v>0</x:v>
      </x:c>
      <x:c r="J1881" t="n">
        <x:f>IF(A1881=A1880,IFERROR(IF(B1881=EDATE(B1880,1),C1880,0),0),0)</x:f>
        <x:v>1</x:v>
      </x:c>
      <x:c r="K1881" t="n">
        <x:f>IF(AND(J1881=1,C1881=0),1,0)</x:f>
        <x:v>1</x:v>
      </x:c>
      <x:c r="L1881" t="str">
        <x:f>IFERROR(INDEX(Customers!$C$2:$C$451,MATCH(A1881,Customers!$A$2:$A$451,0)),"Unknown")</x:f>
        <x:v>Standard</x:v>
      </x:c>
    </x:row>
    <x:row r="1882">
      <x:c r="A1882" t="n">
        <x:v>343</x:v>
      </x:c>
      <x:c r="B1882" s="16" t="n">
        <x:v>46266</x:v>
      </x:c>
      <x:c r="C1882" t="n">
        <x:v>1</x:v>
      </x:c>
      <x:c r="D1882" t="n">
        <x:v>8</x:v>
      </x:c>
      <x:c r="E1882" s="18" t="n">
        <x:v>969.8</x:v>
      </x:c>
      <x:c r="F1882" s="18" t="n">
        <x:v>0</x:v>
      </x:c>
      <x:c r="G1882" s="18" t="n">
        <x:v>4.36</x:v>
      </x:c>
      <x:c r="H1882" s="18" t="n">
        <x:v>2.75</x:v>
      </x:c>
      <x:c r="I1882" s="18" t="n">
        <x:v>7.11</x:v>
      </x:c>
      <x:c r="J1882" t="n">
        <x:f>IF(A1882=A1881,IFERROR(IF(B1882=EDATE(B1881,1),C1881,0),0),0)</x:f>
        <x:v>0</x:v>
      </x:c>
      <x:c r="K1882" t="n">
        <x:f>IF(AND(J1882=1,C1882=0),1,0)</x:f>
        <x:v>0</x:v>
      </x:c>
      <x:c r="L1882" t="str">
        <x:f>IFERROR(INDEX(Customers!$C$2:$C$451,MATCH(A1882,Customers!$A$2:$A$451,0)),"Unknown")</x:f>
        <x:v>Standard</x:v>
      </x:c>
    </x:row>
    <x:row r="1883">
      <x:c r="A1883" t="n">
        <x:v>344</x:v>
      </x:c>
      <x:c r="B1883" s="16" t="n">
        <x:v>46113</x:v>
      </x:c>
      <x:c r="C1883" t="n">
        <x:v>0</x:v>
      </x:c>
      <x:c r="D1883" t="n">
        <x:v>0</x:v>
      </x:c>
      <x:c r="E1883" s="18" t="n">
        <x:v>0</x:v>
      </x:c>
      <x:c r="F1883" s="18" t="n">
        <x:v>0</x:v>
      </x:c>
      <x:c r="G1883" s="18" t="n">
        <x:v>0</x:v>
      </x:c>
      <x:c r="H1883" s="18" t="n">
        <x:v>0</x:v>
      </x:c>
      <x:c r="I1883" s="18" t="n">
        <x:v>0</x:v>
      </x:c>
      <x:c r="J1883" t="n">
        <x:f>IF(A1883=A1882,IFERROR(IF(B1883=EDATE(B1882,1),C1882,0),0),0)</x:f>
        <x:v>0</x:v>
      </x:c>
      <x:c r="K1883" t="n">
        <x:f>IF(AND(J1883=1,C1883=0),1,0)</x:f>
        <x:v>0</x:v>
      </x:c>
      <x:c r="L1883" t="str">
        <x:f>IFERROR(INDEX(Customers!$C$2:$C$451,MATCH(A1883,Customers!$A$2:$A$451,0)),"Unknown")</x:f>
        <x:v>Premium</x:v>
      </x:c>
    </x:row>
    <x:row r="1884">
      <x:c r="A1884" t="n">
        <x:v>344</x:v>
      </x:c>
      <x:c r="B1884" s="16" t="n">
        <x:v>46143</x:v>
      </x:c>
      <x:c r="C1884" t="n">
        <x:v>0</x:v>
      </x:c>
      <x:c r="D1884" t="n">
        <x:v>0</x:v>
      </x:c>
      <x:c r="E1884" s="18" t="n">
        <x:v>0</x:v>
      </x:c>
      <x:c r="F1884" s="18" t="n">
        <x:v>0</x:v>
      </x:c>
      <x:c r="G1884" s="18" t="n">
        <x:v>0</x:v>
      </x:c>
      <x:c r="H1884" s="18" t="n">
        <x:v>0</x:v>
      </x:c>
      <x:c r="I1884" s="18" t="n">
        <x:v>0</x:v>
      </x:c>
      <x:c r="J1884" t="n">
        <x:f>IF(A1884=A1883,IFERROR(IF(B1884=EDATE(B1883,1),C1883,0),0),0)</x:f>
        <x:v>0</x:v>
      </x:c>
      <x:c r="K1884" t="n">
        <x:f>IF(AND(J1884=1,C1884=0),1,0)</x:f>
        <x:v>0</x:v>
      </x:c>
      <x:c r="L1884" t="str">
        <x:f>IFERROR(INDEX(Customers!$C$2:$C$451,MATCH(A1884,Customers!$A$2:$A$451,0)),"Unknown")</x:f>
        <x:v>Premium</x:v>
      </x:c>
    </x:row>
    <x:row r="1885">
      <x:c r="A1885" t="n">
        <x:v>344</x:v>
      </x:c>
      <x:c r="B1885" s="16" t="n">
        <x:v>46174</x:v>
      </x:c>
      <x:c r="C1885" t="n">
        <x:v>1</x:v>
      </x:c>
      <x:c r="D1885" t="n">
        <x:v>21</x:v>
      </x:c>
      <x:c r="E1885" s="18" t="n">
        <x:v>2498.26</x:v>
      </x:c>
      <x:c r="F1885" s="18" t="n">
        <x:v>17</x:v>
      </x:c>
      <x:c r="G1885" s="18" t="n">
        <x:v>11.24</x:v>
      </x:c>
      <x:c r="H1885" s="18" t="n">
        <x:v>3.28</x:v>
      </x:c>
      <x:c r="I1885" s="18" t="n">
        <x:v>31.52</x:v>
      </x:c>
      <x:c r="J1885" t="n">
        <x:f>IF(A1885=A1884,IFERROR(IF(B1885=EDATE(B1884,1),C1884,0),0),0)</x:f>
        <x:v>0</x:v>
      </x:c>
      <x:c r="K1885" t="n">
        <x:f>IF(AND(J1885=1,C1885=0),1,0)</x:f>
        <x:v>0</x:v>
      </x:c>
      <x:c r="L1885" t="str">
        <x:f>IFERROR(INDEX(Customers!$C$2:$C$451,MATCH(A1885,Customers!$A$2:$A$451,0)),"Unknown")</x:f>
        <x:v>Premium</x:v>
      </x:c>
    </x:row>
    <x:row r="1886">
      <x:c r="A1886" t="n">
        <x:v>344</x:v>
      </x:c>
      <x:c r="B1886" s="16" t="n">
        <x:v>46204</x:v>
      </x:c>
      <x:c r="C1886" t="n">
        <x:v>0</x:v>
      </x:c>
      <x:c r="D1886" t="n">
        <x:v>0</x:v>
      </x:c>
      <x:c r="E1886" s="18" t="n">
        <x:v>0</x:v>
      </x:c>
      <x:c r="F1886" s="18" t="n">
        <x:v>0</x:v>
      </x:c>
      <x:c r="G1886" s="18" t="n">
        <x:v>0</x:v>
      </x:c>
      <x:c r="H1886" s="18" t="n">
        <x:v>0</x:v>
      </x:c>
      <x:c r="I1886" s="18" t="n">
        <x:v>0</x:v>
      </x:c>
      <x:c r="J1886" t="n">
        <x:f>IF(A1886=A1885,IFERROR(IF(B1886=EDATE(B1885,1),C1885,0),0),0)</x:f>
        <x:v>1</x:v>
      </x:c>
      <x:c r="K1886" t="n">
        <x:f>IF(AND(J1886=1,C1886=0),1,0)</x:f>
        <x:v>1</x:v>
      </x:c>
      <x:c r="L1886" t="str">
        <x:f>IFERROR(INDEX(Customers!$C$2:$C$451,MATCH(A1886,Customers!$A$2:$A$451,0)),"Unknown")</x:f>
        <x:v>Premium</x:v>
      </x:c>
    </x:row>
    <x:row r="1887">
      <x:c r="A1887" t="n">
        <x:v>344</x:v>
      </x:c>
      <x:c r="B1887" s="16" t="n">
        <x:v>46235</x:v>
      </x:c>
      <x:c r="C1887" t="n">
        <x:v>1</x:v>
      </x:c>
      <x:c r="D1887" t="n">
        <x:v>10</x:v>
      </x:c>
      <x:c r="E1887" s="18" t="n">
        <x:v>495</x:v>
      </x:c>
      <x:c r="F1887" s="18" t="n">
        <x:v>17</x:v>
      </x:c>
      <x:c r="G1887" s="18" t="n">
        <x:v>2.23</x:v>
      </x:c>
      <x:c r="H1887" s="18" t="n">
        <x:v>1.65</x:v>
      </x:c>
      <x:c r="I1887" s="18" t="n">
        <x:v>20.88</x:v>
      </x:c>
      <x:c r="J1887" t="n">
        <x:f>IF(A1887=A1886,IFERROR(IF(B1887=EDATE(B1886,1),C1886,0),0),0)</x:f>
        <x:v>0</x:v>
      </x:c>
      <x:c r="K1887" t="n">
        <x:f>IF(AND(J1887=1,C1887=0),1,0)</x:f>
        <x:v>0</x:v>
      </x:c>
      <x:c r="L1887" t="str">
        <x:f>IFERROR(INDEX(Customers!$C$2:$C$451,MATCH(A1887,Customers!$A$2:$A$451,0)),"Unknown")</x:f>
        <x:v>Premium</x:v>
      </x:c>
    </x:row>
    <x:row r="1888">
      <x:c r="A1888" t="n">
        <x:v>344</x:v>
      </x:c>
      <x:c r="B1888" s="16" t="n">
        <x:v>46266</x:v>
      </x:c>
      <x:c r="C1888" t="n">
        <x:v>1</x:v>
      </x:c>
      <x:c r="D1888" t="n">
        <x:v>30</x:v>
      </x:c>
      <x:c r="E1888" s="18" t="n">
        <x:v>1345.85</x:v>
      </x:c>
      <x:c r="F1888" s="18" t="n">
        <x:v>17</x:v>
      </x:c>
      <x:c r="G1888" s="18" t="n">
        <x:v>6.06</x:v>
      </x:c>
      <x:c r="H1888" s="18" t="n">
        <x:v>4.44</x:v>
      </x:c>
      <x:c r="I1888" s="18" t="n">
        <x:v>27.5</x:v>
      </x:c>
      <x:c r="J1888" t="n">
        <x:f>IF(A1888=A1887,IFERROR(IF(B1888=EDATE(B1887,1),C1887,0),0),0)</x:f>
        <x:v>1</x:v>
      </x:c>
      <x:c r="K1888" t="n">
        <x:f>IF(AND(J1888=1,C1888=0),1,0)</x:f>
        <x:v>0</x:v>
      </x:c>
      <x:c r="L1888" t="str">
        <x:f>IFERROR(INDEX(Customers!$C$2:$C$451,MATCH(A1888,Customers!$A$2:$A$451,0)),"Unknown")</x:f>
        <x:v>Premium</x:v>
      </x:c>
    </x:row>
    <x:row r="1889">
      <x:c r="A1889" t="n">
        <x:v>345</x:v>
      </x:c>
      <x:c r="B1889" s="16" t="n">
        <x:v>46143</x:v>
      </x:c>
      <x:c r="C1889" t="n">
        <x:v>1</x:v>
      </x:c>
      <x:c r="D1889" t="n">
        <x:v>13</x:v>
      </x:c>
      <x:c r="E1889" s="18" t="n">
        <x:v>1488.81</x:v>
      </x:c>
      <x:c r="F1889" s="18" t="n">
        <x:v>34</x:v>
      </x:c>
      <x:c r="G1889" s="18" t="n">
        <x:v>6.7</x:v>
      </x:c>
      <x:c r="H1889" s="18" t="n">
        <x:v>1.66</x:v>
      </x:c>
      <x:c r="I1889" s="18" t="n">
        <x:v>42.36</x:v>
      </x:c>
      <x:c r="J1889" t="n">
        <x:f>IF(A1889=A1888,IFERROR(IF(B1889=EDATE(B1888,1),C1888,0),0),0)</x:f>
        <x:v>0</x:v>
      </x:c>
      <x:c r="K1889" t="n">
        <x:f>IF(AND(J1889=1,C1889=0),1,0)</x:f>
        <x:v>0</x:v>
      </x:c>
      <x:c r="L1889" t="str">
        <x:f>IFERROR(INDEX(Customers!$C$2:$C$451,MATCH(A1889,Customers!$A$2:$A$451,0)),"Unknown")</x:f>
        <x:v>Metal</x:v>
      </x:c>
    </x:row>
    <x:row r="1890">
      <x:c r="A1890" t="n">
        <x:v>345</x:v>
      </x:c>
      <x:c r="B1890" s="16" t="n">
        <x:v>46174</x:v>
      </x:c>
      <x:c r="C1890" t="n">
        <x:v>1</x:v>
      </x:c>
      <x:c r="D1890" t="n">
        <x:v>27</x:v>
      </x:c>
      <x:c r="E1890" s="18" t="n">
        <x:v>3391.74</x:v>
      </x:c>
      <x:c r="F1890" s="18" t="n">
        <x:v>34</x:v>
      </x:c>
      <x:c r="G1890" s="18" t="n">
        <x:v>15.26</x:v>
      </x:c>
      <x:c r="H1890" s="18" t="n">
        <x:v>10.58</x:v>
      </x:c>
      <x:c r="I1890" s="18" t="n">
        <x:v>59.84</x:v>
      </x:c>
      <x:c r="J1890" t="n">
        <x:f>IF(A1890=A1889,IFERROR(IF(B1890=EDATE(B1889,1),C1889,0),0),0)</x:f>
        <x:v>1</x:v>
      </x:c>
      <x:c r="K1890" t="n">
        <x:f>IF(AND(J1890=1,C1890=0),1,0)</x:f>
        <x:v>0</x:v>
      </x:c>
      <x:c r="L1890" t="str">
        <x:f>IFERROR(INDEX(Customers!$C$2:$C$451,MATCH(A1890,Customers!$A$2:$A$451,0)),"Unknown")</x:f>
        <x:v>Metal</x:v>
      </x:c>
    </x:row>
    <x:row r="1891">
      <x:c r="A1891" t="n">
        <x:v>345</x:v>
      </x:c>
      <x:c r="B1891" s="16" t="n">
        <x:v>46204</x:v>
      </x:c>
      <x:c r="C1891" t="n">
        <x:v>1</x:v>
      </x:c>
      <x:c r="D1891" t="n">
        <x:v>25</x:v>
      </x:c>
      <x:c r="E1891" s="18" t="n">
        <x:v>2854.21</x:v>
      </x:c>
      <x:c r="F1891" s="18" t="n">
        <x:v>34</x:v>
      </x:c>
      <x:c r="G1891" s="18" t="n">
        <x:v>12.84</x:v>
      </x:c>
      <x:c r="H1891" s="18" t="n">
        <x:v>3.51</x:v>
      </x:c>
      <x:c r="I1891" s="18" t="n">
        <x:v>50.35</x:v>
      </x:c>
      <x:c r="J1891" t="n">
        <x:f>IF(A1891=A1890,IFERROR(IF(B1891=EDATE(B1890,1),C1890,0),0),0)</x:f>
        <x:v>1</x:v>
      </x:c>
      <x:c r="K1891" t="n">
        <x:f>IF(AND(J1891=1,C1891=0),1,0)</x:f>
        <x:v>0</x:v>
      </x:c>
      <x:c r="L1891" t="str">
        <x:f>IFERROR(INDEX(Customers!$C$2:$C$451,MATCH(A1891,Customers!$A$2:$A$451,0)),"Unknown")</x:f>
        <x:v>Metal</x:v>
      </x:c>
    </x:row>
    <x:row r="1892">
      <x:c r="A1892" t="n">
        <x:v>345</x:v>
      </x:c>
      <x:c r="B1892" s="16" t="n">
        <x:v>46235</x:v>
      </x:c>
      <x:c r="C1892" t="n">
        <x:v>1</x:v>
      </x:c>
      <x:c r="D1892" t="n">
        <x:v>25</x:v>
      </x:c>
      <x:c r="E1892" s="18" t="n">
        <x:v>974.87</x:v>
      </x:c>
      <x:c r="F1892" s="18" t="n">
        <x:v>34</x:v>
      </x:c>
      <x:c r="G1892" s="18" t="n">
        <x:v>4.39</x:v>
      </x:c>
      <x:c r="H1892" s="18" t="n">
        <x:v>1.51</x:v>
      </x:c>
      <x:c r="I1892" s="18" t="n">
        <x:v>39.9</x:v>
      </x:c>
      <x:c r="J1892" t="n">
        <x:f>IF(A1892=A1891,IFERROR(IF(B1892=EDATE(B1891,1),C1891,0),0),0)</x:f>
        <x:v>1</x:v>
      </x:c>
      <x:c r="K1892" t="n">
        <x:f>IF(AND(J1892=1,C1892=0),1,0)</x:f>
        <x:v>0</x:v>
      </x:c>
      <x:c r="L1892" t="str">
        <x:f>IFERROR(INDEX(Customers!$C$2:$C$451,MATCH(A1892,Customers!$A$2:$A$451,0)),"Unknown")</x:f>
        <x:v>Metal</x:v>
      </x:c>
    </x:row>
    <x:row r="1893">
      <x:c r="A1893" t="n">
        <x:v>345</x:v>
      </x:c>
      <x:c r="B1893" s="16" t="n">
        <x:v>46266</x:v>
      </x:c>
      <x:c r="C1893" t="n">
        <x:v>1</x:v>
      </x:c>
      <x:c r="D1893" t="n">
        <x:v>19</x:v>
      </x:c>
      <x:c r="E1893" s="18" t="n">
        <x:v>918.75</x:v>
      </x:c>
      <x:c r="F1893" s="18" t="n">
        <x:v>34</x:v>
      </x:c>
      <x:c r="G1893" s="18" t="n">
        <x:v>4.13</x:v>
      </x:c>
      <x:c r="H1893" s="18" t="n">
        <x:v>2.42</x:v>
      </x:c>
      <x:c r="I1893" s="18" t="n">
        <x:v>40.55</x:v>
      </x:c>
      <x:c r="J1893" t="n">
        <x:f>IF(A1893=A1892,IFERROR(IF(B1893=EDATE(B1892,1),C1892,0),0),0)</x:f>
        <x:v>1</x:v>
      </x:c>
      <x:c r="K1893" t="n">
        <x:f>IF(AND(J1893=1,C1893=0),1,0)</x:f>
        <x:v>0</x:v>
      </x:c>
      <x:c r="L1893" t="str">
        <x:f>IFERROR(INDEX(Customers!$C$2:$C$451,MATCH(A1893,Customers!$A$2:$A$451,0)),"Unknown")</x:f>
        <x:v>Metal</x:v>
      </x:c>
    </x:row>
    <x:row r="1894">
      <x:c r="A1894" t="n">
        <x:v>346</x:v>
      </x:c>
      <x:c r="B1894" s="16" t="n">
        <x:v>46143</x:v>
      </x:c>
      <x:c r="C1894" t="n">
        <x:v>0</x:v>
      </x:c>
      <x:c r="D1894" t="n">
        <x:v>0</x:v>
      </x:c>
      <x:c r="E1894" s="18" t="n">
        <x:v>0</x:v>
      </x:c>
      <x:c r="F1894" s="18" t="n">
        <x:v>0</x:v>
      </x:c>
      <x:c r="G1894" s="18" t="n">
        <x:v>0</x:v>
      </x:c>
      <x:c r="H1894" s="18" t="n">
        <x:v>0</x:v>
      </x:c>
      <x:c r="I1894" s="18" t="n">
        <x:v>0</x:v>
      </x:c>
      <x:c r="J1894" t="n">
        <x:f>IF(A1894=A1893,IFERROR(IF(B1894=EDATE(B1893,1),C1893,0),0),0)</x:f>
        <x:v>0</x:v>
      </x:c>
      <x:c r="K1894" t="n">
        <x:f>IF(AND(J1894=1,C1894=0),1,0)</x:f>
        <x:v>0</x:v>
      </x:c>
      <x:c r="L1894" t="str">
        <x:f>IFERROR(INDEX(Customers!$C$2:$C$451,MATCH(A1894,Customers!$A$2:$A$451,0)),"Unknown")</x:f>
        <x:v>Plus</x:v>
      </x:c>
    </x:row>
    <x:row r="1895">
      <x:c r="A1895" t="n">
        <x:v>346</x:v>
      </x:c>
      <x:c r="B1895" s="16" t="n">
        <x:v>46174</x:v>
      </x:c>
      <x:c r="C1895" t="n">
        <x:v>1</x:v>
      </x:c>
      <x:c r="D1895" t="n">
        <x:v>24</x:v>
      </x:c>
      <x:c r="E1895" s="18" t="n">
        <x:v>2454.31</x:v>
      </x:c>
      <x:c r="F1895" s="18" t="n">
        <x:v>8</x:v>
      </x:c>
      <x:c r="G1895" s="18" t="n">
        <x:v>11.04</x:v>
      </x:c>
      <x:c r="H1895" s="18" t="n">
        <x:v>8.23</x:v>
      </x:c>
      <x:c r="I1895" s="18" t="n">
        <x:v>27.27</x:v>
      </x:c>
      <x:c r="J1895" t="n">
        <x:f>IF(A1895=A1894,IFERROR(IF(B1895=EDATE(B1894,1),C1894,0),0),0)</x:f>
        <x:v>0</x:v>
      </x:c>
      <x:c r="K1895" t="n">
        <x:f>IF(AND(J1895=1,C1895=0),1,0)</x:f>
        <x:v>0</x:v>
      </x:c>
      <x:c r="L1895" t="str">
        <x:f>IFERROR(INDEX(Customers!$C$2:$C$451,MATCH(A1895,Customers!$A$2:$A$451,0)),"Unknown")</x:f>
        <x:v>Plus</x:v>
      </x:c>
    </x:row>
    <x:row r="1896">
      <x:c r="A1896" t="n">
        <x:v>346</x:v>
      </x:c>
      <x:c r="B1896" s="16" t="n">
        <x:v>46204</x:v>
      </x:c>
      <x:c r="C1896" t="n">
        <x:v>1</x:v>
      </x:c>
      <x:c r="D1896" t="n">
        <x:v>20</x:v>
      </x:c>
      <x:c r="E1896" s="18" t="n">
        <x:v>2286.27</x:v>
      </x:c>
      <x:c r="F1896" s="18" t="n">
        <x:v>8</x:v>
      </x:c>
      <x:c r="G1896" s="18" t="n">
        <x:v>10.29</x:v>
      </x:c>
      <x:c r="H1896" s="18" t="n">
        <x:v>7.29</x:v>
      </x:c>
      <x:c r="I1896" s="18" t="n">
        <x:v>25.58</x:v>
      </x:c>
      <x:c r="J1896" t="n">
        <x:f>IF(A1896=A1895,IFERROR(IF(B1896=EDATE(B1895,1),C1895,0),0),0)</x:f>
        <x:v>1</x:v>
      </x:c>
      <x:c r="K1896" t="n">
        <x:f>IF(AND(J1896=1,C1896=0),1,0)</x:f>
        <x:v>0</x:v>
      </x:c>
      <x:c r="L1896" t="str">
        <x:f>IFERROR(INDEX(Customers!$C$2:$C$451,MATCH(A1896,Customers!$A$2:$A$451,0)),"Unknown")</x:f>
        <x:v>Plus</x:v>
      </x:c>
    </x:row>
    <x:row r="1897">
      <x:c r="A1897" t="n">
        <x:v>346</x:v>
      </x:c>
      <x:c r="B1897" s="16" t="n">
        <x:v>46235</x:v>
      </x:c>
      <x:c r="C1897" t="n">
        <x:v>1</x:v>
      </x:c>
      <x:c r="D1897" t="n">
        <x:v>15</x:v>
      </x:c>
      <x:c r="E1897" s="18" t="n">
        <x:v>1841.11</x:v>
      </x:c>
      <x:c r="F1897" s="18" t="n">
        <x:v>8</x:v>
      </x:c>
      <x:c r="G1897" s="18" t="n">
        <x:v>8.28</x:v>
      </x:c>
      <x:c r="H1897" s="18" t="n">
        <x:v>2.49</x:v>
      </x:c>
      <x:c r="I1897" s="18" t="n">
        <x:v>18.77</x:v>
      </x:c>
      <x:c r="J1897" t="n">
        <x:f>IF(A1897=A1896,IFERROR(IF(B1897=EDATE(B1896,1),C1896,0),0),0)</x:f>
        <x:v>1</x:v>
      </x:c>
      <x:c r="K1897" t="n">
        <x:f>IF(AND(J1897=1,C1897=0),1,0)</x:f>
        <x:v>0</x:v>
      </x:c>
      <x:c r="L1897" t="str">
        <x:f>IFERROR(INDEX(Customers!$C$2:$C$451,MATCH(A1897,Customers!$A$2:$A$451,0)),"Unknown")</x:f>
        <x:v>Plus</x:v>
      </x:c>
    </x:row>
    <x:row r="1898">
      <x:c r="A1898" t="n">
        <x:v>346</x:v>
      </x:c>
      <x:c r="B1898" s="16" t="n">
        <x:v>46266</x:v>
      </x:c>
      <x:c r="C1898" t="n">
        <x:v>1</x:v>
      </x:c>
      <x:c r="D1898" t="n">
        <x:v>28</x:v>
      </x:c>
      <x:c r="E1898" s="18" t="n">
        <x:v>1398.41</x:v>
      </x:c>
      <x:c r="F1898" s="18" t="n">
        <x:v>8</x:v>
      </x:c>
      <x:c r="G1898" s="18" t="n">
        <x:v>6.29</x:v>
      </x:c>
      <x:c r="H1898" s="18" t="n">
        <x:v>2.83</x:v>
      </x:c>
      <x:c r="I1898" s="18" t="n">
        <x:v>17.12</x:v>
      </x:c>
      <x:c r="J1898" t="n">
        <x:f>IF(A1898=A1897,IFERROR(IF(B1898=EDATE(B1897,1),C1897,0),0),0)</x:f>
        <x:v>1</x:v>
      </x:c>
      <x:c r="K1898" t="n">
        <x:f>IF(AND(J1898=1,C1898=0),1,0)</x:f>
        <x:v>0</x:v>
      </x:c>
      <x:c r="L1898" t="str">
        <x:f>IFERROR(INDEX(Customers!$C$2:$C$451,MATCH(A1898,Customers!$A$2:$A$451,0)),"Unknown")</x:f>
        <x:v>Plus</x:v>
      </x:c>
    </x:row>
    <x:row r="1899">
      <x:c r="A1899" t="n">
        <x:v>347</x:v>
      </x:c>
      <x:c r="B1899" s="16" t="n">
        <x:v>46174</x:v>
      </x:c>
      <x:c r="C1899" t="n">
        <x:v>0</x:v>
      </x:c>
      <x:c r="D1899" t="n">
        <x:v>0</x:v>
      </x:c>
      <x:c r="E1899" s="18" t="n">
        <x:v>0</x:v>
      </x:c>
      <x:c r="F1899" s="18" t="n">
        <x:v>0</x:v>
      </x:c>
      <x:c r="G1899" s="18" t="n">
        <x:v>0</x:v>
      </x:c>
      <x:c r="H1899" s="18" t="n">
        <x:v>0</x:v>
      </x:c>
      <x:c r="I1899" s="18" t="n">
        <x:v>0</x:v>
      </x:c>
      <x:c r="J1899" t="n">
        <x:f>IF(A1899=A1898,IFERROR(IF(B1899=EDATE(B1898,1),C1898,0),0),0)</x:f>
        <x:v>0</x:v>
      </x:c>
      <x:c r="K1899" t="n">
        <x:f>IF(AND(J1899=1,C1899=0),1,0)</x:f>
        <x:v>0</x:v>
      </x:c>
      <x:c r="L1899" t="str">
        <x:f>IFERROR(INDEX(Customers!$C$2:$C$451,MATCH(A1899,Customers!$A$2:$A$451,0)),"Unknown")</x:f>
        <x:v>Plus</x:v>
      </x:c>
    </x:row>
    <x:row r="1900">
      <x:c r="A1900" t="n">
        <x:v>347</x:v>
      </x:c>
      <x:c r="B1900" s="16" t="n">
        <x:v>46204</x:v>
      </x:c>
      <x:c r="C1900" t="n">
        <x:v>1</x:v>
      </x:c>
      <x:c r="D1900" t="n">
        <x:v>25</x:v>
      </x:c>
      <x:c r="E1900" s="18" t="n">
        <x:v>877.27</x:v>
      </x:c>
      <x:c r="F1900" s="18" t="n">
        <x:v>8</x:v>
      </x:c>
      <x:c r="G1900" s="18" t="n">
        <x:v>3.95</x:v>
      </x:c>
      <x:c r="H1900" s="18" t="n">
        <x:v>0.86</x:v>
      </x:c>
      <x:c r="I1900" s="18" t="n">
        <x:v>12.81</x:v>
      </x:c>
      <x:c r="J1900" t="n">
        <x:f>IF(A1900=A1899,IFERROR(IF(B1900=EDATE(B1899,1),C1899,0),0),0)</x:f>
        <x:v>0</x:v>
      </x:c>
      <x:c r="K1900" t="n">
        <x:f>IF(AND(J1900=1,C1900=0),1,0)</x:f>
        <x:v>0</x:v>
      </x:c>
      <x:c r="L1900" t="str">
        <x:f>IFERROR(INDEX(Customers!$C$2:$C$451,MATCH(A1900,Customers!$A$2:$A$451,0)),"Unknown")</x:f>
        <x:v>Plus</x:v>
      </x:c>
    </x:row>
    <x:row r="1901">
      <x:c r="A1901" t="n">
        <x:v>347</x:v>
      </x:c>
      <x:c r="B1901" s="16" t="n">
        <x:v>46235</x:v>
      </x:c>
      <x:c r="C1901" t="n">
        <x:v>1</x:v>
      </x:c>
      <x:c r="D1901" t="n">
        <x:v>21</x:v>
      </x:c>
      <x:c r="E1901" s="18" t="n">
        <x:v>799.07</x:v>
      </x:c>
      <x:c r="F1901" s="18" t="n">
        <x:v>8</x:v>
      </x:c>
      <x:c r="G1901" s="18" t="n">
        <x:v>3.6</x:v>
      </x:c>
      <x:c r="H1901" s="18" t="n">
        <x:v>1.46</x:v>
      </x:c>
      <x:c r="I1901" s="18" t="n">
        <x:v>13.06</x:v>
      </x:c>
      <x:c r="J1901" t="n">
        <x:f>IF(A1901=A1900,IFERROR(IF(B1901=EDATE(B1900,1),C1900,0),0),0)</x:f>
        <x:v>1</x:v>
      </x:c>
      <x:c r="K1901" t="n">
        <x:f>IF(AND(J1901=1,C1901=0),1,0)</x:f>
        <x:v>0</x:v>
      </x:c>
      <x:c r="L1901" t="str">
        <x:f>IFERROR(INDEX(Customers!$C$2:$C$451,MATCH(A1901,Customers!$A$2:$A$451,0)),"Unknown")</x:f>
        <x:v>Plus</x:v>
      </x:c>
    </x:row>
    <x:row r="1902">
      <x:c r="A1902" t="n">
        <x:v>347</x:v>
      </x:c>
      <x:c r="B1902" s="16" t="n">
        <x:v>46266</x:v>
      </x:c>
      <x:c r="C1902" t="n">
        <x:v>0</x:v>
      </x:c>
      <x:c r="D1902" t="n">
        <x:v>0</x:v>
      </x:c>
      <x:c r="E1902" s="18" t="n">
        <x:v>0</x:v>
      </x:c>
      <x:c r="F1902" s="18" t="n">
        <x:v>0</x:v>
      </x:c>
      <x:c r="G1902" s="18" t="n">
        <x:v>0</x:v>
      </x:c>
      <x:c r="H1902" s="18" t="n">
        <x:v>0</x:v>
      </x:c>
      <x:c r="I1902" s="18" t="n">
        <x:v>0</x:v>
      </x:c>
      <x:c r="J1902" t="n">
        <x:f>IF(A1902=A1901,IFERROR(IF(B1902=EDATE(B1901,1),C1901,0),0),0)</x:f>
        <x:v>1</x:v>
      </x:c>
      <x:c r="K1902" t="n">
        <x:f>IF(AND(J1902=1,C1902=0),1,0)</x:f>
        <x:v>1</x:v>
      </x:c>
      <x:c r="L1902" t="str">
        <x:f>IFERROR(INDEX(Customers!$C$2:$C$451,MATCH(A1902,Customers!$A$2:$A$451,0)),"Unknown")</x:f>
        <x:v>Plus</x:v>
      </x:c>
    </x:row>
    <x:row r="1903">
      <x:c r="A1903" t="n">
        <x:v>348</x:v>
      </x:c>
      <x:c r="B1903" s="16" t="n">
        <x:v>46113</x:v>
      </x:c>
      <x:c r="C1903" t="n">
        <x:v>1</x:v>
      </x:c>
      <x:c r="D1903" t="n">
        <x:v>17</x:v>
      </x:c>
      <x:c r="E1903" s="18" t="n">
        <x:v>1447.92</x:v>
      </x:c>
      <x:c r="F1903" s="18" t="n">
        <x:v>8</x:v>
      </x:c>
      <x:c r="G1903" s="18" t="n">
        <x:v>6.52</x:v>
      </x:c>
      <x:c r="H1903" s="18" t="n">
        <x:v>5.41</x:v>
      </x:c>
      <x:c r="I1903" s="18" t="n">
        <x:v>19.93</x:v>
      </x:c>
      <x:c r="J1903" t="n">
        <x:f>IF(A1903=A1902,IFERROR(IF(B1903=EDATE(B1902,1),C1902,0),0),0)</x:f>
        <x:v>0</x:v>
      </x:c>
      <x:c r="K1903" t="n">
        <x:f>IF(AND(J1903=1,C1903=0),1,0)</x:f>
        <x:v>0</x:v>
      </x:c>
      <x:c r="L1903" t="str">
        <x:f>IFERROR(INDEX(Customers!$C$2:$C$451,MATCH(A1903,Customers!$A$2:$A$451,0)),"Unknown")</x:f>
        <x:v>Plus</x:v>
      </x:c>
    </x:row>
    <x:row r="1904">
      <x:c r="A1904" t="n">
        <x:v>348</x:v>
      </x:c>
      <x:c r="B1904" s="16" t="n">
        <x:v>46143</x:v>
      </x:c>
      <x:c r="C1904" t="n">
        <x:v>1</x:v>
      </x:c>
      <x:c r="D1904" t="n">
        <x:v>11</x:v>
      </x:c>
      <x:c r="E1904" s="18" t="n">
        <x:v>1194.1</x:v>
      </x:c>
      <x:c r="F1904" s="18" t="n">
        <x:v>8</x:v>
      </x:c>
      <x:c r="G1904" s="18" t="n">
        <x:v>5.37</x:v>
      </x:c>
      <x:c r="H1904" s="18" t="n">
        <x:v>4.25</x:v>
      </x:c>
      <x:c r="I1904" s="18" t="n">
        <x:v>17.62</x:v>
      </x:c>
      <x:c r="J1904" t="n">
        <x:f>IF(A1904=A1903,IFERROR(IF(B1904=EDATE(B1903,1),C1903,0),0),0)</x:f>
        <x:v>1</x:v>
      </x:c>
      <x:c r="K1904" t="n">
        <x:f>IF(AND(J1904=1,C1904=0),1,0)</x:f>
        <x:v>0</x:v>
      </x:c>
      <x:c r="L1904" t="str">
        <x:f>IFERROR(INDEX(Customers!$C$2:$C$451,MATCH(A1904,Customers!$A$2:$A$451,0)),"Unknown")</x:f>
        <x:v>Plus</x:v>
      </x:c>
    </x:row>
    <x:row r="1905">
      <x:c r="A1905" t="n">
        <x:v>348</x:v>
      </x:c>
      <x:c r="B1905" s="16" t="n">
        <x:v>46174</x:v>
      </x:c>
      <x:c r="C1905" t="n">
        <x:v>1</x:v>
      </x:c>
      <x:c r="D1905" t="n">
        <x:v>29</x:v>
      </x:c>
      <x:c r="E1905" s="18" t="n">
        <x:v>2885.36</x:v>
      </x:c>
      <x:c r="F1905" s="18" t="n">
        <x:v>8</x:v>
      </x:c>
      <x:c r="G1905" s="18" t="n">
        <x:v>12.98</x:v>
      </x:c>
      <x:c r="H1905" s="18" t="n">
        <x:v>10.76</x:v>
      </x:c>
      <x:c r="I1905" s="18" t="n">
        <x:v>31.74</x:v>
      </x:c>
      <x:c r="J1905" t="n">
        <x:f>IF(A1905=A1904,IFERROR(IF(B1905=EDATE(B1904,1),C1904,0),0),0)</x:f>
        <x:v>1</x:v>
      </x:c>
      <x:c r="K1905" t="n">
        <x:f>IF(AND(J1905=1,C1905=0),1,0)</x:f>
        <x:v>0</x:v>
      </x:c>
      <x:c r="L1905" t="str">
        <x:f>IFERROR(INDEX(Customers!$C$2:$C$451,MATCH(A1905,Customers!$A$2:$A$451,0)),"Unknown")</x:f>
        <x:v>Plus</x:v>
      </x:c>
    </x:row>
    <x:row r="1906">
      <x:c r="A1906" t="n">
        <x:v>348</x:v>
      </x:c>
      <x:c r="B1906" s="16" t="n">
        <x:v>46204</x:v>
      </x:c>
      <x:c r="C1906" t="n">
        <x:v>1</x:v>
      </x:c>
      <x:c r="D1906" t="n">
        <x:v>11</x:v>
      </x:c>
      <x:c r="E1906" s="18" t="n">
        <x:v>1517.09</x:v>
      </x:c>
      <x:c r="F1906" s="18" t="n">
        <x:v>8</x:v>
      </x:c>
      <x:c r="G1906" s="18" t="n">
        <x:v>6.83</x:v>
      </x:c>
      <x:c r="H1906" s="18" t="n">
        <x:v>3.97</x:v>
      </x:c>
      <x:c r="I1906" s="18" t="n">
        <x:v>18.8</x:v>
      </x:c>
      <x:c r="J1906" t="n">
        <x:f>IF(A1906=A1905,IFERROR(IF(B1906=EDATE(B1905,1),C1905,0),0),0)</x:f>
        <x:v>1</x:v>
      </x:c>
      <x:c r="K1906" t="n">
        <x:f>IF(AND(J1906=1,C1906=0),1,0)</x:f>
        <x:v>0</x:v>
      </x:c>
      <x:c r="L1906" t="str">
        <x:f>IFERROR(INDEX(Customers!$C$2:$C$451,MATCH(A1906,Customers!$A$2:$A$451,0)),"Unknown")</x:f>
        <x:v>Plus</x:v>
      </x:c>
    </x:row>
    <x:row r="1907">
      <x:c r="A1907" t="n">
        <x:v>348</x:v>
      </x:c>
      <x:c r="B1907" s="16" t="n">
        <x:v>46235</x:v>
      </x:c>
      <x:c r="C1907" t="n">
        <x:v>0</x:v>
      </x:c>
      <x:c r="D1907" t="n">
        <x:v>0</x:v>
      </x:c>
      <x:c r="E1907" s="18" t="n">
        <x:v>0</x:v>
      </x:c>
      <x:c r="F1907" s="18" t="n">
        <x:v>0</x:v>
      </x:c>
      <x:c r="G1907" s="18" t="n">
        <x:v>0</x:v>
      </x:c>
      <x:c r="H1907" s="18" t="n">
        <x:v>0</x:v>
      </x:c>
      <x:c r="I1907" s="18" t="n">
        <x:v>0</x:v>
      </x:c>
      <x:c r="J1907" t="n">
        <x:f>IF(A1907=A1906,IFERROR(IF(B1907=EDATE(B1906,1),C1906,0),0),0)</x:f>
        <x:v>1</x:v>
      </x:c>
      <x:c r="K1907" t="n">
        <x:f>IF(AND(J1907=1,C1907=0),1,0)</x:f>
        <x:v>1</x:v>
      </x:c>
      <x:c r="L1907" t="str">
        <x:f>IFERROR(INDEX(Customers!$C$2:$C$451,MATCH(A1907,Customers!$A$2:$A$451,0)),"Unknown")</x:f>
        <x:v>Plus</x:v>
      </x:c>
    </x:row>
    <x:row r="1908">
      <x:c r="A1908" t="n">
        <x:v>348</x:v>
      </x:c>
      <x:c r="B1908" s="16" t="n">
        <x:v>46266</x:v>
      </x:c>
      <x:c r="C1908" t="n">
        <x:v>0</x:v>
      </x:c>
      <x:c r="D1908" t="n">
        <x:v>0</x:v>
      </x:c>
      <x:c r="E1908" s="18" t="n">
        <x:v>0</x:v>
      </x:c>
      <x:c r="F1908" s="18" t="n">
        <x:v>0</x:v>
      </x:c>
      <x:c r="G1908" s="18" t="n">
        <x:v>0</x:v>
      </x:c>
      <x:c r="H1908" s="18" t="n">
        <x:v>0</x:v>
      </x:c>
      <x:c r="I1908" s="18" t="n">
        <x:v>0</x:v>
      </x:c>
      <x:c r="J1908" t="n">
        <x:f>IF(A1908=A1907,IFERROR(IF(B1908=EDATE(B1907,1),C1907,0),0),0)</x:f>
        <x:v>0</x:v>
      </x:c>
      <x:c r="K1908" t="n">
        <x:f>IF(AND(J1908=1,C1908=0),1,0)</x:f>
        <x:v>0</x:v>
      </x:c>
      <x:c r="L1908" t="str">
        <x:f>IFERROR(INDEX(Customers!$C$2:$C$451,MATCH(A1908,Customers!$A$2:$A$451,0)),"Unknown")</x:f>
        <x:v>Plus</x:v>
      </x:c>
    </x:row>
    <x:row r="1909">
      <x:c r="A1909" t="n">
        <x:v>349</x:v>
      </x:c>
      <x:c r="B1909" s="16" t="n">
        <x:v>46113</x:v>
      </x:c>
      <x:c r="C1909" t="n">
        <x:v>1</x:v>
      </x:c>
      <x:c r="D1909" t="n">
        <x:v>11</x:v>
      </x:c>
      <x:c r="E1909" s="18" t="n">
        <x:v>1406.05</x:v>
      </x:c>
      <x:c r="F1909" s="18" t="n">
        <x:v>34</x:v>
      </x:c>
      <x:c r="G1909" s="18" t="n">
        <x:v>6.33</x:v>
      </x:c>
      <x:c r="H1909" s="18" t="n">
        <x:v>2.43</x:v>
      </x:c>
      <x:c r="I1909" s="18" t="n">
        <x:v>42.76</x:v>
      </x:c>
      <x:c r="J1909" t="n">
        <x:f>IF(A1909=A1908,IFERROR(IF(B1909=EDATE(B1908,1),C1908,0),0),0)</x:f>
        <x:v>0</x:v>
      </x:c>
      <x:c r="K1909" t="n">
        <x:f>IF(AND(J1909=1,C1909=0),1,0)</x:f>
        <x:v>0</x:v>
      </x:c>
      <x:c r="L1909" t="str">
        <x:f>IFERROR(INDEX(Customers!$C$2:$C$451,MATCH(A1909,Customers!$A$2:$A$451,0)),"Unknown")</x:f>
        <x:v>Metal</x:v>
      </x:c>
    </x:row>
    <x:row r="1910">
      <x:c r="A1910" t="n">
        <x:v>349</x:v>
      </x:c>
      <x:c r="B1910" s="16" t="n">
        <x:v>46143</x:v>
      </x:c>
      <x:c r="C1910" t="n">
        <x:v>1</x:v>
      </x:c>
      <x:c r="D1910" t="n">
        <x:v>36</x:v>
      </x:c>
      <x:c r="E1910" s="18" t="n">
        <x:v>4141.12</x:v>
      </x:c>
      <x:c r="F1910" s="18" t="n">
        <x:v>34</x:v>
      </x:c>
      <x:c r="G1910" s="18" t="n">
        <x:v>18.64</x:v>
      </x:c>
      <x:c r="H1910" s="18" t="n">
        <x:v>5.4</x:v>
      </x:c>
      <x:c r="I1910" s="18" t="n">
        <x:v>58.04</x:v>
      </x:c>
      <x:c r="J1910" t="n">
        <x:f>IF(A1910=A1909,IFERROR(IF(B1910=EDATE(B1909,1),C1909,0),0),0)</x:f>
        <x:v>1</x:v>
      </x:c>
      <x:c r="K1910" t="n">
        <x:f>IF(AND(J1910=1,C1910=0),1,0)</x:f>
        <x:v>0</x:v>
      </x:c>
      <x:c r="L1910" t="str">
        <x:f>IFERROR(INDEX(Customers!$C$2:$C$451,MATCH(A1910,Customers!$A$2:$A$451,0)),"Unknown")</x:f>
        <x:v>Metal</x:v>
      </x:c>
    </x:row>
    <x:row r="1911">
      <x:c r="A1911" t="n">
        <x:v>349</x:v>
      </x:c>
      <x:c r="B1911" s="16" t="n">
        <x:v>46174</x:v>
      </x:c>
      <x:c r="C1911" t="n">
        <x:v>1</x:v>
      </x:c>
      <x:c r="D1911" t="n">
        <x:v>34</x:v>
      </x:c>
      <x:c r="E1911" s="18" t="n">
        <x:v>2721.6</x:v>
      </x:c>
      <x:c r="F1911" s="18" t="n">
        <x:v>34</x:v>
      </x:c>
      <x:c r="G1911" s="18" t="n">
        <x:v>12.25</x:v>
      </x:c>
      <x:c r="H1911" s="18" t="n">
        <x:v>3.97</x:v>
      </x:c>
      <x:c r="I1911" s="18" t="n">
        <x:v>50.22</x:v>
      </x:c>
      <x:c r="J1911" t="n">
        <x:f>IF(A1911=A1910,IFERROR(IF(B1911=EDATE(B1910,1),C1910,0),0),0)</x:f>
        <x:v>1</x:v>
      </x:c>
      <x:c r="K1911" t="n">
        <x:f>IF(AND(J1911=1,C1911=0),1,0)</x:f>
        <x:v>0</x:v>
      </x:c>
      <x:c r="L1911" t="str">
        <x:f>IFERROR(INDEX(Customers!$C$2:$C$451,MATCH(A1911,Customers!$A$2:$A$451,0)),"Unknown")</x:f>
        <x:v>Metal</x:v>
      </x:c>
    </x:row>
    <x:row r="1912">
      <x:c r="A1912" t="n">
        <x:v>349</x:v>
      </x:c>
      <x:c r="B1912" s="16" t="n">
        <x:v>46204</x:v>
      </x:c>
      <x:c r="C1912" t="n">
        <x:v>1</x:v>
      </x:c>
      <x:c r="D1912" t="n">
        <x:v>36</x:v>
      </x:c>
      <x:c r="E1912" s="18" t="n">
        <x:v>3933.74</x:v>
      </x:c>
      <x:c r="F1912" s="18" t="n">
        <x:v>34</x:v>
      </x:c>
      <x:c r="G1912" s="18" t="n">
        <x:v>17.7</x:v>
      </x:c>
      <x:c r="H1912" s="18" t="n">
        <x:v>7.09</x:v>
      </x:c>
      <x:c r="I1912" s="18" t="n">
        <x:v>58.79</x:v>
      </x:c>
      <x:c r="J1912" t="n">
        <x:f>IF(A1912=A1911,IFERROR(IF(B1912=EDATE(B1911,1),C1911,0),0),0)</x:f>
        <x:v>1</x:v>
      </x:c>
      <x:c r="K1912" t="n">
        <x:f>IF(AND(J1912=1,C1912=0),1,0)</x:f>
        <x:v>0</x:v>
      </x:c>
      <x:c r="L1912" t="str">
        <x:f>IFERROR(INDEX(Customers!$C$2:$C$451,MATCH(A1912,Customers!$A$2:$A$451,0)),"Unknown")</x:f>
        <x:v>Metal</x:v>
      </x:c>
    </x:row>
    <x:row r="1913">
      <x:c r="A1913" t="n">
        <x:v>349</x:v>
      </x:c>
      <x:c r="B1913" s="16" t="n">
        <x:v>46235</x:v>
      </x:c>
      <x:c r="C1913" t="n">
        <x:v>1</x:v>
      </x:c>
      <x:c r="D1913" t="n">
        <x:v>12</x:v>
      </x:c>
      <x:c r="E1913" s="18" t="n">
        <x:v>1376.38</x:v>
      </x:c>
      <x:c r="F1913" s="18" t="n">
        <x:v>34</x:v>
      </x:c>
      <x:c r="G1913" s="18" t="n">
        <x:v>6.19</x:v>
      </x:c>
      <x:c r="H1913" s="18" t="n">
        <x:v>3.89</x:v>
      </x:c>
      <x:c r="I1913" s="18" t="n">
        <x:v>44.08</x:v>
      </x:c>
      <x:c r="J1913" t="n">
        <x:f>IF(A1913=A1912,IFERROR(IF(B1913=EDATE(B1912,1),C1912,0),0),0)</x:f>
        <x:v>1</x:v>
      </x:c>
      <x:c r="K1913" t="n">
        <x:f>IF(AND(J1913=1,C1913=0),1,0)</x:f>
        <x:v>0</x:v>
      </x:c>
      <x:c r="L1913" t="str">
        <x:f>IFERROR(INDEX(Customers!$C$2:$C$451,MATCH(A1913,Customers!$A$2:$A$451,0)),"Unknown")</x:f>
        <x:v>Metal</x:v>
      </x:c>
    </x:row>
    <x:row r="1914">
      <x:c r="A1914" t="n">
        <x:v>349</x:v>
      </x:c>
      <x:c r="B1914" s="16" t="n">
        <x:v>46266</x:v>
      </x:c>
      <x:c r="C1914" t="n">
        <x:v>0</x:v>
      </x:c>
      <x:c r="D1914" t="n">
        <x:v>0</x:v>
      </x:c>
      <x:c r="E1914" s="18" t="n">
        <x:v>0</x:v>
      </x:c>
      <x:c r="F1914" s="18" t="n">
        <x:v>0</x:v>
      </x:c>
      <x:c r="G1914" s="18" t="n">
        <x:v>0</x:v>
      </x:c>
      <x:c r="H1914" s="18" t="n">
        <x:v>0</x:v>
      </x:c>
      <x:c r="I1914" s="18" t="n">
        <x:v>0</x:v>
      </x:c>
      <x:c r="J1914" t="n">
        <x:f>IF(A1914=A1913,IFERROR(IF(B1914=EDATE(B1913,1),C1913,0),0),0)</x:f>
        <x:v>1</x:v>
      </x:c>
      <x:c r="K1914" t="n">
        <x:f>IF(AND(J1914=1,C1914=0),1,0)</x:f>
        <x:v>1</x:v>
      </x:c>
      <x:c r="L1914" t="str">
        <x:f>IFERROR(INDEX(Customers!$C$2:$C$451,MATCH(A1914,Customers!$A$2:$A$451,0)),"Unknown")</x:f>
        <x:v>Metal</x:v>
      </x:c>
    </x:row>
    <x:row r="1915">
      <x:c r="A1915" t="n">
        <x:v>350</x:v>
      </x:c>
      <x:c r="B1915" s="16" t="n">
        <x:v>46113</x:v>
      </x:c>
      <x:c r="C1915" t="n">
        <x:v>1</x:v>
      </x:c>
      <x:c r="D1915" t="n">
        <x:v>12</x:v>
      </x:c>
      <x:c r="E1915" s="18" t="n">
        <x:v>816.37</x:v>
      </x:c>
      <x:c r="F1915" s="18" t="n">
        <x:v>0</x:v>
      </x:c>
      <x:c r="G1915" s="18" t="n">
        <x:v>3.67</x:v>
      </x:c>
      <x:c r="H1915" s="18" t="n">
        <x:v>1.93</x:v>
      </x:c>
      <x:c r="I1915" s="18" t="n">
        <x:v>5.6</x:v>
      </x:c>
      <x:c r="J1915" t="n">
        <x:f>IF(A1915=A1914,IFERROR(IF(B1915=EDATE(B1914,1),C1914,0),0),0)</x:f>
        <x:v>0</x:v>
      </x:c>
      <x:c r="K1915" t="n">
        <x:f>IF(AND(J1915=1,C1915=0),1,0)</x:f>
        <x:v>0</x:v>
      </x:c>
      <x:c r="L1915" t="str">
        <x:f>IFERROR(INDEX(Customers!$C$2:$C$451,MATCH(A1915,Customers!$A$2:$A$451,0)),"Unknown")</x:f>
        <x:v>Standard</x:v>
      </x:c>
    </x:row>
    <x:row r="1916">
      <x:c r="A1916" t="n">
        <x:v>350</x:v>
      </x:c>
      <x:c r="B1916" s="16" t="n">
        <x:v>46143</x:v>
      </x:c>
      <x:c r="C1916" t="n">
        <x:v>1</x:v>
      </x:c>
      <x:c r="D1916" t="n">
        <x:v>20</x:v>
      </x:c>
      <x:c r="E1916" s="18" t="n">
        <x:v>1117.43</x:v>
      </x:c>
      <x:c r="F1916" s="18" t="n">
        <x:v>0</x:v>
      </x:c>
      <x:c r="G1916" s="18" t="n">
        <x:v>5.03</x:v>
      </x:c>
      <x:c r="H1916" s="18" t="n">
        <x:v>3.34</x:v>
      </x:c>
      <x:c r="I1916" s="18" t="n">
        <x:v>8.37</x:v>
      </x:c>
      <x:c r="J1916" t="n">
        <x:f>IF(A1916=A1915,IFERROR(IF(B1916=EDATE(B1915,1),C1915,0),0),0)</x:f>
        <x:v>1</x:v>
      </x:c>
      <x:c r="K1916" t="n">
        <x:f>IF(AND(J1916=1,C1916=0),1,0)</x:f>
        <x:v>0</x:v>
      </x:c>
      <x:c r="L1916" t="str">
        <x:f>IFERROR(INDEX(Customers!$C$2:$C$451,MATCH(A1916,Customers!$A$2:$A$451,0)),"Unknown")</x:f>
        <x:v>Standard</x:v>
      </x:c>
    </x:row>
    <x:row r="1917">
      <x:c r="A1917" t="n">
        <x:v>350</x:v>
      </x:c>
      <x:c r="B1917" s="16" t="n">
        <x:v>46174</x:v>
      </x:c>
      <x:c r="C1917" t="n">
        <x:v>1</x:v>
      </x:c>
      <x:c r="D1917" t="n">
        <x:v>10</x:v>
      </x:c>
      <x:c r="E1917" s="18" t="n">
        <x:v>1026.35</x:v>
      </x:c>
      <x:c r="F1917" s="18" t="n">
        <x:v>0</x:v>
      </x:c>
      <x:c r="G1917" s="18" t="n">
        <x:v>4.62</x:v>
      </x:c>
      <x:c r="H1917" s="18" t="n">
        <x:v>3.88</x:v>
      </x:c>
      <x:c r="I1917" s="18" t="n">
        <x:v>8.5</x:v>
      </x:c>
      <x:c r="J1917" t="n">
        <x:f>IF(A1917=A1916,IFERROR(IF(B1917=EDATE(B1916,1),C1916,0),0),0)</x:f>
        <x:v>1</x:v>
      </x:c>
      <x:c r="K1917" t="n">
        <x:f>IF(AND(J1917=1,C1917=0),1,0)</x:f>
        <x:v>0</x:v>
      </x:c>
      <x:c r="L1917" t="str">
        <x:f>IFERROR(INDEX(Customers!$C$2:$C$451,MATCH(A1917,Customers!$A$2:$A$451,0)),"Unknown")</x:f>
        <x:v>Standard</x:v>
      </x:c>
    </x:row>
    <x:row r="1918">
      <x:c r="A1918" t="n">
        <x:v>350</x:v>
      </x:c>
      <x:c r="B1918" s="16" t="n">
        <x:v>46204</x:v>
      </x:c>
      <x:c r="C1918" t="n">
        <x:v>1</x:v>
      </x:c>
      <x:c r="D1918" t="n">
        <x:v>4</x:v>
      </x:c>
      <x:c r="E1918" s="18" t="n">
        <x:v>501.97</x:v>
      </x:c>
      <x:c r="F1918" s="18" t="n">
        <x:v>0</x:v>
      </x:c>
      <x:c r="G1918" s="18" t="n">
        <x:v>2.26</x:v>
      </x:c>
      <x:c r="H1918" s="18" t="n">
        <x:v>0.79</x:v>
      </x:c>
      <x:c r="I1918" s="18" t="n">
        <x:v>3.05</x:v>
      </x:c>
      <x:c r="J1918" t="n">
        <x:f>IF(A1918=A1917,IFERROR(IF(B1918=EDATE(B1917,1),C1917,0),0),0)</x:f>
        <x:v>1</x:v>
      </x:c>
      <x:c r="K1918" t="n">
        <x:f>IF(AND(J1918=1,C1918=0),1,0)</x:f>
        <x:v>0</x:v>
      </x:c>
      <x:c r="L1918" t="str">
        <x:f>IFERROR(INDEX(Customers!$C$2:$C$451,MATCH(A1918,Customers!$A$2:$A$451,0)),"Unknown")</x:f>
        <x:v>Standard</x:v>
      </x:c>
    </x:row>
    <x:row r="1919">
      <x:c r="A1919" t="n">
        <x:v>350</x:v>
      </x:c>
      <x:c r="B1919" s="16" t="n">
        <x:v>46235</x:v>
      </x:c>
      <x:c r="C1919" t="n">
        <x:v>1</x:v>
      </x:c>
      <x:c r="D1919" t="n">
        <x:v>35</x:v>
      </x:c>
      <x:c r="E1919" s="18" t="n">
        <x:v>1627.75</x:v>
      </x:c>
      <x:c r="F1919" s="18" t="n">
        <x:v>0</x:v>
      </x:c>
      <x:c r="G1919" s="18" t="n">
        <x:v>7.32</x:v>
      </x:c>
      <x:c r="H1919" s="18" t="n">
        <x:v>5.27</x:v>
      </x:c>
      <x:c r="I1919" s="18" t="n">
        <x:v>12.59</x:v>
      </x:c>
      <x:c r="J1919" t="n">
        <x:f>IF(A1919=A1918,IFERROR(IF(B1919=EDATE(B1918,1),C1918,0),0),0)</x:f>
        <x:v>1</x:v>
      </x:c>
      <x:c r="K1919" t="n">
        <x:f>IF(AND(J1919=1,C1919=0),1,0)</x:f>
        <x:v>0</x:v>
      </x:c>
      <x:c r="L1919" t="str">
        <x:f>IFERROR(INDEX(Customers!$C$2:$C$451,MATCH(A1919,Customers!$A$2:$A$451,0)),"Unknown")</x:f>
        <x:v>Standard</x:v>
      </x:c>
    </x:row>
    <x:row r="1920">
      <x:c r="A1920" t="n">
        <x:v>350</x:v>
      </x:c>
      <x:c r="B1920" s="16" t="n">
        <x:v>46266</x:v>
      </x:c>
      <x:c r="C1920" t="n">
        <x:v>1</x:v>
      </x:c>
      <x:c r="D1920" t="n">
        <x:v>10</x:v>
      </x:c>
      <x:c r="E1920" s="18" t="n">
        <x:v>883.47</x:v>
      </x:c>
      <x:c r="F1920" s="18" t="n">
        <x:v>0</x:v>
      </x:c>
      <x:c r="G1920" s="18" t="n">
        <x:v>3.98</x:v>
      </x:c>
      <x:c r="H1920" s="18" t="n">
        <x:v>2.09</x:v>
      </x:c>
      <x:c r="I1920" s="18" t="n">
        <x:v>6.07</x:v>
      </x:c>
      <x:c r="J1920" t="n">
        <x:f>IF(A1920=A1919,IFERROR(IF(B1920=EDATE(B1919,1),C1919,0),0),0)</x:f>
        <x:v>1</x:v>
      </x:c>
      <x:c r="K1920" t="n">
        <x:f>IF(AND(J1920=1,C1920=0),1,0)</x:f>
        <x:v>0</x:v>
      </x:c>
      <x:c r="L1920" t="str">
        <x:f>IFERROR(INDEX(Customers!$C$2:$C$451,MATCH(A1920,Customers!$A$2:$A$451,0)),"Unknown")</x:f>
        <x:v>Standard</x:v>
      </x:c>
    </x:row>
    <x:row r="1921">
      <x:c r="A1921" t="n">
        <x:v>351</x:v>
      </x:c>
      <x:c r="B1921" s="16" t="n">
        <x:v>46113</x:v>
      </x:c>
      <x:c r="C1921" t="n">
        <x:v>1</x:v>
      </x:c>
      <x:c r="D1921" t="n">
        <x:v>34</x:v>
      </x:c>
      <x:c r="E1921" s="18" t="n">
        <x:v>1799.96</x:v>
      </x:c>
      <x:c r="F1921" s="18" t="n">
        <x:v>0</x:v>
      </x:c>
      <x:c r="G1921" s="18" t="n">
        <x:v>8.1</x:v>
      </x:c>
      <x:c r="H1921" s="18" t="n">
        <x:v>3.1</x:v>
      </x:c>
      <x:c r="I1921" s="18" t="n">
        <x:v>11.2</x:v>
      </x:c>
      <x:c r="J1921" t="n">
        <x:f>IF(A1921=A1920,IFERROR(IF(B1921=EDATE(B1920,1),C1920,0),0),0)</x:f>
        <x:v>0</x:v>
      </x:c>
      <x:c r="K1921" t="n">
        <x:f>IF(AND(J1921=1,C1921=0),1,0)</x:f>
        <x:v>0</x:v>
      </x:c>
      <x:c r="L1921" t="str">
        <x:f>IFERROR(INDEX(Customers!$C$2:$C$451,MATCH(A1921,Customers!$A$2:$A$451,0)),"Unknown")</x:f>
        <x:v>Standard</x:v>
      </x:c>
    </x:row>
    <x:row r="1922">
      <x:c r="A1922" t="n">
        <x:v>351</x:v>
      </x:c>
      <x:c r="B1922" s="16" t="n">
        <x:v>46143</x:v>
      </x:c>
      <x:c r="C1922" t="n">
        <x:v>0</x:v>
      </x:c>
      <x:c r="D1922" t="n">
        <x:v>0</x:v>
      </x:c>
      <x:c r="E1922" s="18" t="n">
        <x:v>0</x:v>
      </x:c>
      <x:c r="F1922" s="18" t="n">
        <x:v>0</x:v>
      </x:c>
      <x:c r="G1922" s="18" t="n">
        <x:v>0</x:v>
      </x:c>
      <x:c r="H1922" s="18" t="n">
        <x:v>0</x:v>
      </x:c>
      <x:c r="I1922" s="18" t="n">
        <x:v>0</x:v>
      </x:c>
      <x:c r="J1922" t="n">
        <x:f>IF(A1922=A1921,IFERROR(IF(B1922=EDATE(B1921,1),C1921,0),0),0)</x:f>
        <x:v>1</x:v>
      </x:c>
      <x:c r="K1922" t="n">
        <x:f>IF(AND(J1922=1,C1922=0),1,0)</x:f>
        <x:v>1</x:v>
      </x:c>
      <x:c r="L1922" t="str">
        <x:f>IFERROR(INDEX(Customers!$C$2:$C$451,MATCH(A1922,Customers!$A$2:$A$451,0)),"Unknown")</x:f>
        <x:v>Standard</x:v>
      </x:c>
    </x:row>
    <x:row r="1923">
      <x:c r="A1923" t="n">
        <x:v>351</x:v>
      </x:c>
      <x:c r="B1923" s="16" t="n">
        <x:v>46174</x:v>
      </x:c>
      <x:c r="C1923" t="n">
        <x:v>1</x:v>
      </x:c>
      <x:c r="D1923" t="n">
        <x:v>19</x:v>
      </x:c>
      <x:c r="E1923" s="18" t="n">
        <x:v>2617.88</x:v>
      </x:c>
      <x:c r="F1923" s="18" t="n">
        <x:v>0</x:v>
      </x:c>
      <x:c r="G1923" s="18" t="n">
        <x:v>11.78</x:v>
      </x:c>
      <x:c r="H1923" s="18" t="n">
        <x:v>9.61</x:v>
      </x:c>
      <x:c r="I1923" s="18" t="n">
        <x:v>21.39</x:v>
      </x:c>
      <x:c r="J1923" t="n">
        <x:f>IF(A1923=A1922,IFERROR(IF(B1923=EDATE(B1922,1),C1922,0),0),0)</x:f>
        <x:v>0</x:v>
      </x:c>
      <x:c r="K1923" t="n">
        <x:f>IF(AND(J1923=1,C1923=0),1,0)</x:f>
        <x:v>0</x:v>
      </x:c>
      <x:c r="L1923" t="str">
        <x:f>IFERROR(INDEX(Customers!$C$2:$C$451,MATCH(A1923,Customers!$A$2:$A$451,0)),"Unknown")</x:f>
        <x:v>Standard</x:v>
      </x:c>
    </x:row>
    <x:row r="1924">
      <x:c r="A1924" t="n">
        <x:v>351</x:v>
      </x:c>
      <x:c r="B1924" s="16" t="n">
        <x:v>46204</x:v>
      </x:c>
      <x:c r="C1924" t="n">
        <x:v>1</x:v>
      </x:c>
      <x:c r="D1924" t="n">
        <x:v>9</x:v>
      </x:c>
      <x:c r="E1924" s="18" t="n">
        <x:v>1173.36</x:v>
      </x:c>
      <x:c r="F1924" s="18" t="n">
        <x:v>0</x:v>
      </x:c>
      <x:c r="G1924" s="18" t="n">
        <x:v>5.28</x:v>
      </x:c>
      <x:c r="H1924" s="18" t="n">
        <x:v>3.21</x:v>
      </x:c>
      <x:c r="I1924" s="18" t="n">
        <x:v>8.49</x:v>
      </x:c>
      <x:c r="J1924" t="n">
        <x:f>IF(A1924=A1923,IFERROR(IF(B1924=EDATE(B1923,1),C1923,0),0),0)</x:f>
        <x:v>1</x:v>
      </x:c>
      <x:c r="K1924" t="n">
        <x:f>IF(AND(J1924=1,C1924=0),1,0)</x:f>
        <x:v>0</x:v>
      </x:c>
      <x:c r="L1924" t="str">
        <x:f>IFERROR(INDEX(Customers!$C$2:$C$451,MATCH(A1924,Customers!$A$2:$A$451,0)),"Unknown")</x:f>
        <x:v>Standard</x:v>
      </x:c>
    </x:row>
    <x:row r="1925">
      <x:c r="A1925" t="n">
        <x:v>351</x:v>
      </x:c>
      <x:c r="B1925" s="16" t="n">
        <x:v>46235</x:v>
      </x:c>
      <x:c r="C1925" t="n">
        <x:v>1</x:v>
      </x:c>
      <x:c r="D1925" t="n">
        <x:v>14</x:v>
      </x:c>
      <x:c r="E1925" s="18" t="n">
        <x:v>1168.17</x:v>
      </x:c>
      <x:c r="F1925" s="18" t="n">
        <x:v>0</x:v>
      </x:c>
      <x:c r="G1925" s="18" t="n">
        <x:v>5.26</x:v>
      </x:c>
      <x:c r="H1925" s="18" t="n">
        <x:v>2.26</x:v>
      </x:c>
      <x:c r="I1925" s="18" t="n">
        <x:v>7.52</x:v>
      </x:c>
      <x:c r="J1925" t="n">
        <x:f>IF(A1925=A1924,IFERROR(IF(B1925=EDATE(B1924,1),C1924,0),0),0)</x:f>
        <x:v>1</x:v>
      </x:c>
      <x:c r="K1925" t="n">
        <x:f>IF(AND(J1925=1,C1925=0),1,0)</x:f>
        <x:v>0</x:v>
      </x:c>
      <x:c r="L1925" t="str">
        <x:f>IFERROR(INDEX(Customers!$C$2:$C$451,MATCH(A1925,Customers!$A$2:$A$451,0)),"Unknown")</x:f>
        <x:v>Standard</x:v>
      </x:c>
    </x:row>
    <x:row r="1926">
      <x:c r="A1926" t="n">
        <x:v>351</x:v>
      </x:c>
      <x:c r="B1926" s="16" t="n">
        <x:v>46266</x:v>
      </x:c>
      <x:c r="C1926" t="n">
        <x:v>0</x:v>
      </x:c>
      <x:c r="D1926" t="n">
        <x:v>0</x:v>
      </x:c>
      <x:c r="E1926" s="18" t="n">
        <x:v>0</x:v>
      </x:c>
      <x:c r="F1926" s="18" t="n">
        <x:v>0</x:v>
      </x:c>
      <x:c r="G1926" s="18" t="n">
        <x:v>0</x:v>
      </x:c>
      <x:c r="H1926" s="18" t="n">
        <x:v>0</x:v>
      </x:c>
      <x:c r="I1926" s="18" t="n">
        <x:v>0</x:v>
      </x:c>
      <x:c r="J1926" t="n">
        <x:f>IF(A1926=A1925,IFERROR(IF(B1926=EDATE(B1925,1),C1925,0),0),0)</x:f>
        <x:v>1</x:v>
      </x:c>
      <x:c r="K1926" t="n">
        <x:f>IF(AND(J1926=1,C1926=0),1,0)</x:f>
        <x:v>1</x:v>
      </x:c>
      <x:c r="L1926" t="str">
        <x:f>IFERROR(INDEX(Customers!$C$2:$C$451,MATCH(A1926,Customers!$A$2:$A$451,0)),"Unknown")</x:f>
        <x:v>Standard</x:v>
      </x:c>
    </x:row>
    <x:row r="1927">
      <x:c r="A1927" t="n">
        <x:v>352</x:v>
      </x:c>
      <x:c r="B1927" s="16" t="n">
        <x:v>46143</x:v>
      </x:c>
      <x:c r="C1927" t="n">
        <x:v>1</x:v>
      </x:c>
      <x:c r="D1927" t="n">
        <x:v>13</x:v>
      </x:c>
      <x:c r="E1927" s="18" t="n">
        <x:v>790.18</x:v>
      </x:c>
      <x:c r="F1927" s="18" t="n">
        <x:v>0</x:v>
      </x:c>
      <x:c r="G1927" s="18" t="n">
        <x:v>3.56</x:v>
      </x:c>
      <x:c r="H1927" s="18" t="n">
        <x:v>2.01</x:v>
      </x:c>
      <x:c r="I1927" s="18" t="n">
        <x:v>5.57</x:v>
      </x:c>
      <x:c r="J1927" t="n">
        <x:f>IF(A1927=A1926,IFERROR(IF(B1927=EDATE(B1926,1),C1926,0),0),0)</x:f>
        <x:v>0</x:v>
      </x:c>
      <x:c r="K1927" t="n">
        <x:f>IF(AND(J1927=1,C1927=0),1,0)</x:f>
        <x:v>0</x:v>
      </x:c>
      <x:c r="L1927" t="str">
        <x:f>IFERROR(INDEX(Customers!$C$2:$C$451,MATCH(A1927,Customers!$A$2:$A$451,0)),"Unknown")</x:f>
        <x:v>Standard</x:v>
      </x:c>
    </x:row>
    <x:row r="1928">
      <x:c r="A1928" t="n">
        <x:v>352</x:v>
      </x:c>
      <x:c r="B1928" s="16" t="n">
        <x:v>46174</x:v>
      </x:c>
      <x:c r="C1928" t="n">
        <x:v>1</x:v>
      </x:c>
      <x:c r="D1928" t="n">
        <x:v>9</x:v>
      </x:c>
      <x:c r="E1928" s="18" t="n">
        <x:v>749.14</x:v>
      </x:c>
      <x:c r="F1928" s="18" t="n">
        <x:v>0</x:v>
      </x:c>
      <x:c r="G1928" s="18" t="n">
        <x:v>3.37</x:v>
      </x:c>
      <x:c r="H1928" s="18" t="n">
        <x:v>1.18</x:v>
      </x:c>
      <x:c r="I1928" s="18" t="n">
        <x:v>4.55</x:v>
      </x:c>
      <x:c r="J1928" t="n">
        <x:f>IF(A1928=A1927,IFERROR(IF(B1928=EDATE(B1927,1),C1927,0),0),0)</x:f>
        <x:v>1</x:v>
      </x:c>
      <x:c r="K1928" t="n">
        <x:f>IF(AND(J1928=1,C1928=0),1,0)</x:f>
        <x:v>0</x:v>
      </x:c>
      <x:c r="L1928" t="str">
        <x:f>IFERROR(INDEX(Customers!$C$2:$C$451,MATCH(A1928,Customers!$A$2:$A$451,0)),"Unknown")</x:f>
        <x:v>Standard</x:v>
      </x:c>
    </x:row>
    <x:row r="1929">
      <x:c r="A1929" t="n">
        <x:v>352</x:v>
      </x:c>
      <x:c r="B1929" s="16" t="n">
        <x:v>46204</x:v>
      </x:c>
      <x:c r="C1929" t="n">
        <x:v>1</x:v>
      </x:c>
      <x:c r="D1929" t="n">
        <x:v>32</x:v>
      </x:c>
      <x:c r="E1929" s="18" t="n">
        <x:v>1954.53</x:v>
      </x:c>
      <x:c r="F1929" s="18" t="n">
        <x:v>0</x:v>
      </x:c>
      <x:c r="G1929" s="18" t="n">
        <x:v>8.8</x:v>
      </x:c>
      <x:c r="H1929" s="18" t="n">
        <x:v>4.83</x:v>
      </x:c>
      <x:c r="I1929" s="18" t="n">
        <x:v>13.63</x:v>
      </x:c>
      <x:c r="J1929" t="n">
        <x:f>IF(A1929=A1928,IFERROR(IF(B1929=EDATE(B1928,1),C1928,0),0),0)</x:f>
        <x:v>1</x:v>
      </x:c>
      <x:c r="K1929" t="n">
        <x:f>IF(AND(J1929=1,C1929=0),1,0)</x:f>
        <x:v>0</x:v>
      </x:c>
      <x:c r="L1929" t="str">
        <x:f>IFERROR(INDEX(Customers!$C$2:$C$451,MATCH(A1929,Customers!$A$2:$A$451,0)),"Unknown")</x:f>
        <x:v>Standard</x:v>
      </x:c>
    </x:row>
    <x:row r="1930">
      <x:c r="A1930" t="n">
        <x:v>352</x:v>
      </x:c>
      <x:c r="B1930" s="16" t="n">
        <x:v>46235</x:v>
      </x:c>
      <x:c r="C1930" t="n">
        <x:v>1</x:v>
      </x:c>
      <x:c r="D1930" t="n">
        <x:v>28</x:v>
      </x:c>
      <x:c r="E1930" s="18" t="n">
        <x:v>1139.36</x:v>
      </x:c>
      <x:c r="F1930" s="18" t="n">
        <x:v>0</x:v>
      </x:c>
      <x:c r="G1930" s="18" t="n">
        <x:v>5.13</x:v>
      </x:c>
      <x:c r="H1930" s="18" t="n">
        <x:v>2.16</x:v>
      </x:c>
      <x:c r="I1930" s="18" t="n">
        <x:v>7.29</x:v>
      </x:c>
      <x:c r="J1930" t="n">
        <x:f>IF(A1930=A1929,IFERROR(IF(B1930=EDATE(B1929,1),C1929,0),0),0)</x:f>
        <x:v>1</x:v>
      </x:c>
      <x:c r="K1930" t="n">
        <x:f>IF(AND(J1930=1,C1930=0),1,0)</x:f>
        <x:v>0</x:v>
      </x:c>
      <x:c r="L1930" t="str">
        <x:f>IFERROR(INDEX(Customers!$C$2:$C$451,MATCH(A1930,Customers!$A$2:$A$451,0)),"Unknown")</x:f>
        <x:v>Standard</x:v>
      </x:c>
    </x:row>
    <x:row r="1931">
      <x:c r="A1931" t="n">
        <x:v>352</x:v>
      </x:c>
      <x:c r="B1931" s="16" t="n">
        <x:v>46266</x:v>
      </x:c>
      <x:c r="C1931" t="n">
        <x:v>0</x:v>
      </x:c>
      <x:c r="D1931" t="n">
        <x:v>0</x:v>
      </x:c>
      <x:c r="E1931" s="18" t="n">
        <x:v>0</x:v>
      </x:c>
      <x:c r="F1931" s="18" t="n">
        <x:v>0</x:v>
      </x:c>
      <x:c r="G1931" s="18" t="n">
        <x:v>0</x:v>
      </x:c>
      <x:c r="H1931" s="18" t="n">
        <x:v>0</x:v>
      </x:c>
      <x:c r="I1931" s="18" t="n">
        <x:v>0</x:v>
      </x:c>
      <x:c r="J1931" t="n">
        <x:f>IF(A1931=A1930,IFERROR(IF(B1931=EDATE(B1930,1),C1930,0),0),0)</x:f>
        <x:v>1</x:v>
      </x:c>
      <x:c r="K1931" t="n">
        <x:f>IF(AND(J1931=1,C1931=0),1,0)</x:f>
        <x:v>1</x:v>
      </x:c>
      <x:c r="L1931" t="str">
        <x:f>IFERROR(INDEX(Customers!$C$2:$C$451,MATCH(A1931,Customers!$A$2:$A$451,0)),"Unknown")</x:f>
        <x:v>Standard</x:v>
      </x:c>
    </x:row>
    <x:row r="1932">
      <x:c r="A1932" t="n">
        <x:v>353</x:v>
      </x:c>
      <x:c r="B1932" s="16" t="n">
        <x:v>46113</x:v>
      </x:c>
      <x:c r="C1932" t="n">
        <x:v>1</x:v>
      </x:c>
      <x:c r="D1932" t="n">
        <x:v>9</x:v>
      </x:c>
      <x:c r="E1932" s="18" t="n">
        <x:v>407.8</x:v>
      </x:c>
      <x:c r="F1932" s="18" t="n">
        <x:v>0</x:v>
      </x:c>
      <x:c r="G1932" s="18" t="n">
        <x:v>1.84</x:v>
      </x:c>
      <x:c r="H1932" s="18" t="n">
        <x:v>0.58</x:v>
      </x:c>
      <x:c r="I1932" s="18" t="n">
        <x:v>2.42</x:v>
      </x:c>
      <x:c r="J1932" t="n">
        <x:f>IF(A1932=A1931,IFERROR(IF(B1932=EDATE(B1931,1),C1931,0),0),0)</x:f>
        <x:v>0</x:v>
      </x:c>
      <x:c r="K1932" t="n">
        <x:f>IF(AND(J1932=1,C1932=0),1,0)</x:f>
        <x:v>0</x:v>
      </x:c>
      <x:c r="L1932" t="str">
        <x:f>IFERROR(INDEX(Customers!$C$2:$C$451,MATCH(A1932,Customers!$A$2:$A$451,0)),"Unknown")</x:f>
        <x:v>Standard</x:v>
      </x:c>
    </x:row>
    <x:row r="1933">
      <x:c r="A1933" t="n">
        <x:v>353</x:v>
      </x:c>
      <x:c r="B1933" s="16" t="n">
        <x:v>46143</x:v>
      </x:c>
      <x:c r="C1933" t="n">
        <x:v>1</x:v>
      </x:c>
      <x:c r="D1933" t="n">
        <x:v>18</x:v>
      </x:c>
      <x:c r="E1933" s="18" t="n">
        <x:v>1414.8</x:v>
      </x:c>
      <x:c r="F1933" s="18" t="n">
        <x:v>0</x:v>
      </x:c>
      <x:c r="G1933" s="18" t="n">
        <x:v>6.37</x:v>
      </x:c>
      <x:c r="H1933" s="18" t="n">
        <x:v>2.01</x:v>
      </x:c>
      <x:c r="I1933" s="18" t="n">
        <x:v>8.38</x:v>
      </x:c>
      <x:c r="J1933" t="n">
        <x:f>IF(A1933=A1932,IFERROR(IF(B1933=EDATE(B1932,1),C1932,0),0),0)</x:f>
        <x:v>1</x:v>
      </x:c>
      <x:c r="K1933" t="n">
        <x:f>IF(AND(J1933=1,C1933=0),1,0)</x:f>
        <x:v>0</x:v>
      </x:c>
      <x:c r="L1933" t="str">
        <x:f>IFERROR(INDEX(Customers!$C$2:$C$451,MATCH(A1933,Customers!$A$2:$A$451,0)),"Unknown")</x:f>
        <x:v>Standard</x:v>
      </x:c>
    </x:row>
    <x:row r="1934">
      <x:c r="A1934" t="n">
        <x:v>353</x:v>
      </x:c>
      <x:c r="B1934" s="16" t="n">
        <x:v>46174</x:v>
      </x:c>
      <x:c r="C1934" t="n">
        <x:v>1</x:v>
      </x:c>
      <x:c r="D1934" t="n">
        <x:v>22</x:v>
      </x:c>
      <x:c r="E1934" s="18" t="n">
        <x:v>2635.74</x:v>
      </x:c>
      <x:c r="F1934" s="18" t="n">
        <x:v>0</x:v>
      </x:c>
      <x:c r="G1934" s="18" t="n">
        <x:v>11.86</x:v>
      </x:c>
      <x:c r="H1934" s="18" t="n">
        <x:v>9.21</x:v>
      </x:c>
      <x:c r="I1934" s="18" t="n">
        <x:v>21.07</x:v>
      </x:c>
      <x:c r="J1934" t="n">
        <x:f>IF(A1934=A1933,IFERROR(IF(B1934=EDATE(B1933,1),C1933,0),0),0)</x:f>
        <x:v>1</x:v>
      </x:c>
      <x:c r="K1934" t="n">
        <x:f>IF(AND(J1934=1,C1934=0),1,0)</x:f>
        <x:v>0</x:v>
      </x:c>
      <x:c r="L1934" t="str">
        <x:f>IFERROR(INDEX(Customers!$C$2:$C$451,MATCH(A1934,Customers!$A$2:$A$451,0)),"Unknown")</x:f>
        <x:v>Standard</x:v>
      </x:c>
    </x:row>
    <x:row r="1935">
      <x:c r="A1935" t="n">
        <x:v>353</x:v>
      </x:c>
      <x:c r="B1935" s="16" t="n">
        <x:v>46204</x:v>
      </x:c>
      <x:c r="C1935" t="n">
        <x:v>1</x:v>
      </x:c>
      <x:c r="D1935" t="n">
        <x:v>8</x:v>
      </x:c>
      <x:c r="E1935" s="18" t="n">
        <x:v>1074.27</x:v>
      </x:c>
      <x:c r="F1935" s="18" t="n">
        <x:v>0</x:v>
      </x:c>
      <x:c r="G1935" s="18" t="n">
        <x:v>4.83</x:v>
      </x:c>
      <x:c r="H1935" s="18" t="n">
        <x:v>1.36</x:v>
      </x:c>
      <x:c r="I1935" s="18" t="n">
        <x:v>6.19</x:v>
      </x:c>
      <x:c r="J1935" t="n">
        <x:f>IF(A1935=A1934,IFERROR(IF(B1935=EDATE(B1934,1),C1934,0),0),0)</x:f>
        <x:v>1</x:v>
      </x:c>
      <x:c r="K1935" t="n">
        <x:f>IF(AND(J1935=1,C1935=0),1,0)</x:f>
        <x:v>0</x:v>
      </x:c>
      <x:c r="L1935" t="str">
        <x:f>IFERROR(INDEX(Customers!$C$2:$C$451,MATCH(A1935,Customers!$A$2:$A$451,0)),"Unknown")</x:f>
        <x:v>Standard</x:v>
      </x:c>
    </x:row>
    <x:row r="1936">
      <x:c r="A1936" t="n">
        <x:v>353</x:v>
      </x:c>
      <x:c r="B1936" s="16" t="n">
        <x:v>46235</x:v>
      </x:c>
      <x:c r="C1936" t="n">
        <x:v>1</x:v>
      </x:c>
      <x:c r="D1936" t="n">
        <x:v>34</x:v>
      </x:c>
      <x:c r="E1936" s="18" t="n">
        <x:v>2761.17</x:v>
      </x:c>
      <x:c r="F1936" s="18" t="n">
        <x:v>0</x:v>
      </x:c>
      <x:c r="G1936" s="18" t="n">
        <x:v>12.43</x:v>
      </x:c>
      <x:c r="H1936" s="18" t="n">
        <x:v>3.46</x:v>
      </x:c>
      <x:c r="I1936" s="18" t="n">
        <x:v>15.89</x:v>
      </x:c>
      <x:c r="J1936" t="n">
        <x:f>IF(A1936=A1935,IFERROR(IF(B1936=EDATE(B1935,1),C1935,0),0),0)</x:f>
        <x:v>1</x:v>
      </x:c>
      <x:c r="K1936" t="n">
        <x:f>IF(AND(J1936=1,C1936=0),1,0)</x:f>
        <x:v>0</x:v>
      </x:c>
      <x:c r="L1936" t="str">
        <x:f>IFERROR(INDEX(Customers!$C$2:$C$451,MATCH(A1936,Customers!$A$2:$A$451,0)),"Unknown")</x:f>
        <x:v>Standard</x:v>
      </x:c>
    </x:row>
    <x:row r="1937">
      <x:c r="A1937" t="n">
        <x:v>353</x:v>
      </x:c>
      <x:c r="B1937" s="16" t="n">
        <x:v>46266</x:v>
      </x:c>
      <x:c r="C1937" t="n">
        <x:v>1</x:v>
      </x:c>
      <x:c r="D1937" t="n">
        <x:v>22</x:v>
      </x:c>
      <x:c r="E1937" s="18" t="n">
        <x:v>1867.83</x:v>
      </x:c>
      <x:c r="F1937" s="18" t="n">
        <x:v>0</x:v>
      </x:c>
      <x:c r="G1937" s="18" t="n">
        <x:v>8.41</x:v>
      </x:c>
      <x:c r="H1937" s="18" t="n">
        <x:v>5.65</x:v>
      </x:c>
      <x:c r="I1937" s="18" t="n">
        <x:v>14.06</x:v>
      </x:c>
      <x:c r="J1937" t="n">
        <x:f>IF(A1937=A1936,IFERROR(IF(B1937=EDATE(B1936,1),C1936,0),0),0)</x:f>
        <x:v>1</x:v>
      </x:c>
      <x:c r="K1937" t="n">
        <x:f>IF(AND(J1937=1,C1937=0),1,0)</x:f>
        <x:v>0</x:v>
      </x:c>
      <x:c r="L1937" t="str">
        <x:f>IFERROR(INDEX(Customers!$C$2:$C$451,MATCH(A1937,Customers!$A$2:$A$451,0)),"Unknown")</x:f>
        <x:v>Standard</x:v>
      </x:c>
    </x:row>
    <x:row r="1938">
      <x:c r="A1938" t="n">
        <x:v>354</x:v>
      </x:c>
      <x:c r="B1938" s="16" t="n">
        <x:v>46143</x:v>
      </x:c>
      <x:c r="C1938" t="n">
        <x:v>1</x:v>
      </x:c>
      <x:c r="D1938" t="n">
        <x:v>19</x:v>
      </x:c>
      <x:c r="E1938" s="18" t="n">
        <x:v>1463.87</x:v>
      </x:c>
      <x:c r="F1938" s="18" t="n">
        <x:v>0</x:v>
      </x:c>
      <x:c r="G1938" s="18" t="n">
        <x:v>6.59</x:v>
      </x:c>
      <x:c r="H1938" s="18" t="n">
        <x:v>4.64</x:v>
      </x:c>
      <x:c r="I1938" s="18" t="n">
        <x:v>11.23</x:v>
      </x:c>
      <x:c r="J1938" t="n">
        <x:f>IF(A1938=A1937,IFERROR(IF(B1938=EDATE(B1937,1),C1937,0),0),0)</x:f>
        <x:v>0</x:v>
      </x:c>
      <x:c r="K1938" t="n">
        <x:f>IF(AND(J1938=1,C1938=0),1,0)</x:f>
        <x:v>0</x:v>
      </x:c>
      <x:c r="L1938" t="str">
        <x:f>IFERROR(INDEX(Customers!$C$2:$C$451,MATCH(A1938,Customers!$A$2:$A$451,0)),"Unknown")</x:f>
        <x:v>Standard</x:v>
      </x:c>
    </x:row>
    <x:row r="1939">
      <x:c r="A1939" t="n">
        <x:v>354</x:v>
      </x:c>
      <x:c r="B1939" s="16" t="n">
        <x:v>46174</x:v>
      </x:c>
      <x:c r="C1939" t="n">
        <x:v>1</x:v>
      </x:c>
      <x:c r="D1939" t="n">
        <x:v>10</x:v>
      </x:c>
      <x:c r="E1939" s="18" t="n">
        <x:v>463.99</x:v>
      </x:c>
      <x:c r="F1939" s="18" t="n">
        <x:v>0</x:v>
      </x:c>
      <x:c r="G1939" s="18" t="n">
        <x:v>2.09</x:v>
      </x:c>
      <x:c r="H1939" s="18" t="n">
        <x:v>1.53</x:v>
      </x:c>
      <x:c r="I1939" s="18" t="n">
        <x:v>3.62</x:v>
      </x:c>
      <x:c r="J1939" t="n">
        <x:f>IF(A1939=A1938,IFERROR(IF(B1939=EDATE(B1938,1),C1938,0),0),0)</x:f>
        <x:v>1</x:v>
      </x:c>
      <x:c r="K1939" t="n">
        <x:f>IF(AND(J1939=1,C1939=0),1,0)</x:f>
        <x:v>0</x:v>
      </x:c>
      <x:c r="L1939" t="str">
        <x:f>IFERROR(INDEX(Customers!$C$2:$C$451,MATCH(A1939,Customers!$A$2:$A$451,0)),"Unknown")</x:f>
        <x:v>Standard</x:v>
      </x:c>
    </x:row>
    <x:row r="1940">
      <x:c r="A1940" t="n">
        <x:v>354</x:v>
      </x:c>
      <x:c r="B1940" s="16" t="n">
        <x:v>46204</x:v>
      </x:c>
      <x:c r="C1940" t="n">
        <x:v>1</x:v>
      </x:c>
      <x:c r="D1940" t="n">
        <x:v>35</x:v>
      </x:c>
      <x:c r="E1940" s="18" t="n">
        <x:v>3768.94</x:v>
      </x:c>
      <x:c r="F1940" s="18" t="n">
        <x:v>0</x:v>
      </x:c>
      <x:c r="G1940" s="18" t="n">
        <x:v>16.96</x:v>
      </x:c>
      <x:c r="H1940" s="18" t="n">
        <x:v>6.17</x:v>
      </x:c>
      <x:c r="I1940" s="18" t="n">
        <x:v>23.13</x:v>
      </x:c>
      <x:c r="J1940" t="n">
        <x:f>IF(A1940=A1939,IFERROR(IF(B1940=EDATE(B1939,1),C1939,0),0),0)</x:f>
        <x:v>1</x:v>
      </x:c>
      <x:c r="K1940" t="n">
        <x:f>IF(AND(J1940=1,C1940=0),1,0)</x:f>
        <x:v>0</x:v>
      </x:c>
      <x:c r="L1940" t="str">
        <x:f>IFERROR(INDEX(Customers!$C$2:$C$451,MATCH(A1940,Customers!$A$2:$A$451,0)),"Unknown")</x:f>
        <x:v>Standard</x:v>
      </x:c>
    </x:row>
    <x:row r="1941">
      <x:c r="A1941" t="n">
        <x:v>354</x:v>
      </x:c>
      <x:c r="B1941" s="16" t="n">
        <x:v>46235</x:v>
      </x:c>
      <x:c r="C1941" t="n">
        <x:v>0</x:v>
      </x:c>
      <x:c r="D1941" t="n">
        <x:v>0</x:v>
      </x:c>
      <x:c r="E1941" s="18" t="n">
        <x:v>0</x:v>
      </x:c>
      <x:c r="F1941" s="18" t="n">
        <x:v>0</x:v>
      </x:c>
      <x:c r="G1941" s="18" t="n">
        <x:v>0</x:v>
      </x:c>
      <x:c r="H1941" s="18" t="n">
        <x:v>0</x:v>
      </x:c>
      <x:c r="I1941" s="18" t="n">
        <x:v>0</x:v>
      </x:c>
      <x:c r="J1941" t="n">
        <x:f>IF(A1941=A1940,IFERROR(IF(B1941=EDATE(B1940,1),C1940,0),0),0)</x:f>
        <x:v>1</x:v>
      </x:c>
      <x:c r="K1941" t="n">
        <x:f>IF(AND(J1941=1,C1941=0),1,0)</x:f>
        <x:v>1</x:v>
      </x:c>
      <x:c r="L1941" t="str">
        <x:f>IFERROR(INDEX(Customers!$C$2:$C$451,MATCH(A1941,Customers!$A$2:$A$451,0)),"Unknown")</x:f>
        <x:v>Standard</x:v>
      </x:c>
    </x:row>
    <x:row r="1942">
      <x:c r="A1942" t="n">
        <x:v>354</x:v>
      </x:c>
      <x:c r="B1942" s="16" t="n">
        <x:v>46266</x:v>
      </x:c>
      <x:c r="C1942" t="n">
        <x:v>1</x:v>
      </x:c>
      <x:c r="D1942" t="n">
        <x:v>10</x:v>
      </x:c>
      <x:c r="E1942" s="18" t="n">
        <x:v>457.74</x:v>
      </x:c>
      <x:c r="F1942" s="18" t="n">
        <x:v>0</x:v>
      </x:c>
      <x:c r="G1942" s="18" t="n">
        <x:v>2.06</x:v>
      </x:c>
      <x:c r="H1942" s="18" t="n">
        <x:v>1.63</x:v>
      </x:c>
      <x:c r="I1942" s="18" t="n">
        <x:v>3.69</x:v>
      </x:c>
      <x:c r="J1942" t="n">
        <x:f>IF(A1942=A1941,IFERROR(IF(B1942=EDATE(B1941,1),C1941,0),0),0)</x:f>
        <x:v>0</x:v>
      </x:c>
      <x:c r="K1942" t="n">
        <x:f>IF(AND(J1942=1,C1942=0),1,0)</x:f>
        <x:v>0</x:v>
      </x:c>
      <x:c r="L1942" t="str">
        <x:f>IFERROR(INDEX(Customers!$C$2:$C$451,MATCH(A1942,Customers!$A$2:$A$451,0)),"Unknown")</x:f>
        <x:v>Standard</x:v>
      </x:c>
    </x:row>
    <x:row r="1943">
      <x:c r="A1943" t="n">
        <x:v>355</x:v>
      </x:c>
      <x:c r="B1943" s="16" t="n">
        <x:v>46143</x:v>
      </x:c>
      <x:c r="C1943" t="n">
        <x:v>0</x:v>
      </x:c>
      <x:c r="D1943" t="n">
        <x:v>0</x:v>
      </x:c>
      <x:c r="E1943" s="18" t="n">
        <x:v>0</x:v>
      </x:c>
      <x:c r="F1943" s="18" t="n">
        <x:v>0</x:v>
      </x:c>
      <x:c r="G1943" s="18" t="n">
        <x:v>0</x:v>
      </x:c>
      <x:c r="H1943" s="18" t="n">
        <x:v>0</x:v>
      </x:c>
      <x:c r="I1943" s="18" t="n">
        <x:v>0</x:v>
      </x:c>
      <x:c r="J1943" t="n">
        <x:f>IF(A1943=A1942,IFERROR(IF(B1943=EDATE(B1942,1),C1942,0),0),0)</x:f>
        <x:v>0</x:v>
      </x:c>
      <x:c r="K1943" t="n">
        <x:f>IF(AND(J1943=1,C1943=0),1,0)</x:f>
        <x:v>0</x:v>
      </x:c>
      <x:c r="L1943" t="str">
        <x:f>IFERROR(INDEX(Customers!$C$2:$C$451,MATCH(A1943,Customers!$A$2:$A$451,0)),"Unknown")</x:f>
        <x:v>Standard</x:v>
      </x:c>
    </x:row>
    <x:row r="1944">
      <x:c r="A1944" t="n">
        <x:v>355</x:v>
      </x:c>
      <x:c r="B1944" s="16" t="n">
        <x:v>46174</x:v>
      </x:c>
      <x:c r="C1944" t="n">
        <x:v>1</x:v>
      </x:c>
      <x:c r="D1944" t="n">
        <x:v>17</x:v>
      </x:c>
      <x:c r="E1944" s="18" t="n">
        <x:v>1148.65</x:v>
      </x:c>
      <x:c r="F1944" s="18" t="n">
        <x:v>0</x:v>
      </x:c>
      <x:c r="G1944" s="18" t="n">
        <x:v>5.17</x:v>
      </x:c>
      <x:c r="H1944" s="18" t="n">
        <x:v>3.84</x:v>
      </x:c>
      <x:c r="I1944" s="18" t="n">
        <x:v>9.01</x:v>
      </x:c>
      <x:c r="J1944" t="n">
        <x:f>IF(A1944=A1943,IFERROR(IF(B1944=EDATE(B1943,1),C1943,0),0),0)</x:f>
        <x:v>0</x:v>
      </x:c>
      <x:c r="K1944" t="n">
        <x:f>IF(AND(J1944=1,C1944=0),1,0)</x:f>
        <x:v>0</x:v>
      </x:c>
      <x:c r="L1944" t="str">
        <x:f>IFERROR(INDEX(Customers!$C$2:$C$451,MATCH(A1944,Customers!$A$2:$A$451,0)),"Unknown")</x:f>
        <x:v>Standard</x:v>
      </x:c>
    </x:row>
    <x:row r="1945">
      <x:c r="A1945" t="n">
        <x:v>355</x:v>
      </x:c>
      <x:c r="B1945" s="16" t="n">
        <x:v>46204</x:v>
      </x:c>
      <x:c r="C1945" t="n">
        <x:v>1</x:v>
      </x:c>
      <x:c r="D1945" t="n">
        <x:v>16</x:v>
      </x:c>
      <x:c r="E1945" s="18" t="n">
        <x:v>2006.76</x:v>
      </x:c>
      <x:c r="F1945" s="18" t="n">
        <x:v>0</x:v>
      </x:c>
      <x:c r="G1945" s="18" t="n">
        <x:v>9.03</x:v>
      </x:c>
      <x:c r="H1945" s="18" t="n">
        <x:v>5.19</x:v>
      </x:c>
      <x:c r="I1945" s="18" t="n">
        <x:v>14.22</x:v>
      </x:c>
      <x:c r="J1945" t="n">
        <x:f>IF(A1945=A1944,IFERROR(IF(B1945=EDATE(B1944,1),C1944,0),0),0)</x:f>
        <x:v>1</x:v>
      </x:c>
      <x:c r="K1945" t="n">
        <x:f>IF(AND(J1945=1,C1945=0),1,0)</x:f>
        <x:v>0</x:v>
      </x:c>
      <x:c r="L1945" t="str">
        <x:f>IFERROR(INDEX(Customers!$C$2:$C$451,MATCH(A1945,Customers!$A$2:$A$451,0)),"Unknown")</x:f>
        <x:v>Standard</x:v>
      </x:c>
    </x:row>
    <x:row r="1946">
      <x:c r="A1946" t="n">
        <x:v>355</x:v>
      </x:c>
      <x:c r="B1946" s="16" t="n">
        <x:v>46235</x:v>
      </x:c>
      <x:c r="C1946" t="n">
        <x:v>1</x:v>
      </x:c>
      <x:c r="D1946" t="n">
        <x:v>35</x:v>
      </x:c>
      <x:c r="E1946" s="18" t="n">
        <x:v>4035.79</x:v>
      </x:c>
      <x:c r="F1946" s="18" t="n">
        <x:v>0</x:v>
      </x:c>
      <x:c r="G1946" s="18" t="n">
        <x:v>18.16</x:v>
      </x:c>
      <x:c r="H1946" s="18" t="n">
        <x:v>10.89</x:v>
      </x:c>
      <x:c r="I1946" s="18" t="n">
        <x:v>29.05</x:v>
      </x:c>
      <x:c r="J1946" t="n">
        <x:f>IF(A1946=A1945,IFERROR(IF(B1946=EDATE(B1945,1),C1945,0),0),0)</x:f>
        <x:v>1</x:v>
      </x:c>
      <x:c r="K1946" t="n">
        <x:f>IF(AND(J1946=1,C1946=0),1,0)</x:f>
        <x:v>0</x:v>
      </x:c>
      <x:c r="L1946" t="str">
        <x:f>IFERROR(INDEX(Customers!$C$2:$C$451,MATCH(A1946,Customers!$A$2:$A$451,0)),"Unknown")</x:f>
        <x:v>Standard</x:v>
      </x:c>
    </x:row>
    <x:row r="1947">
      <x:c r="A1947" t="n">
        <x:v>355</x:v>
      </x:c>
      <x:c r="B1947" s="16" t="n">
        <x:v>46266</x:v>
      </x:c>
      <x:c r="C1947" t="n">
        <x:v>0</x:v>
      </x:c>
      <x:c r="D1947" t="n">
        <x:v>0</x:v>
      </x:c>
      <x:c r="E1947" s="18" t="n">
        <x:v>0</x:v>
      </x:c>
      <x:c r="F1947" s="18" t="n">
        <x:v>0</x:v>
      </x:c>
      <x:c r="G1947" s="18" t="n">
        <x:v>0</x:v>
      </x:c>
      <x:c r="H1947" s="18" t="n">
        <x:v>0</x:v>
      </x:c>
      <x:c r="I1947" s="18" t="n">
        <x:v>0</x:v>
      </x:c>
      <x:c r="J1947" t="n">
        <x:f>IF(A1947=A1946,IFERROR(IF(B1947=EDATE(B1946,1),C1946,0),0),0)</x:f>
        <x:v>1</x:v>
      </x:c>
      <x:c r="K1947" t="n">
        <x:f>IF(AND(J1947=1,C1947=0),1,0)</x:f>
        <x:v>1</x:v>
      </x:c>
      <x:c r="L1947" t="str">
        <x:f>IFERROR(INDEX(Customers!$C$2:$C$451,MATCH(A1947,Customers!$A$2:$A$451,0)),"Unknown")</x:f>
        <x:v>Standard</x:v>
      </x:c>
    </x:row>
    <x:row r="1948">
      <x:c r="A1948" t="n">
        <x:v>356</x:v>
      </x:c>
      <x:c r="B1948" s="16" t="n">
        <x:v>46174</x:v>
      </x:c>
      <x:c r="C1948" t="n">
        <x:v>0</x:v>
      </x:c>
      <x:c r="D1948" t="n">
        <x:v>0</x:v>
      </x:c>
      <x:c r="E1948" s="18" t="n">
        <x:v>0</x:v>
      </x:c>
      <x:c r="F1948" s="18" t="n">
        <x:v>0</x:v>
      </x:c>
      <x:c r="G1948" s="18" t="n">
        <x:v>0</x:v>
      </x:c>
      <x:c r="H1948" s="18" t="n">
        <x:v>0</x:v>
      </x:c>
      <x:c r="I1948" s="18" t="n">
        <x:v>0</x:v>
      </x:c>
      <x:c r="J1948" t="n">
        <x:f>IF(A1948=A1947,IFERROR(IF(B1948=EDATE(B1947,1),C1947,0),0),0)</x:f>
        <x:v>0</x:v>
      </x:c>
      <x:c r="K1948" t="n">
        <x:f>IF(AND(J1948=1,C1948=0),1,0)</x:f>
        <x:v>0</x:v>
      </x:c>
      <x:c r="L1948" t="str">
        <x:f>IFERROR(INDEX(Customers!$C$2:$C$451,MATCH(A1948,Customers!$A$2:$A$451,0)),"Unknown")</x:f>
        <x:v>Premium</x:v>
      </x:c>
    </x:row>
    <x:row r="1949">
      <x:c r="A1949" t="n">
        <x:v>356</x:v>
      </x:c>
      <x:c r="B1949" s="16" t="n">
        <x:v>46204</x:v>
      </x:c>
      <x:c r="C1949" t="n">
        <x:v>0</x:v>
      </x:c>
      <x:c r="D1949" t="n">
        <x:v>0</x:v>
      </x:c>
      <x:c r="E1949" s="18" t="n">
        <x:v>0</x:v>
      </x:c>
      <x:c r="F1949" s="18" t="n">
        <x:v>0</x:v>
      </x:c>
      <x:c r="G1949" s="18" t="n">
        <x:v>0</x:v>
      </x:c>
      <x:c r="H1949" s="18" t="n">
        <x:v>0</x:v>
      </x:c>
      <x:c r="I1949" s="18" t="n">
        <x:v>0</x:v>
      </x:c>
      <x:c r="J1949" t="n">
        <x:f>IF(A1949=A1948,IFERROR(IF(B1949=EDATE(B1948,1),C1948,0),0),0)</x:f>
        <x:v>0</x:v>
      </x:c>
      <x:c r="K1949" t="n">
        <x:f>IF(AND(J1949=1,C1949=0),1,0)</x:f>
        <x:v>0</x:v>
      </x:c>
      <x:c r="L1949" t="str">
        <x:f>IFERROR(INDEX(Customers!$C$2:$C$451,MATCH(A1949,Customers!$A$2:$A$451,0)),"Unknown")</x:f>
        <x:v>Premium</x:v>
      </x:c>
    </x:row>
    <x:row r="1950">
      <x:c r="A1950" t="n">
        <x:v>356</x:v>
      </x:c>
      <x:c r="B1950" s="16" t="n">
        <x:v>46235</x:v>
      </x:c>
      <x:c r="C1950" t="n">
        <x:v>0</x:v>
      </x:c>
      <x:c r="D1950" t="n">
        <x:v>0</x:v>
      </x:c>
      <x:c r="E1950" s="18" t="n">
        <x:v>0</x:v>
      </x:c>
      <x:c r="F1950" s="18" t="n">
        <x:v>0</x:v>
      </x:c>
      <x:c r="G1950" s="18" t="n">
        <x:v>0</x:v>
      </x:c>
      <x:c r="H1950" s="18" t="n">
        <x:v>0</x:v>
      </x:c>
      <x:c r="I1950" s="18" t="n">
        <x:v>0</x:v>
      </x:c>
      <x:c r="J1950" t="n">
        <x:f>IF(A1950=A1949,IFERROR(IF(B1950=EDATE(B1949,1),C1949,0),0),0)</x:f>
        <x:v>0</x:v>
      </x:c>
      <x:c r="K1950" t="n">
        <x:f>IF(AND(J1950=1,C1950=0),1,0)</x:f>
        <x:v>0</x:v>
      </x:c>
      <x:c r="L1950" t="str">
        <x:f>IFERROR(INDEX(Customers!$C$2:$C$451,MATCH(A1950,Customers!$A$2:$A$451,0)),"Unknown")</x:f>
        <x:v>Premium</x:v>
      </x:c>
    </x:row>
    <x:row r="1951">
      <x:c r="A1951" t="n">
        <x:v>356</x:v>
      </x:c>
      <x:c r="B1951" s="16" t="n">
        <x:v>46266</x:v>
      </x:c>
      <x:c r="C1951" t="n">
        <x:v>0</x:v>
      </x:c>
      <x:c r="D1951" t="n">
        <x:v>0</x:v>
      </x:c>
      <x:c r="E1951" s="18" t="n">
        <x:v>0</x:v>
      </x:c>
      <x:c r="F1951" s="18" t="n">
        <x:v>0</x:v>
      </x:c>
      <x:c r="G1951" s="18" t="n">
        <x:v>0</x:v>
      </x:c>
      <x:c r="H1951" s="18" t="n">
        <x:v>0</x:v>
      </x:c>
      <x:c r="I1951" s="18" t="n">
        <x:v>0</x:v>
      </x:c>
      <x:c r="J1951" t="n">
        <x:f>IF(A1951=A1950,IFERROR(IF(B1951=EDATE(B1950,1),C1950,0),0),0)</x:f>
        <x:v>0</x:v>
      </x:c>
      <x:c r="K1951" t="n">
        <x:f>IF(AND(J1951=1,C1951=0),1,0)</x:f>
        <x:v>0</x:v>
      </x:c>
      <x:c r="L1951" t="str">
        <x:f>IFERROR(INDEX(Customers!$C$2:$C$451,MATCH(A1951,Customers!$A$2:$A$451,0)),"Unknown")</x:f>
        <x:v>Premium</x:v>
      </x:c>
    </x:row>
    <x:row r="1952">
      <x:c r="A1952" t="n">
        <x:v>357</x:v>
      </x:c>
      <x:c r="B1952" s="16" t="n">
        <x:v>46143</x:v>
      </x:c>
      <x:c r="C1952" t="n">
        <x:v>1</x:v>
      </x:c>
      <x:c r="D1952" t="n">
        <x:v>20</x:v>
      </x:c>
      <x:c r="E1952" s="18" t="n">
        <x:v>1348.18</x:v>
      </x:c>
      <x:c r="F1952" s="18" t="n">
        <x:v>8</x:v>
      </x:c>
      <x:c r="G1952" s="18" t="n">
        <x:v>6.07</x:v>
      </x:c>
      <x:c r="H1952" s="18" t="n">
        <x:v>4.71</x:v>
      </x:c>
      <x:c r="I1952" s="18" t="n">
        <x:v>18.78</x:v>
      </x:c>
      <x:c r="J1952" t="n">
        <x:f>IF(A1952=A1951,IFERROR(IF(B1952=EDATE(B1951,1),C1951,0),0),0)</x:f>
        <x:v>0</x:v>
      </x:c>
      <x:c r="K1952" t="n">
        <x:f>IF(AND(J1952=1,C1952=0),1,0)</x:f>
        <x:v>0</x:v>
      </x:c>
      <x:c r="L1952" t="str">
        <x:f>IFERROR(INDEX(Customers!$C$2:$C$451,MATCH(A1952,Customers!$A$2:$A$451,0)),"Unknown")</x:f>
        <x:v>Plus</x:v>
      </x:c>
    </x:row>
    <x:row r="1953">
      <x:c r="A1953" t="n">
        <x:v>357</x:v>
      </x:c>
      <x:c r="B1953" s="16" t="n">
        <x:v>46174</x:v>
      </x:c>
      <x:c r="C1953" t="n">
        <x:v>1</x:v>
      </x:c>
      <x:c r="D1953" t="n">
        <x:v>22</x:v>
      </x:c>
      <x:c r="E1953" s="18" t="n">
        <x:v>2896.41</x:v>
      </x:c>
      <x:c r="F1953" s="18" t="n">
        <x:v>8</x:v>
      </x:c>
      <x:c r="G1953" s="18" t="n">
        <x:v>13.03</x:v>
      </x:c>
      <x:c r="H1953" s="18" t="n">
        <x:v>2.86</x:v>
      </x:c>
      <x:c r="I1953" s="18" t="n">
        <x:v>23.89</x:v>
      </x:c>
      <x:c r="J1953" t="n">
        <x:f>IF(A1953=A1952,IFERROR(IF(B1953=EDATE(B1952,1),C1952,0),0),0)</x:f>
        <x:v>1</x:v>
      </x:c>
      <x:c r="K1953" t="n">
        <x:f>IF(AND(J1953=1,C1953=0),1,0)</x:f>
        <x:v>0</x:v>
      </x:c>
      <x:c r="L1953" t="str">
        <x:f>IFERROR(INDEX(Customers!$C$2:$C$451,MATCH(A1953,Customers!$A$2:$A$451,0)),"Unknown")</x:f>
        <x:v>Plus</x:v>
      </x:c>
    </x:row>
    <x:row r="1954">
      <x:c r="A1954" t="n">
        <x:v>357</x:v>
      </x:c>
      <x:c r="B1954" s="16" t="n">
        <x:v>46204</x:v>
      </x:c>
      <x:c r="C1954" t="n">
        <x:v>1</x:v>
      </x:c>
      <x:c r="D1954" t="n">
        <x:v>4</x:v>
      </x:c>
      <x:c r="E1954" s="18" t="n">
        <x:v>219.16</x:v>
      </x:c>
      <x:c r="F1954" s="18" t="n">
        <x:v>8</x:v>
      </x:c>
      <x:c r="G1954" s="18" t="n">
        <x:v>0.99</x:v>
      </x:c>
      <x:c r="H1954" s="18" t="n">
        <x:v>0.77</x:v>
      </x:c>
      <x:c r="I1954" s="18" t="n">
        <x:v>9.76</x:v>
      </x:c>
      <x:c r="J1954" t="n">
        <x:f>IF(A1954=A1953,IFERROR(IF(B1954=EDATE(B1953,1),C1953,0),0),0)</x:f>
        <x:v>1</x:v>
      </x:c>
      <x:c r="K1954" t="n">
        <x:f>IF(AND(J1954=1,C1954=0),1,0)</x:f>
        <x:v>0</x:v>
      </x:c>
      <x:c r="L1954" t="str">
        <x:f>IFERROR(INDEX(Customers!$C$2:$C$451,MATCH(A1954,Customers!$A$2:$A$451,0)),"Unknown")</x:f>
        <x:v>Plus</x:v>
      </x:c>
    </x:row>
    <x:row r="1955">
      <x:c r="A1955" t="n">
        <x:v>357</x:v>
      </x:c>
      <x:c r="B1955" s="16" t="n">
        <x:v>46235</x:v>
      </x:c>
      <x:c r="C1955" t="n">
        <x:v>1</x:v>
      </x:c>
      <x:c r="D1955" t="n">
        <x:v>5</x:v>
      </x:c>
      <x:c r="E1955" s="18" t="n">
        <x:v>341.2</x:v>
      </x:c>
      <x:c r="F1955" s="18" t="n">
        <x:v>8</x:v>
      </x:c>
      <x:c r="G1955" s="18" t="n">
        <x:v>1.54</x:v>
      </x:c>
      <x:c r="H1955" s="18" t="n">
        <x:v>0.51</x:v>
      </x:c>
      <x:c r="I1955" s="18" t="n">
        <x:v>10.05</x:v>
      </x:c>
      <x:c r="J1955" t="n">
        <x:f>IF(A1955=A1954,IFERROR(IF(B1955=EDATE(B1954,1),C1954,0),0),0)</x:f>
        <x:v>1</x:v>
      </x:c>
      <x:c r="K1955" t="n">
        <x:f>IF(AND(J1955=1,C1955=0),1,0)</x:f>
        <x:v>0</x:v>
      </x:c>
      <x:c r="L1955" t="str">
        <x:f>IFERROR(INDEX(Customers!$C$2:$C$451,MATCH(A1955,Customers!$A$2:$A$451,0)),"Unknown")</x:f>
        <x:v>Plus</x:v>
      </x:c>
    </x:row>
    <x:row r="1956">
      <x:c r="A1956" t="n">
        <x:v>357</x:v>
      </x:c>
      <x:c r="B1956" s="16" t="n">
        <x:v>46266</x:v>
      </x:c>
      <x:c r="C1956" t="n">
        <x:v>1</x:v>
      </x:c>
      <x:c r="D1956" t="n">
        <x:v>18</x:v>
      </x:c>
      <x:c r="E1956" s="18" t="n">
        <x:v>1288.06</x:v>
      </x:c>
      <x:c r="F1956" s="18" t="n">
        <x:v>8</x:v>
      </x:c>
      <x:c r="G1956" s="18" t="n">
        <x:v>5.8</x:v>
      </x:c>
      <x:c r="H1956" s="18" t="n">
        <x:v>1.1</x:v>
      </x:c>
      <x:c r="I1956" s="18" t="n">
        <x:v>14.9</x:v>
      </x:c>
      <x:c r="J1956" t="n">
        <x:f>IF(A1956=A1955,IFERROR(IF(B1956=EDATE(B1955,1),C1955,0),0),0)</x:f>
        <x:v>1</x:v>
      </x:c>
      <x:c r="K1956" t="n">
        <x:f>IF(AND(J1956=1,C1956=0),1,0)</x:f>
        <x:v>0</x:v>
      </x:c>
      <x:c r="L1956" t="str">
        <x:f>IFERROR(INDEX(Customers!$C$2:$C$451,MATCH(A1956,Customers!$A$2:$A$451,0)),"Unknown")</x:f>
        <x:v>Plus</x:v>
      </x:c>
    </x:row>
    <x:row r="1957">
      <x:c r="A1957" t="n">
        <x:v>358</x:v>
      </x:c>
      <x:c r="B1957" s="16" t="n">
        <x:v>46174</x:v>
      </x:c>
      <x:c r="C1957" t="n">
        <x:v>0</x:v>
      </x:c>
      <x:c r="D1957" t="n">
        <x:v>0</x:v>
      </x:c>
      <x:c r="E1957" s="18" t="n">
        <x:v>0</x:v>
      </x:c>
      <x:c r="F1957" s="18" t="n">
        <x:v>0</x:v>
      </x:c>
      <x:c r="G1957" s="18" t="n">
        <x:v>0</x:v>
      </x:c>
      <x:c r="H1957" s="18" t="n">
        <x:v>0</x:v>
      </x:c>
      <x:c r="I1957" s="18" t="n">
        <x:v>0</x:v>
      </x:c>
      <x:c r="J1957" t="n">
        <x:f>IF(A1957=A1956,IFERROR(IF(B1957=EDATE(B1956,1),C1956,0),0),0)</x:f>
        <x:v>0</x:v>
      </x:c>
      <x:c r="K1957" t="n">
        <x:f>IF(AND(J1957=1,C1957=0),1,0)</x:f>
        <x:v>0</x:v>
      </x:c>
      <x:c r="L1957" t="str">
        <x:f>IFERROR(INDEX(Customers!$C$2:$C$451,MATCH(A1957,Customers!$A$2:$A$451,0)),"Unknown")</x:f>
        <x:v>Standard</x:v>
      </x:c>
    </x:row>
    <x:row r="1958">
      <x:c r="A1958" t="n">
        <x:v>358</x:v>
      </x:c>
      <x:c r="B1958" s="16" t="n">
        <x:v>46204</x:v>
      </x:c>
      <x:c r="C1958" t="n">
        <x:v>1</x:v>
      </x:c>
      <x:c r="D1958" t="n">
        <x:v>9</x:v>
      </x:c>
      <x:c r="E1958" s="18" t="n">
        <x:v>754.95</x:v>
      </x:c>
      <x:c r="F1958" s="18" t="n">
        <x:v>0</x:v>
      </x:c>
      <x:c r="G1958" s="18" t="n">
        <x:v>3.4</x:v>
      </x:c>
      <x:c r="H1958" s="18" t="n">
        <x:v>0.95</x:v>
      </x:c>
      <x:c r="I1958" s="18" t="n">
        <x:v>4.35</x:v>
      </x:c>
      <x:c r="J1958" t="n">
        <x:f>IF(A1958=A1957,IFERROR(IF(B1958=EDATE(B1957,1),C1957,0),0),0)</x:f>
        <x:v>0</x:v>
      </x:c>
      <x:c r="K1958" t="n">
        <x:f>IF(AND(J1958=1,C1958=0),1,0)</x:f>
        <x:v>0</x:v>
      </x:c>
      <x:c r="L1958" t="str">
        <x:f>IFERROR(INDEX(Customers!$C$2:$C$451,MATCH(A1958,Customers!$A$2:$A$451,0)),"Unknown")</x:f>
        <x:v>Standard</x:v>
      </x:c>
    </x:row>
    <x:row r="1959">
      <x:c r="A1959" t="n">
        <x:v>358</x:v>
      </x:c>
      <x:c r="B1959" s="16" t="n">
        <x:v>46235</x:v>
      </x:c>
      <x:c r="C1959" t="n">
        <x:v>0</x:v>
      </x:c>
      <x:c r="D1959" t="n">
        <x:v>0</x:v>
      </x:c>
      <x:c r="E1959" s="18" t="n">
        <x:v>0</x:v>
      </x:c>
      <x:c r="F1959" s="18" t="n">
        <x:v>0</x:v>
      </x:c>
      <x:c r="G1959" s="18" t="n">
        <x:v>0</x:v>
      </x:c>
      <x:c r="H1959" s="18" t="n">
        <x:v>0</x:v>
      </x:c>
      <x:c r="I1959" s="18" t="n">
        <x:v>0</x:v>
      </x:c>
      <x:c r="J1959" t="n">
        <x:f>IF(A1959=A1958,IFERROR(IF(B1959=EDATE(B1958,1),C1958,0),0),0)</x:f>
        <x:v>1</x:v>
      </x:c>
      <x:c r="K1959" t="n">
        <x:f>IF(AND(J1959=1,C1959=0),1,0)</x:f>
        <x:v>1</x:v>
      </x:c>
      <x:c r="L1959" t="str">
        <x:f>IFERROR(INDEX(Customers!$C$2:$C$451,MATCH(A1959,Customers!$A$2:$A$451,0)),"Unknown")</x:f>
        <x:v>Standard</x:v>
      </x:c>
    </x:row>
    <x:row r="1960">
      <x:c r="A1960" t="n">
        <x:v>358</x:v>
      </x:c>
      <x:c r="B1960" s="16" t="n">
        <x:v>46266</x:v>
      </x:c>
      <x:c r="C1960" t="n">
        <x:v>1</x:v>
      </x:c>
      <x:c r="D1960" t="n">
        <x:v>35</x:v>
      </x:c>
      <x:c r="E1960" s="18" t="n">
        <x:v>4055.91</x:v>
      </x:c>
      <x:c r="F1960" s="18" t="n">
        <x:v>0</x:v>
      </x:c>
      <x:c r="G1960" s="18" t="n">
        <x:v>18.25</x:v>
      </x:c>
      <x:c r="H1960" s="18" t="n">
        <x:v>9.72</x:v>
      </x:c>
      <x:c r="I1960" s="18" t="n">
        <x:v>27.97</x:v>
      </x:c>
      <x:c r="J1960" t="n">
        <x:f>IF(A1960=A1959,IFERROR(IF(B1960=EDATE(B1959,1),C1959,0),0),0)</x:f>
        <x:v>0</x:v>
      </x:c>
      <x:c r="K1960" t="n">
        <x:f>IF(AND(J1960=1,C1960=0),1,0)</x:f>
        <x:v>0</x:v>
      </x:c>
      <x:c r="L1960" t="str">
        <x:f>IFERROR(INDEX(Customers!$C$2:$C$451,MATCH(A1960,Customers!$A$2:$A$451,0)),"Unknown")</x:f>
        <x:v>Standard</x:v>
      </x:c>
    </x:row>
    <x:row r="1961">
      <x:c r="A1961" t="n">
        <x:v>359</x:v>
      </x:c>
      <x:c r="B1961" s="16" t="n">
        <x:v>46113</x:v>
      </x:c>
      <x:c r="C1961" t="n">
        <x:v>1</x:v>
      </x:c>
      <x:c r="D1961" t="n">
        <x:v>34</x:v>
      </x:c>
      <x:c r="E1961" s="18" t="n">
        <x:v>3426.06</x:v>
      </x:c>
      <x:c r="F1961" s="18" t="n">
        <x:v>0</x:v>
      </x:c>
      <x:c r="G1961" s="18" t="n">
        <x:v>15.42</x:v>
      </x:c>
      <x:c r="H1961" s="18" t="n">
        <x:v>3.9</x:v>
      </x:c>
      <x:c r="I1961" s="18" t="n">
        <x:v>19.32</x:v>
      </x:c>
      <x:c r="J1961" t="n">
        <x:f>IF(A1961=A1960,IFERROR(IF(B1961=EDATE(B1960,1),C1960,0),0),0)</x:f>
        <x:v>0</x:v>
      </x:c>
      <x:c r="K1961" t="n">
        <x:f>IF(AND(J1961=1,C1961=0),1,0)</x:f>
        <x:v>0</x:v>
      </x:c>
      <x:c r="L1961" t="str">
        <x:f>IFERROR(INDEX(Customers!$C$2:$C$451,MATCH(A1961,Customers!$A$2:$A$451,0)),"Unknown")</x:f>
        <x:v>Standard</x:v>
      </x:c>
    </x:row>
    <x:row r="1962">
      <x:c r="A1962" t="n">
        <x:v>359</x:v>
      </x:c>
      <x:c r="B1962" s="16" t="n">
        <x:v>46143</x:v>
      </x:c>
      <x:c r="C1962" t="n">
        <x:v>1</x:v>
      </x:c>
      <x:c r="D1962" t="n">
        <x:v>17</x:v>
      </x:c>
      <x:c r="E1962" s="18" t="n">
        <x:v>2172.43</x:v>
      </x:c>
      <x:c r="F1962" s="18" t="n">
        <x:v>0</x:v>
      </x:c>
      <x:c r="G1962" s="18" t="n">
        <x:v>9.78</x:v>
      </x:c>
      <x:c r="H1962" s="18" t="n">
        <x:v>5.78</x:v>
      </x:c>
      <x:c r="I1962" s="18" t="n">
        <x:v>15.56</x:v>
      </x:c>
      <x:c r="J1962" t="n">
        <x:f>IF(A1962=A1961,IFERROR(IF(B1962=EDATE(B1961,1),C1961,0),0),0)</x:f>
        <x:v>1</x:v>
      </x:c>
      <x:c r="K1962" t="n">
        <x:f>IF(AND(J1962=1,C1962=0),1,0)</x:f>
        <x:v>0</x:v>
      </x:c>
      <x:c r="L1962" t="str">
        <x:f>IFERROR(INDEX(Customers!$C$2:$C$451,MATCH(A1962,Customers!$A$2:$A$451,0)),"Unknown")</x:f>
        <x:v>Standard</x:v>
      </x:c>
    </x:row>
    <x:row r="1963">
      <x:c r="A1963" t="n">
        <x:v>359</x:v>
      </x:c>
      <x:c r="B1963" s="16" t="n">
        <x:v>46174</x:v>
      </x:c>
      <x:c r="C1963" t="n">
        <x:v>0</x:v>
      </x:c>
      <x:c r="D1963" t="n">
        <x:v>0</x:v>
      </x:c>
      <x:c r="E1963" s="18" t="n">
        <x:v>0</x:v>
      </x:c>
      <x:c r="F1963" s="18" t="n">
        <x:v>0</x:v>
      </x:c>
      <x:c r="G1963" s="18" t="n">
        <x:v>0</x:v>
      </x:c>
      <x:c r="H1963" s="18" t="n">
        <x:v>0</x:v>
      </x:c>
      <x:c r="I1963" s="18" t="n">
        <x:v>0</x:v>
      </x:c>
      <x:c r="J1963" t="n">
        <x:f>IF(A1963=A1962,IFERROR(IF(B1963=EDATE(B1962,1),C1962,0),0),0)</x:f>
        <x:v>1</x:v>
      </x:c>
      <x:c r="K1963" t="n">
        <x:f>IF(AND(J1963=1,C1963=0),1,0)</x:f>
        <x:v>1</x:v>
      </x:c>
      <x:c r="L1963" t="str">
        <x:f>IFERROR(INDEX(Customers!$C$2:$C$451,MATCH(A1963,Customers!$A$2:$A$451,0)),"Unknown")</x:f>
        <x:v>Standard</x:v>
      </x:c>
    </x:row>
    <x:row r="1964">
      <x:c r="A1964" t="n">
        <x:v>359</x:v>
      </x:c>
      <x:c r="B1964" s="16" t="n">
        <x:v>46204</x:v>
      </x:c>
      <x:c r="C1964" t="n">
        <x:v>1</x:v>
      </x:c>
      <x:c r="D1964" t="n">
        <x:v>17</x:v>
      </x:c>
      <x:c r="E1964" s="18" t="n">
        <x:v>633.85</x:v>
      </x:c>
      <x:c r="F1964" s="18" t="n">
        <x:v>0</x:v>
      </x:c>
      <x:c r="G1964" s="18" t="n">
        <x:v>2.85</x:v>
      </x:c>
      <x:c r="H1964" s="18" t="n">
        <x:v>0.62</x:v>
      </x:c>
      <x:c r="I1964" s="18" t="n">
        <x:v>3.47</x:v>
      </x:c>
      <x:c r="J1964" t="n">
        <x:f>IF(A1964=A1963,IFERROR(IF(B1964=EDATE(B1963,1),C1963,0),0),0)</x:f>
        <x:v>0</x:v>
      </x:c>
      <x:c r="K1964" t="n">
        <x:f>IF(AND(J1964=1,C1964=0),1,0)</x:f>
        <x:v>0</x:v>
      </x:c>
      <x:c r="L1964" t="str">
        <x:f>IFERROR(INDEX(Customers!$C$2:$C$451,MATCH(A1964,Customers!$A$2:$A$451,0)),"Unknown")</x:f>
        <x:v>Standard</x:v>
      </x:c>
    </x:row>
    <x:row r="1965">
      <x:c r="A1965" t="n">
        <x:v>359</x:v>
      </x:c>
      <x:c r="B1965" s="16" t="n">
        <x:v>46235</x:v>
      </x:c>
      <x:c r="C1965" t="n">
        <x:v>1</x:v>
      </x:c>
      <x:c r="D1965" t="n">
        <x:v>33</x:v>
      </x:c>
      <x:c r="E1965" s="18" t="n">
        <x:v>1299.91</x:v>
      </x:c>
      <x:c r="F1965" s="18" t="n">
        <x:v>0</x:v>
      </x:c>
      <x:c r="G1965" s="18" t="n">
        <x:v>5.85</x:v>
      </x:c>
      <x:c r="H1965" s="18" t="n">
        <x:v>4.11</x:v>
      </x:c>
      <x:c r="I1965" s="18" t="n">
        <x:v>9.96</x:v>
      </x:c>
      <x:c r="J1965" t="n">
        <x:f>IF(A1965=A1964,IFERROR(IF(B1965=EDATE(B1964,1),C1964,0),0),0)</x:f>
        <x:v>1</x:v>
      </x:c>
      <x:c r="K1965" t="n">
        <x:f>IF(AND(J1965=1,C1965=0),1,0)</x:f>
        <x:v>0</x:v>
      </x:c>
      <x:c r="L1965" t="str">
        <x:f>IFERROR(INDEX(Customers!$C$2:$C$451,MATCH(A1965,Customers!$A$2:$A$451,0)),"Unknown")</x:f>
        <x:v>Standard</x:v>
      </x:c>
    </x:row>
    <x:row r="1966">
      <x:c r="A1966" t="n">
        <x:v>359</x:v>
      </x:c>
      <x:c r="B1966" s="16" t="n">
        <x:v>46266</x:v>
      </x:c>
      <x:c r="C1966" t="n">
        <x:v>1</x:v>
      </x:c>
      <x:c r="D1966" t="n">
        <x:v>34</x:v>
      </x:c>
      <x:c r="E1966" s="18" t="n">
        <x:v>1524.32</x:v>
      </x:c>
      <x:c r="F1966" s="18" t="n">
        <x:v>0</x:v>
      </x:c>
      <x:c r="G1966" s="18" t="n">
        <x:v>6.86</x:v>
      </x:c>
      <x:c r="H1966" s="18" t="n">
        <x:v>3.03</x:v>
      </x:c>
      <x:c r="I1966" s="18" t="n">
        <x:v>9.89</x:v>
      </x:c>
      <x:c r="J1966" t="n">
        <x:f>IF(A1966=A1965,IFERROR(IF(B1966=EDATE(B1965,1),C1965,0),0),0)</x:f>
        <x:v>1</x:v>
      </x:c>
      <x:c r="K1966" t="n">
        <x:f>IF(AND(J1966=1,C1966=0),1,0)</x:f>
        <x:v>0</x:v>
      </x:c>
      <x:c r="L1966" t="str">
        <x:f>IFERROR(INDEX(Customers!$C$2:$C$451,MATCH(A1966,Customers!$A$2:$A$451,0)),"Unknown")</x:f>
        <x:v>Standard</x:v>
      </x:c>
    </x:row>
    <x:row r="1967">
      <x:c r="A1967" t="n">
        <x:v>360</x:v>
      </x:c>
      <x:c r="B1967" s="16" t="n">
        <x:v>46174</x:v>
      </x:c>
      <x:c r="C1967" t="n">
        <x:v>0</x:v>
      </x:c>
      <x:c r="D1967" t="n">
        <x:v>0</x:v>
      </x:c>
      <x:c r="E1967" s="18" t="n">
        <x:v>0</x:v>
      </x:c>
      <x:c r="F1967" s="18" t="n">
        <x:v>0</x:v>
      </x:c>
      <x:c r="G1967" s="18" t="n">
        <x:v>0</x:v>
      </x:c>
      <x:c r="H1967" s="18" t="n">
        <x:v>0</x:v>
      </x:c>
      <x:c r="I1967" s="18" t="n">
        <x:v>0</x:v>
      </x:c>
      <x:c r="J1967" t="n">
        <x:f>IF(A1967=A1966,IFERROR(IF(B1967=EDATE(B1966,1),C1966,0),0),0)</x:f>
        <x:v>0</x:v>
      </x:c>
      <x:c r="K1967" t="n">
        <x:f>IF(AND(J1967=1,C1967=0),1,0)</x:f>
        <x:v>0</x:v>
      </x:c>
      <x:c r="L1967" t="str">
        <x:f>IFERROR(INDEX(Customers!$C$2:$C$451,MATCH(A1967,Customers!$A$2:$A$451,0)),"Unknown")</x:f>
        <x:v>Standard</x:v>
      </x:c>
    </x:row>
    <x:row r="1968">
      <x:c r="A1968" t="n">
        <x:v>360</x:v>
      </x:c>
      <x:c r="B1968" s="16" t="n">
        <x:v>46204</x:v>
      </x:c>
      <x:c r="C1968" t="n">
        <x:v>0</x:v>
      </x:c>
      <x:c r="D1968" t="n">
        <x:v>0</x:v>
      </x:c>
      <x:c r="E1968" s="18" t="n">
        <x:v>0</x:v>
      </x:c>
      <x:c r="F1968" s="18" t="n">
        <x:v>0</x:v>
      </x:c>
      <x:c r="G1968" s="18" t="n">
        <x:v>0</x:v>
      </x:c>
      <x:c r="H1968" s="18" t="n">
        <x:v>0</x:v>
      </x:c>
      <x:c r="I1968" s="18" t="n">
        <x:v>0</x:v>
      </x:c>
      <x:c r="J1968" t="n">
        <x:f>IF(A1968=A1967,IFERROR(IF(B1968=EDATE(B1967,1),C1967,0),0),0)</x:f>
        <x:v>0</x:v>
      </x:c>
      <x:c r="K1968" t="n">
        <x:f>IF(AND(J1968=1,C1968=0),1,0)</x:f>
        <x:v>0</x:v>
      </x:c>
      <x:c r="L1968" t="str">
        <x:f>IFERROR(INDEX(Customers!$C$2:$C$451,MATCH(A1968,Customers!$A$2:$A$451,0)),"Unknown")</x:f>
        <x:v>Standard</x:v>
      </x:c>
    </x:row>
    <x:row r="1969">
      <x:c r="A1969" t="n">
        <x:v>360</x:v>
      </x:c>
      <x:c r="B1969" s="16" t="n">
        <x:v>46235</x:v>
      </x:c>
      <x:c r="C1969" t="n">
        <x:v>1</x:v>
      </x:c>
      <x:c r="D1969" t="n">
        <x:v>11</x:v>
      </x:c>
      <x:c r="E1969" s="18" t="n">
        <x:v>781.02</x:v>
      </x:c>
      <x:c r="F1969" s="18" t="n">
        <x:v>0</x:v>
      </x:c>
      <x:c r="G1969" s="18" t="n">
        <x:v>3.51</x:v>
      </x:c>
      <x:c r="H1969" s="18" t="n">
        <x:v>2.72</x:v>
      </x:c>
      <x:c r="I1969" s="18" t="n">
        <x:v>6.23</x:v>
      </x:c>
      <x:c r="J1969" t="n">
        <x:f>IF(A1969=A1968,IFERROR(IF(B1969=EDATE(B1968,1),C1968,0),0),0)</x:f>
        <x:v>0</x:v>
      </x:c>
      <x:c r="K1969" t="n">
        <x:f>IF(AND(J1969=1,C1969=0),1,0)</x:f>
        <x:v>0</x:v>
      </x:c>
      <x:c r="L1969" t="str">
        <x:f>IFERROR(INDEX(Customers!$C$2:$C$451,MATCH(A1969,Customers!$A$2:$A$451,0)),"Unknown")</x:f>
        <x:v>Standard</x:v>
      </x:c>
    </x:row>
    <x:row r="1970">
      <x:c r="A1970" t="n">
        <x:v>360</x:v>
      </x:c>
      <x:c r="B1970" s="16" t="n">
        <x:v>46266</x:v>
      </x:c>
      <x:c r="C1970" t="n">
        <x:v>1</x:v>
      </x:c>
      <x:c r="D1970" t="n">
        <x:v>21</x:v>
      </x:c>
      <x:c r="E1970" s="18" t="n">
        <x:v>2447.59</x:v>
      </x:c>
      <x:c r="F1970" s="18" t="n">
        <x:v>0</x:v>
      </x:c>
      <x:c r="G1970" s="18" t="n">
        <x:v>11.01</x:v>
      </x:c>
      <x:c r="H1970" s="18" t="n">
        <x:v>2.33</x:v>
      </x:c>
      <x:c r="I1970" s="18" t="n">
        <x:v>13.34</x:v>
      </x:c>
      <x:c r="J1970" t="n">
        <x:f>IF(A1970=A1969,IFERROR(IF(B1970=EDATE(B1969,1),C1969,0),0),0)</x:f>
        <x:v>1</x:v>
      </x:c>
      <x:c r="K1970" t="n">
        <x:f>IF(AND(J1970=1,C1970=0),1,0)</x:f>
        <x:v>0</x:v>
      </x:c>
      <x:c r="L1970" t="str">
        <x:f>IFERROR(INDEX(Customers!$C$2:$C$451,MATCH(A1970,Customers!$A$2:$A$451,0)),"Unknown")</x:f>
        <x:v>Standard</x:v>
      </x:c>
    </x:row>
    <x:row r="1971">
      <x:c r="A1971" t="n">
        <x:v>361</x:v>
      </x:c>
      <x:c r="B1971" s="16" t="n">
        <x:v>46113</x:v>
      </x:c>
      <x:c r="C1971" t="n">
        <x:v>1</x:v>
      </x:c>
      <x:c r="D1971" t="n">
        <x:v>4</x:v>
      </x:c>
      <x:c r="E1971" s="18" t="n">
        <x:v>310.56</x:v>
      </x:c>
      <x:c r="F1971" s="18" t="n">
        <x:v>34</x:v>
      </x:c>
      <x:c r="G1971" s="18" t="n">
        <x:v>1.4</x:v>
      </x:c>
      <x:c r="H1971" s="18" t="n">
        <x:v>0.96</x:v>
      </x:c>
      <x:c r="I1971" s="18" t="n">
        <x:v>36.36</x:v>
      </x:c>
      <x:c r="J1971" t="n">
        <x:f>IF(A1971=A1970,IFERROR(IF(B1971=EDATE(B1970,1),C1970,0),0),0)</x:f>
        <x:v>0</x:v>
      </x:c>
      <x:c r="K1971" t="n">
        <x:f>IF(AND(J1971=1,C1971=0),1,0)</x:f>
        <x:v>0</x:v>
      </x:c>
      <x:c r="L1971" t="str">
        <x:f>IFERROR(INDEX(Customers!$C$2:$C$451,MATCH(A1971,Customers!$A$2:$A$451,0)),"Unknown")</x:f>
        <x:v>Metal</x:v>
      </x:c>
    </x:row>
    <x:row r="1972">
      <x:c r="A1972" t="n">
        <x:v>361</x:v>
      </x:c>
      <x:c r="B1972" s="16" t="n">
        <x:v>46143</x:v>
      </x:c>
      <x:c r="C1972" t="n">
        <x:v>1</x:v>
      </x:c>
      <x:c r="D1972" t="n">
        <x:v>18</x:v>
      </x:c>
      <x:c r="E1972" s="18" t="n">
        <x:v>1178.52</x:v>
      </x:c>
      <x:c r="F1972" s="18" t="n">
        <x:v>34</x:v>
      </x:c>
      <x:c r="G1972" s="18" t="n">
        <x:v>5.3</x:v>
      </x:c>
      <x:c r="H1972" s="18" t="n">
        <x:v>4.19</x:v>
      </x:c>
      <x:c r="I1972" s="18" t="n">
        <x:v>43.49</x:v>
      </x:c>
      <x:c r="J1972" t="n">
        <x:f>IF(A1972=A1971,IFERROR(IF(B1972=EDATE(B1971,1),C1971,0),0),0)</x:f>
        <x:v>1</x:v>
      </x:c>
      <x:c r="K1972" t="n">
        <x:f>IF(AND(J1972=1,C1972=0),1,0)</x:f>
        <x:v>0</x:v>
      </x:c>
      <x:c r="L1972" t="str">
        <x:f>IFERROR(INDEX(Customers!$C$2:$C$451,MATCH(A1972,Customers!$A$2:$A$451,0)),"Unknown")</x:f>
        <x:v>Metal</x:v>
      </x:c>
    </x:row>
    <x:row r="1973">
      <x:c r="A1973" t="n">
        <x:v>361</x:v>
      </x:c>
      <x:c r="B1973" s="16" t="n">
        <x:v>46174</x:v>
      </x:c>
      <x:c r="C1973" t="n">
        <x:v>1</x:v>
      </x:c>
      <x:c r="D1973" t="n">
        <x:v>24</x:v>
      </x:c>
      <x:c r="E1973" s="18" t="n">
        <x:v>908.4</x:v>
      </x:c>
      <x:c r="F1973" s="18" t="n">
        <x:v>34</x:v>
      </x:c>
      <x:c r="G1973" s="18" t="n">
        <x:v>4.09</x:v>
      </x:c>
      <x:c r="H1973" s="18" t="n">
        <x:v>1.81</x:v>
      </x:c>
      <x:c r="I1973" s="18" t="n">
        <x:v>39.9</x:v>
      </x:c>
      <x:c r="J1973" t="n">
        <x:f>IF(A1973=A1972,IFERROR(IF(B1973=EDATE(B1972,1),C1972,0),0),0)</x:f>
        <x:v>1</x:v>
      </x:c>
      <x:c r="K1973" t="n">
        <x:f>IF(AND(J1973=1,C1973=0),1,0)</x:f>
        <x:v>0</x:v>
      </x:c>
      <x:c r="L1973" t="str">
        <x:f>IFERROR(INDEX(Customers!$C$2:$C$451,MATCH(A1973,Customers!$A$2:$A$451,0)),"Unknown")</x:f>
        <x:v>Metal</x:v>
      </x:c>
    </x:row>
    <x:row r="1974">
      <x:c r="A1974" t="n">
        <x:v>361</x:v>
      </x:c>
      <x:c r="B1974" s="16" t="n">
        <x:v>46204</x:v>
      </x:c>
      <x:c r="C1974" t="n">
        <x:v>1</x:v>
      </x:c>
      <x:c r="D1974" t="n">
        <x:v>22</x:v>
      </x:c>
      <x:c r="E1974" s="18" t="n">
        <x:v>2365.42</x:v>
      </x:c>
      <x:c r="F1974" s="18" t="n">
        <x:v>34</x:v>
      </x:c>
      <x:c r="G1974" s="18" t="n">
        <x:v>10.64</x:v>
      </x:c>
      <x:c r="H1974" s="18" t="n">
        <x:v>6.87</x:v>
      </x:c>
      <x:c r="I1974" s="18" t="n">
        <x:v>51.51</x:v>
      </x:c>
      <x:c r="J1974" t="n">
        <x:f>IF(A1974=A1973,IFERROR(IF(B1974=EDATE(B1973,1),C1973,0),0),0)</x:f>
        <x:v>1</x:v>
      </x:c>
      <x:c r="K1974" t="n">
        <x:f>IF(AND(J1974=1,C1974=0),1,0)</x:f>
        <x:v>0</x:v>
      </x:c>
      <x:c r="L1974" t="str">
        <x:f>IFERROR(INDEX(Customers!$C$2:$C$451,MATCH(A1974,Customers!$A$2:$A$451,0)),"Unknown")</x:f>
        <x:v>Metal</x:v>
      </x:c>
    </x:row>
    <x:row r="1975">
      <x:c r="A1975" t="n">
        <x:v>361</x:v>
      </x:c>
      <x:c r="B1975" s="16" t="n">
        <x:v>46235</x:v>
      </x:c>
      <x:c r="C1975" t="n">
        <x:v>1</x:v>
      </x:c>
      <x:c r="D1975" t="n">
        <x:v>16</x:v>
      </x:c>
      <x:c r="E1975" s="18" t="n">
        <x:v>1839.03</x:v>
      </x:c>
      <x:c r="F1975" s="18" t="n">
        <x:v>34</x:v>
      </x:c>
      <x:c r="G1975" s="18" t="n">
        <x:v>8.28</x:v>
      </x:c>
      <x:c r="H1975" s="18" t="n">
        <x:v>3.51</x:v>
      </x:c>
      <x:c r="I1975" s="18" t="n">
        <x:v>45.79</x:v>
      </x:c>
      <x:c r="J1975" t="n">
        <x:f>IF(A1975=A1974,IFERROR(IF(B1975=EDATE(B1974,1),C1974,0),0),0)</x:f>
        <x:v>1</x:v>
      </x:c>
      <x:c r="K1975" t="n">
        <x:f>IF(AND(J1975=1,C1975=0),1,0)</x:f>
        <x:v>0</x:v>
      </x:c>
      <x:c r="L1975" t="str">
        <x:f>IFERROR(INDEX(Customers!$C$2:$C$451,MATCH(A1975,Customers!$A$2:$A$451,0)),"Unknown")</x:f>
        <x:v>Metal</x:v>
      </x:c>
    </x:row>
    <x:row r="1976">
      <x:c r="A1976" t="n">
        <x:v>361</x:v>
      </x:c>
      <x:c r="B1976" s="16" t="n">
        <x:v>46266</x:v>
      </x:c>
      <x:c r="C1976" t="n">
        <x:v>1</x:v>
      </x:c>
      <x:c r="D1976" t="n">
        <x:v>10</x:v>
      </x:c>
      <x:c r="E1976" s="18" t="n">
        <x:v>828.2</x:v>
      </x:c>
      <x:c r="F1976" s="18" t="n">
        <x:v>34</x:v>
      </x:c>
      <x:c r="G1976" s="18" t="n">
        <x:v>3.73</x:v>
      </x:c>
      <x:c r="H1976" s="18" t="n">
        <x:v>2.87</x:v>
      </x:c>
      <x:c r="I1976" s="18" t="n">
        <x:v>40.6</x:v>
      </x:c>
      <x:c r="J1976" t="n">
        <x:f>IF(A1976=A1975,IFERROR(IF(B1976=EDATE(B1975,1),C1975,0),0),0)</x:f>
        <x:v>1</x:v>
      </x:c>
      <x:c r="K1976" t="n">
        <x:f>IF(AND(J1976=1,C1976=0),1,0)</x:f>
        <x:v>0</x:v>
      </x:c>
      <x:c r="L1976" t="str">
        <x:f>IFERROR(INDEX(Customers!$C$2:$C$451,MATCH(A1976,Customers!$A$2:$A$451,0)),"Unknown")</x:f>
        <x:v>Metal</x:v>
      </x:c>
    </x:row>
    <x:row r="1977">
      <x:c r="A1977" t="n">
        <x:v>362</x:v>
      </x:c>
      <x:c r="B1977" s="16" t="n">
        <x:v>46174</x:v>
      </x:c>
      <x:c r="C1977" t="n">
        <x:v>1</x:v>
      </x:c>
      <x:c r="D1977" t="n">
        <x:v>21</x:v>
      </x:c>
      <x:c r="E1977" s="18" t="n">
        <x:v>1151.58</x:v>
      </x:c>
      <x:c r="F1977" s="18" t="n">
        <x:v>17</x:v>
      </x:c>
      <x:c r="G1977" s="18" t="n">
        <x:v>5.18</x:v>
      </x:c>
      <x:c r="H1977" s="18" t="n">
        <x:v>1.58</x:v>
      </x:c>
      <x:c r="I1977" s="18" t="n">
        <x:v>23.76</x:v>
      </x:c>
      <x:c r="J1977" t="n">
        <x:f>IF(A1977=A1976,IFERROR(IF(B1977=EDATE(B1976,1),C1976,0),0),0)</x:f>
        <x:v>0</x:v>
      </x:c>
      <x:c r="K1977" t="n">
        <x:f>IF(AND(J1977=1,C1977=0),1,0)</x:f>
        <x:v>0</x:v>
      </x:c>
      <x:c r="L1977" t="str">
        <x:f>IFERROR(INDEX(Customers!$C$2:$C$451,MATCH(A1977,Customers!$A$2:$A$451,0)),"Unknown")</x:f>
        <x:v>Premium</x:v>
      </x:c>
    </x:row>
    <x:row r="1978">
      <x:c r="A1978" t="n">
        <x:v>362</x:v>
      </x:c>
      <x:c r="B1978" s="16" t="n">
        <x:v>46204</x:v>
      </x:c>
      <x:c r="C1978" t="n">
        <x:v>1</x:v>
      </x:c>
      <x:c r="D1978" t="n">
        <x:v>21</x:v>
      </x:c>
      <x:c r="E1978" s="18" t="n">
        <x:v>1691.03</x:v>
      </x:c>
      <x:c r="F1978" s="18" t="n">
        <x:v>17</x:v>
      </x:c>
      <x:c r="G1978" s="18" t="n">
        <x:v>7.61</x:v>
      </x:c>
      <x:c r="H1978" s="18" t="n">
        <x:v>4.04</x:v>
      </x:c>
      <x:c r="I1978" s="18" t="n">
        <x:v>28.65</x:v>
      </x:c>
      <x:c r="J1978" t="n">
        <x:f>IF(A1978=A1977,IFERROR(IF(B1978=EDATE(B1977,1),C1977,0),0),0)</x:f>
        <x:v>1</x:v>
      </x:c>
      <x:c r="K1978" t="n">
        <x:f>IF(AND(J1978=1,C1978=0),1,0)</x:f>
        <x:v>0</x:v>
      </x:c>
      <x:c r="L1978" t="str">
        <x:f>IFERROR(INDEX(Customers!$C$2:$C$451,MATCH(A1978,Customers!$A$2:$A$451,0)),"Unknown")</x:f>
        <x:v>Premium</x:v>
      </x:c>
    </x:row>
    <x:row r="1979">
      <x:c r="A1979" t="n">
        <x:v>362</x:v>
      </x:c>
      <x:c r="B1979" s="16" t="n">
        <x:v>46235</x:v>
      </x:c>
      <x:c r="C1979" t="n">
        <x:v>1</x:v>
      </x:c>
      <x:c r="D1979" t="n">
        <x:v>15</x:v>
      </x:c>
      <x:c r="E1979" s="18" t="n">
        <x:v>1566.17</x:v>
      </x:c>
      <x:c r="F1979" s="18" t="n">
        <x:v>17</x:v>
      </x:c>
      <x:c r="G1979" s="18" t="n">
        <x:v>7.05</x:v>
      </x:c>
      <x:c r="H1979" s="18" t="n">
        <x:v>2.54</x:v>
      </x:c>
      <x:c r="I1979" s="18" t="n">
        <x:v>26.59</x:v>
      </x:c>
      <x:c r="J1979" t="n">
        <x:f>IF(A1979=A1978,IFERROR(IF(B1979=EDATE(B1978,1),C1978,0),0),0)</x:f>
        <x:v>1</x:v>
      </x:c>
      <x:c r="K1979" t="n">
        <x:f>IF(AND(J1979=1,C1979=0),1,0)</x:f>
        <x:v>0</x:v>
      </x:c>
      <x:c r="L1979" t="str">
        <x:f>IFERROR(INDEX(Customers!$C$2:$C$451,MATCH(A1979,Customers!$A$2:$A$451,0)),"Unknown")</x:f>
        <x:v>Premium</x:v>
      </x:c>
    </x:row>
    <x:row r="1980">
      <x:c r="A1980" t="n">
        <x:v>362</x:v>
      </x:c>
      <x:c r="B1980" s="16" t="n">
        <x:v>46266</x:v>
      </x:c>
      <x:c r="C1980" t="n">
        <x:v>1</x:v>
      </x:c>
      <x:c r="D1980" t="n">
        <x:v>18</x:v>
      </x:c>
      <x:c r="E1980" s="18" t="n">
        <x:v>1116.96</x:v>
      </x:c>
      <x:c r="F1980" s="18" t="n">
        <x:v>17</x:v>
      </x:c>
      <x:c r="G1980" s="18" t="n">
        <x:v>5.03</x:v>
      </x:c>
      <x:c r="H1980" s="18" t="n">
        <x:v>1.39</x:v>
      </x:c>
      <x:c r="I1980" s="18" t="n">
        <x:v>23.42</x:v>
      </x:c>
      <x:c r="J1980" t="n">
        <x:f>IF(A1980=A1979,IFERROR(IF(B1980=EDATE(B1979,1),C1979,0),0),0)</x:f>
        <x:v>1</x:v>
      </x:c>
      <x:c r="K1980" t="n">
        <x:f>IF(AND(J1980=1,C1980=0),1,0)</x:f>
        <x:v>0</x:v>
      </x:c>
      <x:c r="L1980" t="str">
        <x:f>IFERROR(INDEX(Customers!$C$2:$C$451,MATCH(A1980,Customers!$A$2:$A$451,0)),"Unknown")</x:f>
        <x:v>Premium</x:v>
      </x:c>
    </x:row>
    <x:row r="1981">
      <x:c r="A1981" t="n">
        <x:v>363</x:v>
      </x:c>
      <x:c r="B1981" s="16" t="n">
        <x:v>46113</x:v>
      </x:c>
      <x:c r="C1981" t="n">
        <x:v>1</x:v>
      </x:c>
      <x:c r="D1981" t="n">
        <x:v>35</x:v>
      </x:c>
      <x:c r="E1981" s="18" t="n">
        <x:v>1365.6</x:v>
      </x:c>
      <x:c r="F1981" s="18" t="n">
        <x:v>17</x:v>
      </x:c>
      <x:c r="G1981" s="18" t="n">
        <x:v>6.15</x:v>
      </x:c>
      <x:c r="H1981" s="18" t="n">
        <x:v>4.74</x:v>
      </x:c>
      <x:c r="I1981" s="18" t="n">
        <x:v>27.89</x:v>
      </x:c>
      <x:c r="J1981" t="n">
        <x:f>IF(A1981=A1980,IFERROR(IF(B1981=EDATE(B1980,1),C1980,0),0),0)</x:f>
        <x:v>0</x:v>
      </x:c>
      <x:c r="K1981" t="n">
        <x:f>IF(AND(J1981=1,C1981=0),1,0)</x:f>
        <x:v>0</x:v>
      </x:c>
      <x:c r="L1981" t="str">
        <x:f>IFERROR(INDEX(Customers!$C$2:$C$451,MATCH(A1981,Customers!$A$2:$A$451,0)),"Unknown")</x:f>
        <x:v>Premium</x:v>
      </x:c>
    </x:row>
    <x:row r="1982">
      <x:c r="A1982" t="n">
        <x:v>363</x:v>
      </x:c>
      <x:c r="B1982" s="16" t="n">
        <x:v>46143</x:v>
      </x:c>
      <x:c r="C1982" t="n">
        <x:v>1</x:v>
      </x:c>
      <x:c r="D1982" t="n">
        <x:v>15</x:v>
      </x:c>
      <x:c r="E1982" s="18" t="n">
        <x:v>737.96</x:v>
      </x:c>
      <x:c r="F1982" s="18" t="n">
        <x:v>17</x:v>
      </x:c>
      <x:c r="G1982" s="18" t="n">
        <x:v>3.32</x:v>
      </x:c>
      <x:c r="H1982" s="18" t="n">
        <x:v>2.75</x:v>
      </x:c>
      <x:c r="I1982" s="18" t="n">
        <x:v>23.07</x:v>
      </x:c>
      <x:c r="J1982" t="n">
        <x:f>IF(A1982=A1981,IFERROR(IF(B1982=EDATE(B1981,1),C1981,0),0),0)</x:f>
        <x:v>1</x:v>
      </x:c>
      <x:c r="K1982" t="n">
        <x:f>IF(AND(J1982=1,C1982=0),1,0)</x:f>
        <x:v>0</x:v>
      </x:c>
      <x:c r="L1982" t="str">
        <x:f>IFERROR(INDEX(Customers!$C$2:$C$451,MATCH(A1982,Customers!$A$2:$A$451,0)),"Unknown")</x:f>
        <x:v>Premium</x:v>
      </x:c>
    </x:row>
    <x:row r="1983">
      <x:c r="A1983" t="n">
        <x:v>363</x:v>
      </x:c>
      <x:c r="B1983" s="16" t="n">
        <x:v>46174</x:v>
      </x:c>
      <x:c r="C1983" t="n">
        <x:v>1</x:v>
      </x:c>
      <x:c r="D1983" t="n">
        <x:v>20</x:v>
      </x:c>
      <x:c r="E1983" s="18" t="n">
        <x:v>1026.9</x:v>
      </x:c>
      <x:c r="F1983" s="18" t="n">
        <x:v>17</x:v>
      </x:c>
      <x:c r="G1983" s="18" t="n">
        <x:v>4.62</x:v>
      </x:c>
      <x:c r="H1983" s="18" t="n">
        <x:v>2.59</x:v>
      </x:c>
      <x:c r="I1983" s="18" t="n">
        <x:v>24.21</x:v>
      </x:c>
      <x:c r="J1983" t="n">
        <x:f>IF(A1983=A1982,IFERROR(IF(B1983=EDATE(B1982,1),C1982,0),0),0)</x:f>
        <x:v>1</x:v>
      </x:c>
      <x:c r="K1983" t="n">
        <x:f>IF(AND(J1983=1,C1983=0),1,0)</x:f>
        <x:v>0</x:v>
      </x:c>
      <x:c r="L1983" t="str">
        <x:f>IFERROR(INDEX(Customers!$C$2:$C$451,MATCH(A1983,Customers!$A$2:$A$451,0)),"Unknown")</x:f>
        <x:v>Premium</x:v>
      </x:c>
    </x:row>
    <x:row r="1984">
      <x:c r="A1984" t="n">
        <x:v>363</x:v>
      </x:c>
      <x:c r="B1984" s="16" t="n">
        <x:v>46204</x:v>
      </x:c>
      <x:c r="C1984" t="n">
        <x:v>0</x:v>
      </x:c>
      <x:c r="D1984" t="n">
        <x:v>0</x:v>
      </x:c>
      <x:c r="E1984" s="18" t="n">
        <x:v>0</x:v>
      </x:c>
      <x:c r="F1984" s="18" t="n">
        <x:v>0</x:v>
      </x:c>
      <x:c r="G1984" s="18" t="n">
        <x:v>0</x:v>
      </x:c>
      <x:c r="H1984" s="18" t="n">
        <x:v>0</x:v>
      </x:c>
      <x:c r="I1984" s="18" t="n">
        <x:v>0</x:v>
      </x:c>
      <x:c r="J1984" t="n">
        <x:f>IF(A1984=A1983,IFERROR(IF(B1984=EDATE(B1983,1),C1983,0),0),0)</x:f>
        <x:v>1</x:v>
      </x:c>
      <x:c r="K1984" t="n">
        <x:f>IF(AND(J1984=1,C1984=0),1,0)</x:f>
        <x:v>1</x:v>
      </x:c>
      <x:c r="L1984" t="str">
        <x:f>IFERROR(INDEX(Customers!$C$2:$C$451,MATCH(A1984,Customers!$A$2:$A$451,0)),"Unknown")</x:f>
        <x:v>Premium</x:v>
      </x:c>
    </x:row>
    <x:row r="1985">
      <x:c r="A1985" t="n">
        <x:v>363</x:v>
      </x:c>
      <x:c r="B1985" s="16" t="n">
        <x:v>46235</x:v>
      </x:c>
      <x:c r="C1985" t="n">
        <x:v>1</x:v>
      </x:c>
      <x:c r="D1985" t="n">
        <x:v>16</x:v>
      </x:c>
      <x:c r="E1985" s="18" t="n">
        <x:v>825.32</x:v>
      </x:c>
      <x:c r="F1985" s="18" t="n">
        <x:v>17</x:v>
      </x:c>
      <x:c r="G1985" s="18" t="n">
        <x:v>3.71</x:v>
      </x:c>
      <x:c r="H1985" s="18" t="n">
        <x:v>2.24</x:v>
      </x:c>
      <x:c r="I1985" s="18" t="n">
        <x:v>22.95</x:v>
      </x:c>
      <x:c r="J1985" t="n">
        <x:f>IF(A1985=A1984,IFERROR(IF(B1985=EDATE(B1984,1),C1984,0),0),0)</x:f>
        <x:v>0</x:v>
      </x:c>
      <x:c r="K1985" t="n">
        <x:f>IF(AND(J1985=1,C1985=0),1,0)</x:f>
        <x:v>0</x:v>
      </x:c>
      <x:c r="L1985" t="str">
        <x:f>IFERROR(INDEX(Customers!$C$2:$C$451,MATCH(A1985,Customers!$A$2:$A$451,0)),"Unknown")</x:f>
        <x:v>Premium</x:v>
      </x:c>
    </x:row>
    <x:row r="1986">
      <x:c r="A1986" t="n">
        <x:v>363</x:v>
      </x:c>
      <x:c r="B1986" s="16" t="n">
        <x:v>46266</x:v>
      </x:c>
      <x:c r="C1986" t="n">
        <x:v>1</x:v>
      </x:c>
      <x:c r="D1986" t="n">
        <x:v>27</x:v>
      </x:c>
      <x:c r="E1986" s="18" t="n">
        <x:v>1007.11</x:v>
      </x:c>
      <x:c r="F1986" s="18" t="n">
        <x:v>17</x:v>
      </x:c>
      <x:c r="G1986" s="18" t="n">
        <x:v>4.53</x:v>
      </x:c>
      <x:c r="H1986" s="18" t="n">
        <x:v>1.99</x:v>
      </x:c>
      <x:c r="I1986" s="18" t="n">
        <x:v>23.52</x:v>
      </x:c>
      <x:c r="J1986" t="n">
        <x:f>IF(A1986=A1985,IFERROR(IF(B1986=EDATE(B1985,1),C1985,0),0),0)</x:f>
        <x:v>1</x:v>
      </x:c>
      <x:c r="K1986" t="n">
        <x:f>IF(AND(J1986=1,C1986=0),1,0)</x:f>
        <x:v>0</x:v>
      </x:c>
      <x:c r="L1986" t="str">
        <x:f>IFERROR(INDEX(Customers!$C$2:$C$451,MATCH(A1986,Customers!$A$2:$A$451,0)),"Unknown")</x:f>
        <x:v>Premium</x:v>
      </x:c>
    </x:row>
    <x:row r="1987">
      <x:c r="A1987" t="n">
        <x:v>364</x:v>
      </x:c>
      <x:c r="B1987" s="16" t="n">
        <x:v>46113</x:v>
      </x:c>
      <x:c r="C1987" t="n">
        <x:v>1</x:v>
      </x:c>
      <x:c r="D1987" t="n">
        <x:v>20</x:v>
      </x:c>
      <x:c r="E1987" s="18" t="n">
        <x:v>1999.24</x:v>
      </x:c>
      <x:c r="F1987" s="18" t="n">
        <x:v>0</x:v>
      </x:c>
      <x:c r="G1987" s="18" t="n">
        <x:v>9</x:v>
      </x:c>
      <x:c r="H1987" s="18" t="n">
        <x:v>7.34</x:v>
      </x:c>
      <x:c r="I1987" s="18" t="n">
        <x:v>16.34</x:v>
      </x:c>
      <x:c r="J1987" t="n">
        <x:f>IF(A1987=A1986,IFERROR(IF(B1987=EDATE(B1986,1),C1986,0),0),0)</x:f>
        <x:v>0</x:v>
      </x:c>
      <x:c r="K1987" t="n">
        <x:f>IF(AND(J1987=1,C1987=0),1,0)</x:f>
        <x:v>0</x:v>
      </x:c>
      <x:c r="L1987" t="str">
        <x:f>IFERROR(INDEX(Customers!$C$2:$C$451,MATCH(A1987,Customers!$A$2:$A$451,0)),"Unknown")</x:f>
        <x:v>Standard</x:v>
      </x:c>
    </x:row>
    <x:row r="1988">
      <x:c r="A1988" t="n">
        <x:v>364</x:v>
      </x:c>
      <x:c r="B1988" s="16" t="n">
        <x:v>46143</x:v>
      </x:c>
      <x:c r="C1988" t="n">
        <x:v>1</x:v>
      </x:c>
      <x:c r="D1988" t="n">
        <x:v>27</x:v>
      </x:c>
      <x:c r="E1988" s="18" t="n">
        <x:v>2272.92</x:v>
      </x:c>
      <x:c r="F1988" s="18" t="n">
        <x:v>0</x:v>
      </x:c>
      <x:c r="G1988" s="18" t="n">
        <x:v>10.23</x:v>
      </x:c>
      <x:c r="H1988" s="18" t="n">
        <x:v>8.18</x:v>
      </x:c>
      <x:c r="I1988" s="18" t="n">
        <x:v>18.41</x:v>
      </x:c>
      <x:c r="J1988" t="n">
        <x:f>IF(A1988=A1987,IFERROR(IF(B1988=EDATE(B1987,1),C1987,0),0),0)</x:f>
        <x:v>1</x:v>
      </x:c>
      <x:c r="K1988" t="n">
        <x:f>IF(AND(J1988=1,C1988=0),1,0)</x:f>
        <x:v>0</x:v>
      </x:c>
      <x:c r="L1988" t="str">
        <x:f>IFERROR(INDEX(Customers!$C$2:$C$451,MATCH(A1988,Customers!$A$2:$A$451,0)),"Unknown")</x:f>
        <x:v>Standard</x:v>
      </x:c>
    </x:row>
    <x:row r="1989">
      <x:c r="A1989" t="n">
        <x:v>364</x:v>
      </x:c>
      <x:c r="B1989" s="16" t="n">
        <x:v>46174</x:v>
      </x:c>
      <x:c r="C1989" t="n">
        <x:v>1</x:v>
      </x:c>
      <x:c r="D1989" t="n">
        <x:v>14</x:v>
      </x:c>
      <x:c r="E1989" s="18" t="n">
        <x:v>754.96</x:v>
      </x:c>
      <x:c r="F1989" s="18" t="n">
        <x:v>0</x:v>
      </x:c>
      <x:c r="G1989" s="18" t="n">
        <x:v>3.4</x:v>
      </x:c>
      <x:c r="H1989" s="18" t="n">
        <x:v>1.26</x:v>
      </x:c>
      <x:c r="I1989" s="18" t="n">
        <x:v>4.66</x:v>
      </x:c>
      <x:c r="J1989" t="n">
        <x:f>IF(A1989=A1988,IFERROR(IF(B1989=EDATE(B1988,1),C1988,0),0),0)</x:f>
        <x:v>1</x:v>
      </x:c>
      <x:c r="K1989" t="n">
        <x:f>IF(AND(J1989=1,C1989=0),1,0)</x:f>
        <x:v>0</x:v>
      </x:c>
      <x:c r="L1989" t="str">
        <x:f>IFERROR(INDEX(Customers!$C$2:$C$451,MATCH(A1989,Customers!$A$2:$A$451,0)),"Unknown")</x:f>
        <x:v>Standard</x:v>
      </x:c>
    </x:row>
    <x:row r="1990">
      <x:c r="A1990" t="n">
        <x:v>364</x:v>
      </x:c>
      <x:c r="B1990" s="16" t="n">
        <x:v>46204</x:v>
      </x:c>
      <x:c r="C1990" t="n">
        <x:v>0</x:v>
      </x:c>
      <x:c r="D1990" t="n">
        <x:v>0</x:v>
      </x:c>
      <x:c r="E1990" s="18" t="n">
        <x:v>0</x:v>
      </x:c>
      <x:c r="F1990" s="18" t="n">
        <x:v>0</x:v>
      </x:c>
      <x:c r="G1990" s="18" t="n">
        <x:v>0</x:v>
      </x:c>
      <x:c r="H1990" s="18" t="n">
        <x:v>0</x:v>
      </x:c>
      <x:c r="I1990" s="18" t="n">
        <x:v>0</x:v>
      </x:c>
      <x:c r="J1990" t="n">
        <x:f>IF(A1990=A1989,IFERROR(IF(B1990=EDATE(B1989,1),C1989,0),0),0)</x:f>
        <x:v>1</x:v>
      </x:c>
      <x:c r="K1990" t="n">
        <x:f>IF(AND(J1990=1,C1990=0),1,0)</x:f>
        <x:v>1</x:v>
      </x:c>
      <x:c r="L1990" t="str">
        <x:f>IFERROR(INDEX(Customers!$C$2:$C$451,MATCH(A1990,Customers!$A$2:$A$451,0)),"Unknown")</x:f>
        <x:v>Standard</x:v>
      </x:c>
    </x:row>
    <x:row r="1991">
      <x:c r="A1991" t="n">
        <x:v>364</x:v>
      </x:c>
      <x:c r="B1991" s="16" t="n">
        <x:v>46235</x:v>
      </x:c>
      <x:c r="C1991" t="n">
        <x:v>1</x:v>
      </x:c>
      <x:c r="D1991" t="n">
        <x:v>30</x:v>
      </x:c>
      <x:c r="E1991" s="18" t="n">
        <x:v>3450.13</x:v>
      </x:c>
      <x:c r="F1991" s="18" t="n">
        <x:v>0</x:v>
      </x:c>
      <x:c r="G1991" s="18" t="n">
        <x:v>15.53</x:v>
      </x:c>
      <x:c r="H1991" s="18" t="n">
        <x:v>11.94</x:v>
      </x:c>
      <x:c r="I1991" s="18" t="n">
        <x:v>27.47</x:v>
      </x:c>
      <x:c r="J1991" t="n">
        <x:f>IF(A1991=A1990,IFERROR(IF(B1991=EDATE(B1990,1),C1990,0),0),0)</x:f>
        <x:v>0</x:v>
      </x:c>
      <x:c r="K1991" t="n">
        <x:f>IF(AND(J1991=1,C1991=0),1,0)</x:f>
        <x:v>0</x:v>
      </x:c>
      <x:c r="L1991" t="str">
        <x:f>IFERROR(INDEX(Customers!$C$2:$C$451,MATCH(A1991,Customers!$A$2:$A$451,0)),"Unknown")</x:f>
        <x:v>Standard</x:v>
      </x:c>
    </x:row>
    <x:row r="1992">
      <x:c r="A1992" t="n">
        <x:v>364</x:v>
      </x:c>
      <x:c r="B1992" s="16" t="n">
        <x:v>46266</x:v>
      </x:c>
      <x:c r="C1992" t="n">
        <x:v>1</x:v>
      </x:c>
      <x:c r="D1992" t="n">
        <x:v>32</x:v>
      </x:c>
      <x:c r="E1992" s="18" t="n">
        <x:v>4225.01</x:v>
      </x:c>
      <x:c r="F1992" s="18" t="n">
        <x:v>0</x:v>
      </x:c>
      <x:c r="G1992" s="18" t="n">
        <x:v>19.01</x:v>
      </x:c>
      <x:c r="H1992" s="18" t="n">
        <x:v>9.05</x:v>
      </x:c>
      <x:c r="I1992" s="18" t="n">
        <x:v>28.06</x:v>
      </x:c>
      <x:c r="J1992" t="n">
        <x:f>IF(A1992=A1991,IFERROR(IF(B1992=EDATE(B1991,1),C1991,0),0),0)</x:f>
        <x:v>1</x:v>
      </x:c>
      <x:c r="K1992" t="n">
        <x:f>IF(AND(J1992=1,C1992=0),1,0)</x:f>
        <x:v>0</x:v>
      </x:c>
      <x:c r="L1992" t="str">
        <x:f>IFERROR(INDEX(Customers!$C$2:$C$451,MATCH(A1992,Customers!$A$2:$A$451,0)),"Unknown")</x:f>
        <x:v>Standard</x:v>
      </x:c>
    </x:row>
    <x:row r="1993">
      <x:c r="A1993" t="n">
        <x:v>365</x:v>
      </x:c>
      <x:c r="B1993" s="16" t="n">
        <x:v>46174</x:v>
      </x:c>
      <x:c r="C1993" t="n">
        <x:v>1</x:v>
      </x:c>
      <x:c r="D1993" t="n">
        <x:v>30</x:v>
      </x:c>
      <x:c r="E1993" s="18" t="n">
        <x:v>3805.69</x:v>
      </x:c>
      <x:c r="F1993" s="18" t="n">
        <x:v>17</x:v>
      </x:c>
      <x:c r="G1993" s="18" t="n">
        <x:v>17.13</x:v>
      </x:c>
      <x:c r="H1993" s="18" t="n">
        <x:v>6.64</x:v>
      </x:c>
      <x:c r="I1993" s="18" t="n">
        <x:v>40.77</x:v>
      </x:c>
      <x:c r="J1993" t="n">
        <x:f>IF(A1993=A1992,IFERROR(IF(B1993=EDATE(B1992,1),C1992,0),0),0)</x:f>
        <x:v>0</x:v>
      </x:c>
      <x:c r="K1993" t="n">
        <x:f>IF(AND(J1993=1,C1993=0),1,0)</x:f>
        <x:v>0</x:v>
      </x:c>
      <x:c r="L1993" t="str">
        <x:f>IFERROR(INDEX(Customers!$C$2:$C$451,MATCH(A1993,Customers!$A$2:$A$451,0)),"Unknown")</x:f>
        <x:v>Premium</x:v>
      </x:c>
    </x:row>
    <x:row r="1994">
      <x:c r="A1994" t="n">
        <x:v>365</x:v>
      </x:c>
      <x:c r="B1994" s="16" t="n">
        <x:v>46204</x:v>
      </x:c>
      <x:c r="C1994" t="n">
        <x:v>1</x:v>
      </x:c>
      <x:c r="D1994" t="n">
        <x:v>21</x:v>
      </x:c>
      <x:c r="E1994" s="18" t="n">
        <x:v>2886.18</x:v>
      </x:c>
      <x:c r="F1994" s="18" t="n">
        <x:v>17</x:v>
      </x:c>
      <x:c r="G1994" s="18" t="n">
        <x:v>12.99</x:v>
      </x:c>
      <x:c r="H1994" s="18" t="n">
        <x:v>5.61</x:v>
      </x:c>
      <x:c r="I1994" s="18" t="n">
        <x:v>35.6</x:v>
      </x:c>
      <x:c r="J1994" t="n">
        <x:f>IF(A1994=A1993,IFERROR(IF(B1994=EDATE(B1993,1),C1993,0),0),0)</x:f>
        <x:v>1</x:v>
      </x:c>
      <x:c r="K1994" t="n">
        <x:f>IF(AND(J1994=1,C1994=0),1,0)</x:f>
        <x:v>0</x:v>
      </x:c>
      <x:c r="L1994" t="str">
        <x:f>IFERROR(INDEX(Customers!$C$2:$C$451,MATCH(A1994,Customers!$A$2:$A$451,0)),"Unknown")</x:f>
        <x:v>Premium</x:v>
      </x:c>
    </x:row>
    <x:row r="1995">
      <x:c r="A1995" t="n">
        <x:v>365</x:v>
      </x:c>
      <x:c r="B1995" s="16" t="n">
        <x:v>46235</x:v>
      </x:c>
      <x:c r="C1995" t="n">
        <x:v>1</x:v>
      </x:c>
      <x:c r="D1995" t="n">
        <x:v>4</x:v>
      </x:c>
      <x:c r="E1995" s="18" t="n">
        <x:v>548.15</x:v>
      </x:c>
      <x:c r="F1995" s="18" t="n">
        <x:v>17</x:v>
      </x:c>
      <x:c r="G1995" s="18" t="n">
        <x:v>2.47</x:v>
      </x:c>
      <x:c r="H1995" s="18" t="n">
        <x:v>1.23</x:v>
      </x:c>
      <x:c r="I1995" s="18" t="n">
        <x:v>20.7</x:v>
      </x:c>
      <x:c r="J1995" t="n">
        <x:f>IF(A1995=A1994,IFERROR(IF(B1995=EDATE(B1994,1),C1994,0),0),0)</x:f>
        <x:v>1</x:v>
      </x:c>
      <x:c r="K1995" t="n">
        <x:f>IF(AND(J1995=1,C1995=0),1,0)</x:f>
        <x:v>0</x:v>
      </x:c>
      <x:c r="L1995" t="str">
        <x:f>IFERROR(INDEX(Customers!$C$2:$C$451,MATCH(A1995,Customers!$A$2:$A$451,0)),"Unknown")</x:f>
        <x:v>Premium</x:v>
      </x:c>
    </x:row>
    <x:row r="1996">
      <x:c r="A1996" t="n">
        <x:v>365</x:v>
      </x:c>
      <x:c r="B1996" s="16" t="n">
        <x:v>46266</x:v>
      </x:c>
      <x:c r="C1996" t="n">
        <x:v>0</x:v>
      </x:c>
      <x:c r="D1996" t="n">
        <x:v>0</x:v>
      </x:c>
      <x:c r="E1996" s="18" t="n">
        <x:v>0</x:v>
      </x:c>
      <x:c r="F1996" s="18" t="n">
        <x:v>0</x:v>
      </x:c>
      <x:c r="G1996" s="18" t="n">
        <x:v>0</x:v>
      </x:c>
      <x:c r="H1996" s="18" t="n">
        <x:v>0</x:v>
      </x:c>
      <x:c r="I1996" s="18" t="n">
        <x:v>0</x:v>
      </x:c>
      <x:c r="J1996" t="n">
        <x:f>IF(A1996=A1995,IFERROR(IF(B1996=EDATE(B1995,1),C1995,0),0),0)</x:f>
        <x:v>1</x:v>
      </x:c>
      <x:c r="K1996" t="n">
        <x:f>IF(AND(J1996=1,C1996=0),1,0)</x:f>
        <x:v>1</x:v>
      </x:c>
      <x:c r="L1996" t="str">
        <x:f>IFERROR(INDEX(Customers!$C$2:$C$451,MATCH(A1996,Customers!$A$2:$A$451,0)),"Unknown")</x:f>
        <x:v>Premium</x:v>
      </x:c>
    </x:row>
    <x:row r="1997">
      <x:c r="A1997" t="n">
        <x:v>366</x:v>
      </x:c>
      <x:c r="B1997" s="16" t="n">
        <x:v>46143</x:v>
      </x:c>
      <x:c r="C1997" t="n">
        <x:v>1</x:v>
      </x:c>
      <x:c r="D1997" t="n">
        <x:v>29</x:v>
      </x:c>
      <x:c r="E1997" s="18" t="n">
        <x:v>2399.49</x:v>
      </x:c>
      <x:c r="F1997" s="18" t="n">
        <x:v>0</x:v>
      </x:c>
      <x:c r="G1997" s="18" t="n">
        <x:v>10.8</x:v>
      </x:c>
      <x:c r="H1997" s="18" t="n">
        <x:v>6.45</x:v>
      </x:c>
      <x:c r="I1997" s="18" t="n">
        <x:v>17.25</x:v>
      </x:c>
      <x:c r="J1997" t="n">
        <x:f>IF(A1997=A1996,IFERROR(IF(B1997=EDATE(B1996,1),C1996,0),0),0)</x:f>
        <x:v>0</x:v>
      </x:c>
      <x:c r="K1997" t="n">
        <x:f>IF(AND(J1997=1,C1997=0),1,0)</x:f>
        <x:v>0</x:v>
      </x:c>
      <x:c r="L1997" t="str">
        <x:f>IFERROR(INDEX(Customers!$C$2:$C$451,MATCH(A1997,Customers!$A$2:$A$451,0)),"Unknown")</x:f>
        <x:v>Standard</x:v>
      </x:c>
    </x:row>
    <x:row r="1998">
      <x:c r="A1998" t="n">
        <x:v>366</x:v>
      </x:c>
      <x:c r="B1998" s="16" t="n">
        <x:v>46174</x:v>
      </x:c>
      <x:c r="C1998" t="n">
        <x:v>1</x:v>
      </x:c>
      <x:c r="D1998" t="n">
        <x:v>24</x:v>
      </x:c>
      <x:c r="E1998" s="18" t="n">
        <x:v>2843.46</x:v>
      </x:c>
      <x:c r="F1998" s="18" t="n">
        <x:v>0</x:v>
      </x:c>
      <x:c r="G1998" s="18" t="n">
        <x:v>12.8</x:v>
      </x:c>
      <x:c r="H1998" s="18" t="n">
        <x:v>8.99</x:v>
      </x:c>
      <x:c r="I1998" s="18" t="n">
        <x:v>21.79</x:v>
      </x:c>
      <x:c r="J1998" t="n">
        <x:f>IF(A1998=A1997,IFERROR(IF(B1998=EDATE(B1997,1),C1997,0),0),0)</x:f>
        <x:v>1</x:v>
      </x:c>
      <x:c r="K1998" t="n">
        <x:f>IF(AND(J1998=1,C1998=0),1,0)</x:f>
        <x:v>0</x:v>
      </x:c>
      <x:c r="L1998" t="str">
        <x:f>IFERROR(INDEX(Customers!$C$2:$C$451,MATCH(A1998,Customers!$A$2:$A$451,0)),"Unknown")</x:f>
        <x:v>Standard</x:v>
      </x:c>
    </x:row>
    <x:row r="1999">
      <x:c r="A1999" t="n">
        <x:v>366</x:v>
      </x:c>
      <x:c r="B1999" s="16" t="n">
        <x:v>46204</x:v>
      </x:c>
      <x:c r="C1999" t="n">
        <x:v>1</x:v>
      </x:c>
      <x:c r="D1999" t="n">
        <x:v>11</x:v>
      </x:c>
      <x:c r="E1999" s="18" t="n">
        <x:v>1043.52</x:v>
      </x:c>
      <x:c r="F1999" s="18" t="n">
        <x:v>0</x:v>
      </x:c>
      <x:c r="G1999" s="18" t="n">
        <x:v>4.7</x:v>
      </x:c>
      <x:c r="H1999" s="18" t="n">
        <x:v>1.47</x:v>
      </x:c>
      <x:c r="I1999" s="18" t="n">
        <x:v>6.17</x:v>
      </x:c>
      <x:c r="J1999" t="n">
        <x:f>IF(A1999=A1998,IFERROR(IF(B1999=EDATE(B1998,1),C1998,0),0),0)</x:f>
        <x:v>1</x:v>
      </x:c>
      <x:c r="K1999" t="n">
        <x:f>IF(AND(J1999=1,C1999=0),1,0)</x:f>
        <x:v>0</x:v>
      </x:c>
      <x:c r="L1999" t="str">
        <x:f>IFERROR(INDEX(Customers!$C$2:$C$451,MATCH(A1999,Customers!$A$2:$A$451,0)),"Unknown")</x:f>
        <x:v>Standard</x:v>
      </x:c>
    </x:row>
    <x:row r="2000">
      <x:c r="A2000" t="n">
        <x:v>366</x:v>
      </x:c>
      <x:c r="B2000" s="16" t="n">
        <x:v>46235</x:v>
      </x:c>
      <x:c r="C2000" t="n">
        <x:v>1</x:v>
      </x:c>
      <x:c r="D2000" t="n">
        <x:v>7</x:v>
      </x:c>
      <x:c r="E2000" s="18" t="n">
        <x:v>797.5</x:v>
      </x:c>
      <x:c r="F2000" s="18" t="n">
        <x:v>0</x:v>
      </x:c>
      <x:c r="G2000" s="18" t="n">
        <x:v>3.59</x:v>
      </x:c>
      <x:c r="H2000" s="18" t="n">
        <x:v>2.17</x:v>
      </x:c>
      <x:c r="I2000" s="18" t="n">
        <x:v>5.76</x:v>
      </x:c>
      <x:c r="J2000" t="n">
        <x:f>IF(A2000=A1999,IFERROR(IF(B2000=EDATE(B1999,1),C1999,0),0),0)</x:f>
        <x:v>1</x:v>
      </x:c>
      <x:c r="K2000" t="n">
        <x:f>IF(AND(J2000=1,C2000=0),1,0)</x:f>
        <x:v>0</x:v>
      </x:c>
      <x:c r="L2000" t="str">
        <x:f>IFERROR(INDEX(Customers!$C$2:$C$451,MATCH(A2000,Customers!$A$2:$A$451,0)),"Unknown")</x:f>
        <x:v>Standard</x:v>
      </x:c>
    </x:row>
    <x:row r="2001">
      <x:c r="A2001" t="n">
        <x:v>366</x:v>
      </x:c>
      <x:c r="B2001" s="16" t="n">
        <x:v>46266</x:v>
      </x:c>
      <x:c r="C2001" t="n">
        <x:v>1</x:v>
      </x:c>
      <x:c r="D2001" t="n">
        <x:v>10</x:v>
      </x:c>
      <x:c r="E2001" s="18" t="n">
        <x:v>810.36</x:v>
      </x:c>
      <x:c r="F2001" s="18" t="n">
        <x:v>0</x:v>
      </x:c>
      <x:c r="G2001" s="18" t="n">
        <x:v>3.65</x:v>
      </x:c>
      <x:c r="H2001" s="18" t="n">
        <x:v>3.07</x:v>
      </x:c>
      <x:c r="I2001" s="18" t="n">
        <x:v>6.72</x:v>
      </x:c>
      <x:c r="J2001" t="n">
        <x:f>IF(A2001=A2000,IFERROR(IF(B2001=EDATE(B2000,1),C2000,0),0),0)</x:f>
        <x:v>1</x:v>
      </x:c>
      <x:c r="K2001" t="n">
        <x:f>IF(AND(J2001=1,C2001=0),1,0)</x:f>
        <x:v>0</x:v>
      </x:c>
      <x:c r="L2001" t="str">
        <x:f>IFERROR(INDEX(Customers!$C$2:$C$451,MATCH(A2001,Customers!$A$2:$A$451,0)),"Unknown")</x:f>
        <x:v>Standard</x:v>
      </x:c>
    </x:row>
    <x:row r="2002">
      <x:c r="A2002" t="n">
        <x:v>367</x:v>
      </x:c>
      <x:c r="B2002" s="16" t="n">
        <x:v>46174</x:v>
      </x:c>
      <x:c r="C2002" t="n">
        <x:v>1</x:v>
      </x:c>
      <x:c r="D2002" t="n">
        <x:v>29</x:v>
      </x:c>
      <x:c r="E2002" s="18" t="n">
        <x:v>3387.88</x:v>
      </x:c>
      <x:c r="F2002" s="18" t="n">
        <x:v>0</x:v>
      </x:c>
      <x:c r="G2002" s="18" t="n">
        <x:v>15.25</x:v>
      </x:c>
      <x:c r="H2002" s="18" t="n">
        <x:v>7.97</x:v>
      </x:c>
      <x:c r="I2002" s="18" t="n">
        <x:v>23.22</x:v>
      </x:c>
      <x:c r="J2002" t="n">
        <x:f>IF(A2002=A2001,IFERROR(IF(B2002=EDATE(B2001,1),C2001,0),0),0)</x:f>
        <x:v>0</x:v>
      </x:c>
      <x:c r="K2002" t="n">
        <x:f>IF(AND(J2002=1,C2002=0),1,0)</x:f>
        <x:v>0</x:v>
      </x:c>
      <x:c r="L2002" t="str">
        <x:f>IFERROR(INDEX(Customers!$C$2:$C$451,MATCH(A2002,Customers!$A$2:$A$451,0)),"Unknown")</x:f>
        <x:v>Standard</x:v>
      </x:c>
    </x:row>
    <x:row r="2003">
      <x:c r="A2003" t="n">
        <x:v>367</x:v>
      </x:c>
      <x:c r="B2003" s="16" t="n">
        <x:v>46204</x:v>
      </x:c>
      <x:c r="C2003" t="n">
        <x:v>1</x:v>
      </x:c>
      <x:c r="D2003" t="n">
        <x:v>29</x:v>
      </x:c>
      <x:c r="E2003" s="18" t="n">
        <x:v>2759.55</x:v>
      </x:c>
      <x:c r="F2003" s="18" t="n">
        <x:v>0</x:v>
      </x:c>
      <x:c r="G2003" s="18" t="n">
        <x:v>12.42</x:v>
      </x:c>
      <x:c r="H2003" s="18" t="n">
        <x:v>5.83</x:v>
      </x:c>
      <x:c r="I2003" s="18" t="n">
        <x:v>18.25</x:v>
      </x:c>
      <x:c r="J2003" t="n">
        <x:f>IF(A2003=A2002,IFERROR(IF(B2003=EDATE(B2002,1),C2002,0),0),0)</x:f>
        <x:v>1</x:v>
      </x:c>
      <x:c r="K2003" t="n">
        <x:f>IF(AND(J2003=1,C2003=0),1,0)</x:f>
        <x:v>0</x:v>
      </x:c>
      <x:c r="L2003" t="str">
        <x:f>IFERROR(INDEX(Customers!$C$2:$C$451,MATCH(A2003,Customers!$A$2:$A$451,0)),"Unknown")</x:f>
        <x:v>Standard</x:v>
      </x:c>
    </x:row>
    <x:row r="2004">
      <x:c r="A2004" t="n">
        <x:v>367</x:v>
      </x:c>
      <x:c r="B2004" s="16" t="n">
        <x:v>46235</x:v>
      </x:c>
      <x:c r="C2004" t="n">
        <x:v>1</x:v>
      </x:c>
      <x:c r="D2004" t="n">
        <x:v>21</x:v>
      </x:c>
      <x:c r="E2004" s="18" t="n">
        <x:v>2341.52</x:v>
      </x:c>
      <x:c r="F2004" s="18" t="n">
        <x:v>0</x:v>
      </x:c>
      <x:c r="G2004" s="18" t="n">
        <x:v>10.54</x:v>
      </x:c>
      <x:c r="H2004" s="18" t="n">
        <x:v>8.24</x:v>
      </x:c>
      <x:c r="I2004" s="18" t="n">
        <x:v>18.78</x:v>
      </x:c>
      <x:c r="J2004" t="n">
        <x:f>IF(A2004=A2003,IFERROR(IF(B2004=EDATE(B2003,1),C2003,0),0),0)</x:f>
        <x:v>1</x:v>
      </x:c>
      <x:c r="K2004" t="n">
        <x:f>IF(AND(J2004=1,C2004=0),1,0)</x:f>
        <x:v>0</x:v>
      </x:c>
      <x:c r="L2004" t="str">
        <x:f>IFERROR(INDEX(Customers!$C$2:$C$451,MATCH(A2004,Customers!$A$2:$A$451,0)),"Unknown")</x:f>
        <x:v>Standard</x:v>
      </x:c>
    </x:row>
    <x:row r="2005">
      <x:c r="A2005" t="n">
        <x:v>367</x:v>
      </x:c>
      <x:c r="B2005" s="16" t="n">
        <x:v>46266</x:v>
      </x:c>
      <x:c r="C2005" t="n">
        <x:v>0</x:v>
      </x:c>
      <x:c r="D2005" t="n">
        <x:v>0</x:v>
      </x:c>
      <x:c r="E2005" s="18" t="n">
        <x:v>0</x:v>
      </x:c>
      <x:c r="F2005" s="18" t="n">
        <x:v>0</x:v>
      </x:c>
      <x:c r="G2005" s="18" t="n">
        <x:v>0</x:v>
      </x:c>
      <x:c r="H2005" s="18" t="n">
        <x:v>0</x:v>
      </x:c>
      <x:c r="I2005" s="18" t="n">
        <x:v>0</x:v>
      </x:c>
      <x:c r="J2005" t="n">
        <x:f>IF(A2005=A2004,IFERROR(IF(B2005=EDATE(B2004,1),C2004,0),0),0)</x:f>
        <x:v>1</x:v>
      </x:c>
      <x:c r="K2005" t="n">
        <x:f>IF(AND(J2005=1,C2005=0),1,0)</x:f>
        <x:v>1</x:v>
      </x:c>
      <x:c r="L2005" t="str">
        <x:f>IFERROR(INDEX(Customers!$C$2:$C$451,MATCH(A2005,Customers!$A$2:$A$451,0)),"Unknown")</x:f>
        <x:v>Standard</x:v>
      </x:c>
    </x:row>
    <x:row r="2006">
      <x:c r="A2006" t="n">
        <x:v>368</x:v>
      </x:c>
      <x:c r="B2006" s="16" t="n">
        <x:v>46113</x:v>
      </x:c>
      <x:c r="C2006" t="n">
        <x:v>0</x:v>
      </x:c>
      <x:c r="D2006" t="n">
        <x:v>0</x:v>
      </x:c>
      <x:c r="E2006" s="18" t="n">
        <x:v>0</x:v>
      </x:c>
      <x:c r="F2006" s="18" t="n">
        <x:v>0</x:v>
      </x:c>
      <x:c r="G2006" s="18" t="n">
        <x:v>0</x:v>
      </x:c>
      <x:c r="H2006" s="18" t="n">
        <x:v>0</x:v>
      </x:c>
      <x:c r="I2006" s="18" t="n">
        <x:v>0</x:v>
      </x:c>
      <x:c r="J2006" t="n">
        <x:f>IF(A2006=A2005,IFERROR(IF(B2006=EDATE(B2005,1),C2005,0),0),0)</x:f>
        <x:v>0</x:v>
      </x:c>
      <x:c r="K2006" t="n">
        <x:f>IF(AND(J2006=1,C2006=0),1,0)</x:f>
        <x:v>0</x:v>
      </x:c>
      <x:c r="L2006" t="str">
        <x:f>IFERROR(INDEX(Customers!$C$2:$C$451,MATCH(A2006,Customers!$A$2:$A$451,0)),"Unknown")</x:f>
        <x:v>Standard</x:v>
      </x:c>
    </x:row>
    <x:row r="2007">
      <x:c r="A2007" t="n">
        <x:v>368</x:v>
      </x:c>
      <x:c r="B2007" s="16" t="n">
        <x:v>46143</x:v>
      </x:c>
      <x:c r="C2007" t="n">
        <x:v>1</x:v>
      </x:c>
      <x:c r="D2007" t="n">
        <x:v>12</x:v>
      </x:c>
      <x:c r="E2007" s="18" t="n">
        <x:v>626.97</x:v>
      </x:c>
      <x:c r="F2007" s="18" t="n">
        <x:v>0</x:v>
      </x:c>
      <x:c r="G2007" s="18" t="n">
        <x:v>2.82</x:v>
      </x:c>
      <x:c r="H2007" s="18" t="n">
        <x:v>1.27</x:v>
      </x:c>
      <x:c r="I2007" s="18" t="n">
        <x:v>4.09</x:v>
      </x:c>
      <x:c r="J2007" t="n">
        <x:f>IF(A2007=A2006,IFERROR(IF(B2007=EDATE(B2006,1),C2006,0),0),0)</x:f>
        <x:v>0</x:v>
      </x:c>
      <x:c r="K2007" t="n">
        <x:f>IF(AND(J2007=1,C2007=0),1,0)</x:f>
        <x:v>0</x:v>
      </x:c>
      <x:c r="L2007" t="str">
        <x:f>IFERROR(INDEX(Customers!$C$2:$C$451,MATCH(A2007,Customers!$A$2:$A$451,0)),"Unknown")</x:f>
        <x:v>Standard</x:v>
      </x:c>
    </x:row>
    <x:row r="2008">
      <x:c r="A2008" t="n">
        <x:v>368</x:v>
      </x:c>
      <x:c r="B2008" s="16" t="n">
        <x:v>46174</x:v>
      </x:c>
      <x:c r="C2008" t="n">
        <x:v>1</x:v>
      </x:c>
      <x:c r="D2008" t="n">
        <x:v>18</x:v>
      </x:c>
      <x:c r="E2008" s="18" t="n">
        <x:v>984.91</x:v>
      </x:c>
      <x:c r="F2008" s="18" t="n">
        <x:v>0</x:v>
      </x:c>
      <x:c r="G2008" s="18" t="n">
        <x:v>4.43</x:v>
      </x:c>
      <x:c r="H2008" s="18" t="n">
        <x:v>3.73</x:v>
      </x:c>
      <x:c r="I2008" s="18" t="n">
        <x:v>8.16</x:v>
      </x:c>
      <x:c r="J2008" t="n">
        <x:f>IF(A2008=A2007,IFERROR(IF(B2008=EDATE(B2007,1),C2007,0),0),0)</x:f>
        <x:v>1</x:v>
      </x:c>
      <x:c r="K2008" t="n">
        <x:f>IF(AND(J2008=1,C2008=0),1,0)</x:f>
        <x:v>0</x:v>
      </x:c>
      <x:c r="L2008" t="str">
        <x:f>IFERROR(INDEX(Customers!$C$2:$C$451,MATCH(A2008,Customers!$A$2:$A$451,0)),"Unknown")</x:f>
        <x:v>Standard</x:v>
      </x:c>
    </x:row>
    <x:row r="2009">
      <x:c r="A2009" t="n">
        <x:v>368</x:v>
      </x:c>
      <x:c r="B2009" s="16" t="n">
        <x:v>46204</x:v>
      </x:c>
      <x:c r="C2009" t="n">
        <x:v>1</x:v>
      </x:c>
      <x:c r="D2009" t="n">
        <x:v>20</x:v>
      </x:c>
      <x:c r="E2009" s="18" t="n">
        <x:v>2465.67</x:v>
      </x:c>
      <x:c r="F2009" s="18" t="n">
        <x:v>0</x:v>
      </x:c>
      <x:c r="G2009" s="18" t="n">
        <x:v>11.1</x:v>
      </x:c>
      <x:c r="H2009" s="18" t="n">
        <x:v>2.18</x:v>
      </x:c>
      <x:c r="I2009" s="18" t="n">
        <x:v>13.28</x:v>
      </x:c>
      <x:c r="J2009" t="n">
        <x:f>IF(A2009=A2008,IFERROR(IF(B2009=EDATE(B2008,1),C2008,0),0),0)</x:f>
        <x:v>1</x:v>
      </x:c>
      <x:c r="K2009" t="n">
        <x:f>IF(AND(J2009=1,C2009=0),1,0)</x:f>
        <x:v>0</x:v>
      </x:c>
      <x:c r="L2009" t="str">
        <x:f>IFERROR(INDEX(Customers!$C$2:$C$451,MATCH(A2009,Customers!$A$2:$A$451,0)),"Unknown")</x:f>
        <x:v>Standard</x:v>
      </x:c>
    </x:row>
    <x:row r="2010">
      <x:c r="A2010" t="n">
        <x:v>368</x:v>
      </x:c>
      <x:c r="B2010" s="16" t="n">
        <x:v>46235</x:v>
      </x:c>
      <x:c r="C2010" t="n">
        <x:v>1</x:v>
      </x:c>
      <x:c r="D2010" t="n">
        <x:v>13</x:v>
      </x:c>
      <x:c r="E2010" s="18" t="n">
        <x:v>1084.21</x:v>
      </x:c>
      <x:c r="F2010" s="18" t="n">
        <x:v>0</x:v>
      </x:c>
      <x:c r="G2010" s="18" t="n">
        <x:v>4.88</x:v>
      </x:c>
      <x:c r="H2010" s="18" t="n">
        <x:v>2.28</x:v>
      </x:c>
      <x:c r="I2010" s="18" t="n">
        <x:v>7.16</x:v>
      </x:c>
      <x:c r="J2010" t="n">
        <x:f>IF(A2010=A2009,IFERROR(IF(B2010=EDATE(B2009,1),C2009,0),0),0)</x:f>
        <x:v>1</x:v>
      </x:c>
      <x:c r="K2010" t="n">
        <x:f>IF(AND(J2010=1,C2010=0),1,0)</x:f>
        <x:v>0</x:v>
      </x:c>
      <x:c r="L2010" t="str">
        <x:f>IFERROR(INDEX(Customers!$C$2:$C$451,MATCH(A2010,Customers!$A$2:$A$451,0)),"Unknown")</x:f>
        <x:v>Standard</x:v>
      </x:c>
    </x:row>
    <x:row r="2011">
      <x:c r="A2011" t="n">
        <x:v>368</x:v>
      </x:c>
      <x:c r="B2011" s="16" t="n">
        <x:v>46266</x:v>
      </x:c>
      <x:c r="C2011" t="n">
        <x:v>1</x:v>
      </x:c>
      <x:c r="D2011" t="n">
        <x:v>11</x:v>
      </x:c>
      <x:c r="E2011" s="18" t="n">
        <x:v>1042.2</x:v>
      </x:c>
      <x:c r="F2011" s="18" t="n">
        <x:v>0</x:v>
      </x:c>
      <x:c r="G2011" s="18" t="n">
        <x:v>4.69</x:v>
      </x:c>
      <x:c r="H2011" s="18" t="n">
        <x:v>2.58</x:v>
      </x:c>
      <x:c r="I2011" s="18" t="n">
        <x:v>7.27</x:v>
      </x:c>
      <x:c r="J2011" t="n">
        <x:f>IF(A2011=A2010,IFERROR(IF(B2011=EDATE(B2010,1),C2010,0),0),0)</x:f>
        <x:v>1</x:v>
      </x:c>
      <x:c r="K2011" t="n">
        <x:f>IF(AND(J2011=1,C2011=0),1,0)</x:f>
        <x:v>0</x:v>
      </x:c>
      <x:c r="L2011" t="str">
        <x:f>IFERROR(INDEX(Customers!$C$2:$C$451,MATCH(A2011,Customers!$A$2:$A$451,0)),"Unknown")</x:f>
        <x:v>Standard</x:v>
      </x:c>
    </x:row>
    <x:row r="2012">
      <x:c r="A2012" t="n">
        <x:v>369</x:v>
      </x:c>
      <x:c r="B2012" s="16" t="n">
        <x:v>46143</x:v>
      </x:c>
      <x:c r="C2012" t="n">
        <x:v>1</x:v>
      </x:c>
      <x:c r="D2012" t="n">
        <x:v>17</x:v>
      </x:c>
      <x:c r="E2012" s="18" t="n">
        <x:v>2366.71</x:v>
      </x:c>
      <x:c r="F2012" s="18" t="n">
        <x:v>0</x:v>
      </x:c>
      <x:c r="G2012" s="18" t="n">
        <x:v>10.65</x:v>
      </x:c>
      <x:c r="H2012" s="18" t="n">
        <x:v>2.67</x:v>
      </x:c>
      <x:c r="I2012" s="18" t="n">
        <x:v>13.32</x:v>
      </x:c>
      <x:c r="J2012" t="n">
        <x:f>IF(A2012=A2011,IFERROR(IF(B2012=EDATE(B2011,1),C2011,0),0),0)</x:f>
        <x:v>0</x:v>
      </x:c>
      <x:c r="K2012" t="n">
        <x:f>IF(AND(J2012=1,C2012=0),1,0)</x:f>
        <x:v>0</x:v>
      </x:c>
      <x:c r="L2012" t="str">
        <x:f>IFERROR(INDEX(Customers!$C$2:$C$451,MATCH(A2012,Customers!$A$2:$A$451,0)),"Unknown")</x:f>
        <x:v>Standard</x:v>
      </x:c>
    </x:row>
    <x:row r="2013">
      <x:c r="A2013" t="n">
        <x:v>369</x:v>
      </x:c>
      <x:c r="B2013" s="16" t="n">
        <x:v>46174</x:v>
      </x:c>
      <x:c r="C2013" t="n">
        <x:v>0</x:v>
      </x:c>
      <x:c r="D2013" t="n">
        <x:v>0</x:v>
      </x:c>
      <x:c r="E2013" s="18" t="n">
        <x:v>0</x:v>
      </x:c>
      <x:c r="F2013" s="18" t="n">
        <x:v>0</x:v>
      </x:c>
      <x:c r="G2013" s="18" t="n">
        <x:v>0</x:v>
      </x:c>
      <x:c r="H2013" s="18" t="n">
        <x:v>0</x:v>
      </x:c>
      <x:c r="I2013" s="18" t="n">
        <x:v>0</x:v>
      </x:c>
      <x:c r="J2013" t="n">
        <x:f>IF(A2013=A2012,IFERROR(IF(B2013=EDATE(B2012,1),C2012,0),0),0)</x:f>
        <x:v>1</x:v>
      </x:c>
      <x:c r="K2013" t="n">
        <x:f>IF(AND(J2013=1,C2013=0),1,0)</x:f>
        <x:v>1</x:v>
      </x:c>
      <x:c r="L2013" t="str">
        <x:f>IFERROR(INDEX(Customers!$C$2:$C$451,MATCH(A2013,Customers!$A$2:$A$451,0)),"Unknown")</x:f>
        <x:v>Standard</x:v>
      </x:c>
    </x:row>
    <x:row r="2014">
      <x:c r="A2014" t="n">
        <x:v>369</x:v>
      </x:c>
      <x:c r="B2014" s="16" t="n">
        <x:v>46204</x:v>
      </x:c>
      <x:c r="C2014" t="n">
        <x:v>1</x:v>
      </x:c>
      <x:c r="D2014" t="n">
        <x:v>21</x:v>
      </x:c>
      <x:c r="E2014" s="18" t="n">
        <x:v>1725.21</x:v>
      </x:c>
      <x:c r="F2014" s="18" t="n">
        <x:v>0</x:v>
      </x:c>
      <x:c r="G2014" s="18" t="n">
        <x:v>7.76</x:v>
      </x:c>
      <x:c r="H2014" s="18" t="n">
        <x:v>5.32</x:v>
      </x:c>
      <x:c r="I2014" s="18" t="n">
        <x:v>13.08</x:v>
      </x:c>
      <x:c r="J2014" t="n">
        <x:f>IF(A2014=A2013,IFERROR(IF(B2014=EDATE(B2013,1),C2013,0),0),0)</x:f>
        <x:v>0</x:v>
      </x:c>
      <x:c r="K2014" t="n">
        <x:f>IF(AND(J2014=1,C2014=0),1,0)</x:f>
        <x:v>0</x:v>
      </x:c>
      <x:c r="L2014" t="str">
        <x:f>IFERROR(INDEX(Customers!$C$2:$C$451,MATCH(A2014,Customers!$A$2:$A$451,0)),"Unknown")</x:f>
        <x:v>Standard</x:v>
      </x:c>
    </x:row>
    <x:row r="2015">
      <x:c r="A2015" t="n">
        <x:v>369</x:v>
      </x:c>
      <x:c r="B2015" s="16" t="n">
        <x:v>46235</x:v>
      </x:c>
      <x:c r="C2015" t="n">
        <x:v>1</x:v>
      </x:c>
      <x:c r="D2015" t="n">
        <x:v>28</x:v>
      </x:c>
      <x:c r="E2015" s="18" t="n">
        <x:v>2924.3</x:v>
      </x:c>
      <x:c r="F2015" s="18" t="n">
        <x:v>0</x:v>
      </x:c>
      <x:c r="G2015" s="18" t="n">
        <x:v>13.16</x:v>
      </x:c>
      <x:c r="H2015" s="18" t="n">
        <x:v>10.33</x:v>
      </x:c>
      <x:c r="I2015" s="18" t="n">
        <x:v>23.49</x:v>
      </x:c>
      <x:c r="J2015" t="n">
        <x:f>IF(A2015=A2014,IFERROR(IF(B2015=EDATE(B2014,1),C2014,0),0),0)</x:f>
        <x:v>1</x:v>
      </x:c>
      <x:c r="K2015" t="n">
        <x:f>IF(AND(J2015=1,C2015=0),1,0)</x:f>
        <x:v>0</x:v>
      </x:c>
      <x:c r="L2015" t="str">
        <x:f>IFERROR(INDEX(Customers!$C$2:$C$451,MATCH(A2015,Customers!$A$2:$A$451,0)),"Unknown")</x:f>
        <x:v>Standard</x:v>
      </x:c>
    </x:row>
    <x:row r="2016">
      <x:c r="A2016" t="n">
        <x:v>369</x:v>
      </x:c>
      <x:c r="B2016" s="16" t="n">
        <x:v>46266</x:v>
      </x:c>
      <x:c r="C2016" t="n">
        <x:v>1</x:v>
      </x:c>
      <x:c r="D2016" t="n">
        <x:v>31</x:v>
      </x:c>
      <x:c r="E2016" s="18" t="n">
        <x:v>1240.22</x:v>
      </x:c>
      <x:c r="F2016" s="18" t="n">
        <x:v>0</x:v>
      </x:c>
      <x:c r="G2016" s="18" t="n">
        <x:v>5.58</x:v>
      </x:c>
      <x:c r="H2016" s="18" t="n">
        <x:v>1.4</x:v>
      </x:c>
      <x:c r="I2016" s="18" t="n">
        <x:v>6.98</x:v>
      </x:c>
      <x:c r="J2016" t="n">
        <x:f>IF(A2016=A2015,IFERROR(IF(B2016=EDATE(B2015,1),C2015,0),0),0)</x:f>
        <x:v>1</x:v>
      </x:c>
      <x:c r="K2016" t="n">
        <x:f>IF(AND(J2016=1,C2016=0),1,0)</x:f>
        <x:v>0</x:v>
      </x:c>
      <x:c r="L2016" t="str">
        <x:f>IFERROR(INDEX(Customers!$C$2:$C$451,MATCH(A2016,Customers!$A$2:$A$451,0)),"Unknown")</x:f>
        <x:v>Standard</x:v>
      </x:c>
    </x:row>
    <x:row r="2017">
      <x:c r="A2017" t="n">
        <x:v>370</x:v>
      </x:c>
      <x:c r="B2017" s="16" t="n">
        <x:v>46113</x:v>
      </x:c>
      <x:c r="C2017" t="n">
        <x:v>1</x:v>
      </x:c>
      <x:c r="D2017" t="n">
        <x:v>12</x:v>
      </x:c>
      <x:c r="E2017" s="18" t="n">
        <x:v>677.64</x:v>
      </x:c>
      <x:c r="F2017" s="18" t="n">
        <x:v>0</x:v>
      </x:c>
      <x:c r="G2017" s="18" t="n">
        <x:v>3.05</x:v>
      </x:c>
      <x:c r="H2017" s="18" t="n">
        <x:v>1.08</x:v>
      </x:c>
      <x:c r="I2017" s="18" t="n">
        <x:v>4.13</x:v>
      </x:c>
      <x:c r="J2017" t="n">
        <x:f>IF(A2017=A2016,IFERROR(IF(B2017=EDATE(B2016,1),C2016,0),0),0)</x:f>
        <x:v>0</x:v>
      </x:c>
      <x:c r="K2017" t="n">
        <x:f>IF(AND(J2017=1,C2017=0),1,0)</x:f>
        <x:v>0</x:v>
      </x:c>
      <x:c r="L2017" t="str">
        <x:f>IFERROR(INDEX(Customers!$C$2:$C$451,MATCH(A2017,Customers!$A$2:$A$451,0)),"Unknown")</x:f>
        <x:v>Standard</x:v>
      </x:c>
    </x:row>
    <x:row r="2018">
      <x:c r="A2018" t="n">
        <x:v>370</x:v>
      </x:c>
      <x:c r="B2018" s="16" t="n">
        <x:v>46143</x:v>
      </x:c>
      <x:c r="C2018" t="n">
        <x:v>1</x:v>
      </x:c>
      <x:c r="D2018" t="n">
        <x:v>17</x:v>
      </x:c>
      <x:c r="E2018" s="18" t="n">
        <x:v>1804.06</x:v>
      </x:c>
      <x:c r="F2018" s="18" t="n">
        <x:v>0</x:v>
      </x:c>
      <x:c r="G2018" s="18" t="n">
        <x:v>8.12</x:v>
      </x:c>
      <x:c r="H2018" s="18" t="n">
        <x:v>1.94</x:v>
      </x:c>
      <x:c r="I2018" s="18" t="n">
        <x:v>10.06</x:v>
      </x:c>
      <x:c r="J2018" t="n">
        <x:f>IF(A2018=A2017,IFERROR(IF(B2018=EDATE(B2017,1),C2017,0),0),0)</x:f>
        <x:v>1</x:v>
      </x:c>
      <x:c r="K2018" t="n">
        <x:f>IF(AND(J2018=1,C2018=0),1,0)</x:f>
        <x:v>0</x:v>
      </x:c>
      <x:c r="L2018" t="str">
        <x:f>IFERROR(INDEX(Customers!$C$2:$C$451,MATCH(A2018,Customers!$A$2:$A$451,0)),"Unknown")</x:f>
        <x:v>Standard</x:v>
      </x:c>
    </x:row>
    <x:row r="2019">
      <x:c r="A2019" t="n">
        <x:v>370</x:v>
      </x:c>
      <x:c r="B2019" s="16" t="n">
        <x:v>46174</x:v>
      </x:c>
      <x:c r="C2019" t="n">
        <x:v>0</x:v>
      </x:c>
      <x:c r="D2019" t="n">
        <x:v>0</x:v>
      </x:c>
      <x:c r="E2019" s="18" t="n">
        <x:v>0</x:v>
      </x:c>
      <x:c r="F2019" s="18" t="n">
        <x:v>0</x:v>
      </x:c>
      <x:c r="G2019" s="18" t="n">
        <x:v>0</x:v>
      </x:c>
      <x:c r="H2019" s="18" t="n">
        <x:v>0</x:v>
      </x:c>
      <x:c r="I2019" s="18" t="n">
        <x:v>0</x:v>
      </x:c>
      <x:c r="J2019" t="n">
        <x:f>IF(A2019=A2018,IFERROR(IF(B2019=EDATE(B2018,1),C2018,0),0),0)</x:f>
        <x:v>1</x:v>
      </x:c>
      <x:c r="K2019" t="n">
        <x:f>IF(AND(J2019=1,C2019=0),1,0)</x:f>
        <x:v>1</x:v>
      </x:c>
      <x:c r="L2019" t="str">
        <x:f>IFERROR(INDEX(Customers!$C$2:$C$451,MATCH(A2019,Customers!$A$2:$A$451,0)),"Unknown")</x:f>
        <x:v>Standard</x:v>
      </x:c>
    </x:row>
    <x:row r="2020">
      <x:c r="A2020" t="n">
        <x:v>370</x:v>
      </x:c>
      <x:c r="B2020" s="16" t="n">
        <x:v>46204</x:v>
      </x:c>
      <x:c r="C2020" t="n">
        <x:v>0</x:v>
      </x:c>
      <x:c r="D2020" t="n">
        <x:v>0</x:v>
      </x:c>
      <x:c r="E2020" s="18" t="n">
        <x:v>0</x:v>
      </x:c>
      <x:c r="F2020" s="18" t="n">
        <x:v>0</x:v>
      </x:c>
      <x:c r="G2020" s="18" t="n">
        <x:v>0</x:v>
      </x:c>
      <x:c r="H2020" s="18" t="n">
        <x:v>0</x:v>
      </x:c>
      <x:c r="I2020" s="18" t="n">
        <x:v>0</x:v>
      </x:c>
      <x:c r="J2020" t="n">
        <x:f>IF(A2020=A2019,IFERROR(IF(B2020=EDATE(B2019,1),C2019,0),0),0)</x:f>
        <x:v>0</x:v>
      </x:c>
      <x:c r="K2020" t="n">
        <x:f>IF(AND(J2020=1,C2020=0),1,0)</x:f>
        <x:v>0</x:v>
      </x:c>
      <x:c r="L2020" t="str">
        <x:f>IFERROR(INDEX(Customers!$C$2:$C$451,MATCH(A2020,Customers!$A$2:$A$451,0)),"Unknown")</x:f>
        <x:v>Standard</x:v>
      </x:c>
    </x:row>
    <x:row r="2021">
      <x:c r="A2021" t="n">
        <x:v>370</x:v>
      </x:c>
      <x:c r="B2021" s="16" t="n">
        <x:v>46235</x:v>
      </x:c>
      <x:c r="C2021" t="n">
        <x:v>1</x:v>
      </x:c>
      <x:c r="D2021" t="n">
        <x:v>4</x:v>
      </x:c>
      <x:c r="E2021" s="18" t="n">
        <x:v>389.02</x:v>
      </x:c>
      <x:c r="F2021" s="18" t="n">
        <x:v>0</x:v>
      </x:c>
      <x:c r="G2021" s="18" t="n">
        <x:v>1.75</x:v>
      </x:c>
      <x:c r="H2021" s="18" t="n">
        <x:v>0.57</x:v>
      </x:c>
      <x:c r="I2021" s="18" t="n">
        <x:v>2.32</x:v>
      </x:c>
      <x:c r="J2021" t="n">
        <x:f>IF(A2021=A2020,IFERROR(IF(B2021=EDATE(B2020,1),C2020,0),0),0)</x:f>
        <x:v>0</x:v>
      </x:c>
      <x:c r="K2021" t="n">
        <x:f>IF(AND(J2021=1,C2021=0),1,0)</x:f>
        <x:v>0</x:v>
      </x:c>
      <x:c r="L2021" t="str">
        <x:f>IFERROR(INDEX(Customers!$C$2:$C$451,MATCH(A2021,Customers!$A$2:$A$451,0)),"Unknown")</x:f>
        <x:v>Standard</x:v>
      </x:c>
    </x:row>
    <x:row r="2022">
      <x:c r="A2022" t="n">
        <x:v>370</x:v>
      </x:c>
      <x:c r="B2022" s="16" t="n">
        <x:v>46266</x:v>
      </x:c>
      <x:c r="C2022" t="n">
        <x:v>1</x:v>
      </x:c>
      <x:c r="D2022" t="n">
        <x:v>6</x:v>
      </x:c>
      <x:c r="E2022" s="18" t="n">
        <x:v>585.15</x:v>
      </x:c>
      <x:c r="F2022" s="18" t="n">
        <x:v>0</x:v>
      </x:c>
      <x:c r="G2022" s="18" t="n">
        <x:v>2.63</x:v>
      </x:c>
      <x:c r="H2022" s="18" t="n">
        <x:v>1.76</x:v>
      </x:c>
      <x:c r="I2022" s="18" t="n">
        <x:v>4.39</x:v>
      </x:c>
      <x:c r="J2022" t="n">
        <x:f>IF(A2022=A2021,IFERROR(IF(B2022=EDATE(B2021,1),C2021,0),0),0)</x:f>
        <x:v>1</x:v>
      </x:c>
      <x:c r="K2022" t="n">
        <x:f>IF(AND(J2022=1,C2022=0),1,0)</x:f>
        <x:v>0</x:v>
      </x:c>
      <x:c r="L2022" t="str">
        <x:f>IFERROR(INDEX(Customers!$C$2:$C$451,MATCH(A2022,Customers!$A$2:$A$451,0)),"Unknown")</x:f>
        <x:v>Standard</x:v>
      </x:c>
    </x:row>
    <x:row r="2023">
      <x:c r="A2023" t="n">
        <x:v>371</x:v>
      </x:c>
      <x:c r="B2023" s="16" t="n">
        <x:v>46113</x:v>
      </x:c>
      <x:c r="C2023" t="n">
        <x:v>1</x:v>
      </x:c>
      <x:c r="D2023" t="n">
        <x:v>30</x:v>
      </x:c>
      <x:c r="E2023" s="18" t="n">
        <x:v>1896.18</x:v>
      </x:c>
      <x:c r="F2023" s="18" t="n">
        <x:v>17</x:v>
      </x:c>
      <x:c r="G2023" s="18" t="n">
        <x:v>8.53</x:v>
      </x:c>
      <x:c r="H2023" s="18" t="n">
        <x:v>6.5</x:v>
      </x:c>
      <x:c r="I2023" s="18" t="n">
        <x:v>32.03</x:v>
      </x:c>
      <x:c r="J2023" t="n">
        <x:f>IF(A2023=A2022,IFERROR(IF(B2023=EDATE(B2022,1),C2022,0),0),0)</x:f>
        <x:v>0</x:v>
      </x:c>
      <x:c r="K2023" t="n">
        <x:f>IF(AND(J2023=1,C2023=0),1,0)</x:f>
        <x:v>0</x:v>
      </x:c>
      <x:c r="L2023" t="str">
        <x:f>IFERROR(INDEX(Customers!$C$2:$C$451,MATCH(A2023,Customers!$A$2:$A$451,0)),"Unknown")</x:f>
        <x:v>Premium</x:v>
      </x:c>
    </x:row>
    <x:row r="2024">
      <x:c r="A2024" t="n">
        <x:v>371</x:v>
      </x:c>
      <x:c r="B2024" s="16" t="n">
        <x:v>46143</x:v>
      </x:c>
      <x:c r="C2024" t="n">
        <x:v>0</x:v>
      </x:c>
      <x:c r="D2024" t="n">
        <x:v>0</x:v>
      </x:c>
      <x:c r="E2024" s="18" t="n">
        <x:v>0</x:v>
      </x:c>
      <x:c r="F2024" s="18" t="n">
        <x:v>0</x:v>
      </x:c>
      <x:c r="G2024" s="18" t="n">
        <x:v>0</x:v>
      </x:c>
      <x:c r="H2024" s="18" t="n">
        <x:v>0</x:v>
      </x:c>
      <x:c r="I2024" s="18" t="n">
        <x:v>0</x:v>
      </x:c>
      <x:c r="J2024" t="n">
        <x:f>IF(A2024=A2023,IFERROR(IF(B2024=EDATE(B2023,1),C2023,0),0),0)</x:f>
        <x:v>1</x:v>
      </x:c>
      <x:c r="K2024" t="n">
        <x:f>IF(AND(J2024=1,C2024=0),1,0)</x:f>
        <x:v>1</x:v>
      </x:c>
      <x:c r="L2024" t="str">
        <x:f>IFERROR(INDEX(Customers!$C$2:$C$451,MATCH(A2024,Customers!$A$2:$A$451,0)),"Unknown")</x:f>
        <x:v>Premium</x:v>
      </x:c>
    </x:row>
    <x:row r="2025">
      <x:c r="A2025" t="n">
        <x:v>371</x:v>
      </x:c>
      <x:c r="B2025" s="16" t="n">
        <x:v>46174</x:v>
      </x:c>
      <x:c r="C2025" t="n">
        <x:v>1</x:v>
      </x:c>
      <x:c r="D2025" t="n">
        <x:v>26</x:v>
      </x:c>
      <x:c r="E2025" s="18" t="n">
        <x:v>1494.34</x:v>
      </x:c>
      <x:c r="F2025" s="18" t="n">
        <x:v>17</x:v>
      </x:c>
      <x:c r="G2025" s="18" t="n">
        <x:v>6.72</x:v>
      </x:c>
      <x:c r="H2025" s="18" t="n">
        <x:v>2.21</x:v>
      </x:c>
      <x:c r="I2025" s="18" t="n">
        <x:v>25.93</x:v>
      </x:c>
      <x:c r="J2025" t="n">
        <x:f>IF(A2025=A2024,IFERROR(IF(B2025=EDATE(B2024,1),C2024,0),0),0)</x:f>
        <x:v>0</x:v>
      </x:c>
      <x:c r="K2025" t="n">
        <x:f>IF(AND(J2025=1,C2025=0),1,0)</x:f>
        <x:v>0</x:v>
      </x:c>
      <x:c r="L2025" t="str">
        <x:f>IFERROR(INDEX(Customers!$C$2:$C$451,MATCH(A2025,Customers!$A$2:$A$451,0)),"Unknown")</x:f>
        <x:v>Premium</x:v>
      </x:c>
    </x:row>
    <x:row r="2026">
      <x:c r="A2026" t="n">
        <x:v>371</x:v>
      </x:c>
      <x:c r="B2026" s="16" t="n">
        <x:v>46204</x:v>
      </x:c>
      <x:c r="C2026" t="n">
        <x:v>1</x:v>
      </x:c>
      <x:c r="D2026" t="n">
        <x:v>26</x:v>
      </x:c>
      <x:c r="E2026" s="18" t="n">
        <x:v>2514.24</x:v>
      </x:c>
      <x:c r="F2026" s="18" t="n">
        <x:v>17</x:v>
      </x:c>
      <x:c r="G2026" s="18" t="n">
        <x:v>11.31</x:v>
      </x:c>
      <x:c r="H2026" s="18" t="n">
        <x:v>6.31</x:v>
      </x:c>
      <x:c r="I2026" s="18" t="n">
        <x:v>34.62</x:v>
      </x:c>
      <x:c r="J2026" t="n">
        <x:f>IF(A2026=A2025,IFERROR(IF(B2026=EDATE(B2025,1),C2025,0),0),0)</x:f>
        <x:v>1</x:v>
      </x:c>
      <x:c r="K2026" t="n">
        <x:f>IF(AND(J2026=1,C2026=0),1,0)</x:f>
        <x:v>0</x:v>
      </x:c>
      <x:c r="L2026" t="str">
        <x:f>IFERROR(INDEX(Customers!$C$2:$C$451,MATCH(A2026,Customers!$A$2:$A$451,0)),"Unknown")</x:f>
        <x:v>Premium</x:v>
      </x:c>
    </x:row>
    <x:row r="2027">
      <x:c r="A2027" t="n">
        <x:v>371</x:v>
      </x:c>
      <x:c r="B2027" s="16" t="n">
        <x:v>46235</x:v>
      </x:c>
      <x:c r="C2027" t="n">
        <x:v>1</x:v>
      </x:c>
      <x:c r="D2027" t="n">
        <x:v>28</x:v>
      </x:c>
      <x:c r="E2027" s="18" t="n">
        <x:v>1808.47</x:v>
      </x:c>
      <x:c r="F2027" s="18" t="n">
        <x:v>17</x:v>
      </x:c>
      <x:c r="G2027" s="18" t="n">
        <x:v>8.14</x:v>
      </x:c>
      <x:c r="H2027" s="18" t="n">
        <x:v>6.64</x:v>
      </x:c>
      <x:c r="I2027" s="18" t="n">
        <x:v>31.78</x:v>
      </x:c>
      <x:c r="J2027" t="n">
        <x:f>IF(A2027=A2026,IFERROR(IF(B2027=EDATE(B2026,1),C2026,0),0),0)</x:f>
        <x:v>1</x:v>
      </x:c>
      <x:c r="K2027" t="n">
        <x:f>IF(AND(J2027=1,C2027=0),1,0)</x:f>
        <x:v>0</x:v>
      </x:c>
      <x:c r="L2027" t="str">
        <x:f>IFERROR(INDEX(Customers!$C$2:$C$451,MATCH(A2027,Customers!$A$2:$A$451,0)),"Unknown")</x:f>
        <x:v>Premium</x:v>
      </x:c>
    </x:row>
    <x:row r="2028">
      <x:c r="A2028" t="n">
        <x:v>371</x:v>
      </x:c>
      <x:c r="B2028" s="16" t="n">
        <x:v>46266</x:v>
      </x:c>
      <x:c r="C2028" t="n">
        <x:v>0</x:v>
      </x:c>
      <x:c r="D2028" t="n">
        <x:v>0</x:v>
      </x:c>
      <x:c r="E2028" s="18" t="n">
        <x:v>0</x:v>
      </x:c>
      <x:c r="F2028" s="18" t="n">
        <x:v>0</x:v>
      </x:c>
      <x:c r="G2028" s="18" t="n">
        <x:v>0</x:v>
      </x:c>
      <x:c r="H2028" s="18" t="n">
        <x:v>0</x:v>
      </x:c>
      <x:c r="I2028" s="18" t="n">
        <x:v>0</x:v>
      </x:c>
      <x:c r="J2028" t="n">
        <x:f>IF(A2028=A2027,IFERROR(IF(B2028=EDATE(B2027,1),C2027,0),0),0)</x:f>
        <x:v>1</x:v>
      </x:c>
      <x:c r="K2028" t="n">
        <x:f>IF(AND(J2028=1,C2028=0),1,0)</x:f>
        <x:v>1</x:v>
      </x:c>
      <x:c r="L2028" t="str">
        <x:f>IFERROR(INDEX(Customers!$C$2:$C$451,MATCH(A2028,Customers!$A$2:$A$451,0)),"Unknown")</x:f>
        <x:v>Premium</x:v>
      </x:c>
    </x:row>
    <x:row r="2029">
      <x:c r="A2029" t="n">
        <x:v>372</x:v>
      </x:c>
      <x:c r="B2029" s="16" t="n">
        <x:v>46174</x:v>
      </x:c>
      <x:c r="C2029" t="n">
        <x:v>1</x:v>
      </x:c>
      <x:c r="D2029" t="n">
        <x:v>16</x:v>
      </x:c>
      <x:c r="E2029" s="18" t="n">
        <x:v>1310.16</x:v>
      </x:c>
      <x:c r="F2029" s="18" t="n">
        <x:v>0</x:v>
      </x:c>
      <x:c r="G2029" s="18" t="n">
        <x:v>5.9</x:v>
      </x:c>
      <x:c r="H2029" s="18" t="n">
        <x:v>1.89</x:v>
      </x:c>
      <x:c r="I2029" s="18" t="n">
        <x:v>7.79</x:v>
      </x:c>
      <x:c r="J2029" t="n">
        <x:f>IF(A2029=A2028,IFERROR(IF(B2029=EDATE(B2028,1),C2028,0),0),0)</x:f>
        <x:v>0</x:v>
      </x:c>
      <x:c r="K2029" t="n">
        <x:f>IF(AND(J2029=1,C2029=0),1,0)</x:f>
        <x:v>0</x:v>
      </x:c>
      <x:c r="L2029" t="str">
        <x:f>IFERROR(INDEX(Customers!$C$2:$C$451,MATCH(A2029,Customers!$A$2:$A$451,0)),"Unknown")</x:f>
        <x:v>Standard</x:v>
      </x:c>
    </x:row>
    <x:row r="2030">
      <x:c r="A2030" t="n">
        <x:v>372</x:v>
      </x:c>
      <x:c r="B2030" s="16" t="n">
        <x:v>46204</x:v>
      </x:c>
      <x:c r="C2030" t="n">
        <x:v>1</x:v>
      </x:c>
      <x:c r="D2030" t="n">
        <x:v>11</x:v>
      </x:c>
      <x:c r="E2030" s="18" t="n">
        <x:v>424.26</x:v>
      </x:c>
      <x:c r="F2030" s="18" t="n">
        <x:v>0</x:v>
      </x:c>
      <x:c r="G2030" s="18" t="n">
        <x:v>1.91</x:v>
      </x:c>
      <x:c r="H2030" s="18" t="n">
        <x:v>0.42</x:v>
      </x:c>
      <x:c r="I2030" s="18" t="n">
        <x:v>2.33</x:v>
      </x:c>
      <x:c r="J2030" t="n">
        <x:f>IF(A2030=A2029,IFERROR(IF(B2030=EDATE(B2029,1),C2029,0),0),0)</x:f>
        <x:v>1</x:v>
      </x:c>
      <x:c r="K2030" t="n">
        <x:f>IF(AND(J2030=1,C2030=0),1,0)</x:f>
        <x:v>0</x:v>
      </x:c>
      <x:c r="L2030" t="str">
        <x:f>IFERROR(INDEX(Customers!$C$2:$C$451,MATCH(A2030,Customers!$A$2:$A$451,0)),"Unknown")</x:f>
        <x:v>Standard</x:v>
      </x:c>
    </x:row>
    <x:row r="2031">
      <x:c r="A2031" t="n">
        <x:v>372</x:v>
      </x:c>
      <x:c r="B2031" s="16" t="n">
        <x:v>46235</x:v>
      </x:c>
      <x:c r="C2031" t="n">
        <x:v>1</x:v>
      </x:c>
      <x:c r="D2031" t="n">
        <x:v>19</x:v>
      </x:c>
      <x:c r="E2031" s="18" t="n">
        <x:v>1581.41</x:v>
      </x:c>
      <x:c r="F2031" s="18" t="n">
        <x:v>0</x:v>
      </x:c>
      <x:c r="G2031" s="18" t="n">
        <x:v>7.12</x:v>
      </x:c>
      <x:c r="H2031" s="18" t="n">
        <x:v>3.96</x:v>
      </x:c>
      <x:c r="I2031" s="18" t="n">
        <x:v>11.08</x:v>
      </x:c>
      <x:c r="J2031" t="n">
        <x:f>IF(A2031=A2030,IFERROR(IF(B2031=EDATE(B2030,1),C2030,0),0),0)</x:f>
        <x:v>1</x:v>
      </x:c>
      <x:c r="K2031" t="n">
        <x:f>IF(AND(J2031=1,C2031=0),1,0)</x:f>
        <x:v>0</x:v>
      </x:c>
      <x:c r="L2031" t="str">
        <x:f>IFERROR(INDEX(Customers!$C$2:$C$451,MATCH(A2031,Customers!$A$2:$A$451,0)),"Unknown")</x:f>
        <x:v>Standard</x:v>
      </x:c>
    </x:row>
    <x:row r="2032">
      <x:c r="A2032" t="n">
        <x:v>372</x:v>
      </x:c>
      <x:c r="B2032" s="16" t="n">
        <x:v>46266</x:v>
      </x:c>
      <x:c r="C2032" t="n">
        <x:v>1</x:v>
      </x:c>
      <x:c r="D2032" t="n">
        <x:v>14</x:v>
      </x:c>
      <x:c r="E2032" s="18" t="n">
        <x:v>1728.72</x:v>
      </x:c>
      <x:c r="F2032" s="18" t="n">
        <x:v>0</x:v>
      </x:c>
      <x:c r="G2032" s="18" t="n">
        <x:v>7.78</x:v>
      </x:c>
      <x:c r="H2032" s="18" t="n">
        <x:v>4.47</x:v>
      </x:c>
      <x:c r="I2032" s="18" t="n">
        <x:v>12.25</x:v>
      </x:c>
      <x:c r="J2032" t="n">
        <x:f>IF(A2032=A2031,IFERROR(IF(B2032=EDATE(B2031,1),C2031,0),0),0)</x:f>
        <x:v>1</x:v>
      </x:c>
      <x:c r="K2032" t="n">
        <x:f>IF(AND(J2032=1,C2032=0),1,0)</x:f>
        <x:v>0</x:v>
      </x:c>
      <x:c r="L2032" t="str">
        <x:f>IFERROR(INDEX(Customers!$C$2:$C$451,MATCH(A2032,Customers!$A$2:$A$451,0)),"Unknown")</x:f>
        <x:v>Standard</x:v>
      </x:c>
    </x:row>
    <x:row r="2033">
      <x:c r="A2033" t="n">
        <x:v>373</x:v>
      </x:c>
      <x:c r="B2033" s="16" t="n">
        <x:v>46113</x:v>
      </x:c>
      <x:c r="C2033" t="n">
        <x:v>0</x:v>
      </x:c>
      <x:c r="D2033" t="n">
        <x:v>0</x:v>
      </x:c>
      <x:c r="E2033" s="18" t="n">
        <x:v>0</x:v>
      </x:c>
      <x:c r="F2033" s="18" t="n">
        <x:v>0</x:v>
      </x:c>
      <x:c r="G2033" s="18" t="n">
        <x:v>0</x:v>
      </x:c>
      <x:c r="H2033" s="18" t="n">
        <x:v>0</x:v>
      </x:c>
      <x:c r="I2033" s="18" t="n">
        <x:v>0</x:v>
      </x:c>
      <x:c r="J2033" t="n">
        <x:f>IF(A2033=A2032,IFERROR(IF(B2033=EDATE(B2032,1),C2032,0),0),0)</x:f>
        <x:v>0</x:v>
      </x:c>
      <x:c r="K2033" t="n">
        <x:f>IF(AND(J2033=1,C2033=0),1,0)</x:f>
        <x:v>0</x:v>
      </x:c>
      <x:c r="L2033" t="str">
        <x:f>IFERROR(INDEX(Customers!$C$2:$C$451,MATCH(A2033,Customers!$A$2:$A$451,0)),"Unknown")</x:f>
        <x:v>Standard</x:v>
      </x:c>
    </x:row>
    <x:row r="2034">
      <x:c r="A2034" t="n">
        <x:v>373</x:v>
      </x:c>
      <x:c r="B2034" s="16" t="n">
        <x:v>46143</x:v>
      </x:c>
      <x:c r="C2034" t="n">
        <x:v>1</x:v>
      </x:c>
      <x:c r="D2034" t="n">
        <x:v>14</x:v>
      </x:c>
      <x:c r="E2034" s="18" t="n">
        <x:v>1890.38</x:v>
      </x:c>
      <x:c r="F2034" s="18" t="n">
        <x:v>0</x:v>
      </x:c>
      <x:c r="G2034" s="18" t="n">
        <x:v>8.51</x:v>
      </x:c>
      <x:c r="H2034" s="18" t="n">
        <x:v>2.56</x:v>
      </x:c>
      <x:c r="I2034" s="18" t="n">
        <x:v>11.07</x:v>
      </x:c>
      <x:c r="J2034" t="n">
        <x:f>IF(A2034=A2033,IFERROR(IF(B2034=EDATE(B2033,1),C2033,0),0),0)</x:f>
        <x:v>0</x:v>
      </x:c>
      <x:c r="K2034" t="n">
        <x:f>IF(AND(J2034=1,C2034=0),1,0)</x:f>
        <x:v>0</x:v>
      </x:c>
      <x:c r="L2034" t="str">
        <x:f>IFERROR(INDEX(Customers!$C$2:$C$451,MATCH(A2034,Customers!$A$2:$A$451,0)),"Unknown")</x:f>
        <x:v>Standard</x:v>
      </x:c>
    </x:row>
    <x:row r="2035">
      <x:c r="A2035" t="n">
        <x:v>373</x:v>
      </x:c>
      <x:c r="B2035" s="16" t="n">
        <x:v>46174</x:v>
      </x:c>
      <x:c r="C2035" t="n">
        <x:v>0</x:v>
      </x:c>
      <x:c r="D2035" t="n">
        <x:v>0</x:v>
      </x:c>
      <x:c r="E2035" s="18" t="n">
        <x:v>0</x:v>
      </x:c>
      <x:c r="F2035" s="18" t="n">
        <x:v>0</x:v>
      </x:c>
      <x:c r="G2035" s="18" t="n">
        <x:v>0</x:v>
      </x:c>
      <x:c r="H2035" s="18" t="n">
        <x:v>0</x:v>
      </x:c>
      <x:c r="I2035" s="18" t="n">
        <x:v>0</x:v>
      </x:c>
      <x:c r="J2035" t="n">
        <x:f>IF(A2035=A2034,IFERROR(IF(B2035=EDATE(B2034,1),C2034,0),0),0)</x:f>
        <x:v>1</x:v>
      </x:c>
      <x:c r="K2035" t="n">
        <x:f>IF(AND(J2035=1,C2035=0),1,0)</x:f>
        <x:v>1</x:v>
      </x:c>
      <x:c r="L2035" t="str">
        <x:f>IFERROR(INDEX(Customers!$C$2:$C$451,MATCH(A2035,Customers!$A$2:$A$451,0)),"Unknown")</x:f>
        <x:v>Standard</x:v>
      </x:c>
    </x:row>
    <x:row r="2036">
      <x:c r="A2036" t="n">
        <x:v>373</x:v>
      </x:c>
      <x:c r="B2036" s="16" t="n">
        <x:v>46204</x:v>
      </x:c>
      <x:c r="C2036" t="n">
        <x:v>1</x:v>
      </x:c>
      <x:c r="D2036" t="n">
        <x:v>30</x:v>
      </x:c>
      <x:c r="E2036" s="18" t="n">
        <x:v>2762.17</x:v>
      </x:c>
      <x:c r="F2036" s="18" t="n">
        <x:v>0</x:v>
      </x:c>
      <x:c r="G2036" s="18" t="n">
        <x:v>12.43</x:v>
      </x:c>
      <x:c r="H2036" s="18" t="n">
        <x:v>3.28</x:v>
      </x:c>
      <x:c r="I2036" s="18" t="n">
        <x:v>15.71</x:v>
      </x:c>
      <x:c r="J2036" t="n">
        <x:f>IF(A2036=A2035,IFERROR(IF(B2036=EDATE(B2035,1),C2035,0),0),0)</x:f>
        <x:v>0</x:v>
      </x:c>
      <x:c r="K2036" t="n">
        <x:f>IF(AND(J2036=1,C2036=0),1,0)</x:f>
        <x:v>0</x:v>
      </x:c>
      <x:c r="L2036" t="str">
        <x:f>IFERROR(INDEX(Customers!$C$2:$C$451,MATCH(A2036,Customers!$A$2:$A$451,0)),"Unknown")</x:f>
        <x:v>Standard</x:v>
      </x:c>
    </x:row>
    <x:row r="2037">
      <x:c r="A2037" t="n">
        <x:v>373</x:v>
      </x:c>
      <x:c r="B2037" s="16" t="n">
        <x:v>46235</x:v>
      </x:c>
      <x:c r="C2037" t="n">
        <x:v>1</x:v>
      </x:c>
      <x:c r="D2037" t="n">
        <x:v>12</x:v>
      </x:c>
      <x:c r="E2037" s="18" t="n">
        <x:v>812.83</x:v>
      </x:c>
      <x:c r="F2037" s="18" t="n">
        <x:v>0</x:v>
      </x:c>
      <x:c r="G2037" s="18" t="n">
        <x:v>3.66</x:v>
      </x:c>
      <x:c r="H2037" s="18" t="n">
        <x:v>2.93</x:v>
      </x:c>
      <x:c r="I2037" s="18" t="n">
        <x:v>6.59</x:v>
      </x:c>
      <x:c r="J2037" t="n">
        <x:f>IF(A2037=A2036,IFERROR(IF(B2037=EDATE(B2036,1),C2036,0),0),0)</x:f>
        <x:v>1</x:v>
      </x:c>
      <x:c r="K2037" t="n">
        <x:f>IF(AND(J2037=1,C2037=0),1,0)</x:f>
        <x:v>0</x:v>
      </x:c>
      <x:c r="L2037" t="str">
        <x:f>IFERROR(INDEX(Customers!$C$2:$C$451,MATCH(A2037,Customers!$A$2:$A$451,0)),"Unknown")</x:f>
        <x:v>Standard</x:v>
      </x:c>
    </x:row>
    <x:row r="2038">
      <x:c r="A2038" t="n">
        <x:v>373</x:v>
      </x:c>
      <x:c r="B2038" s="16" t="n">
        <x:v>46266</x:v>
      </x:c>
      <x:c r="C2038" t="n">
        <x:v>1</x:v>
      </x:c>
      <x:c r="D2038" t="n">
        <x:v>9</x:v>
      </x:c>
      <x:c r="E2038" s="18" t="n">
        <x:v>437.47</x:v>
      </x:c>
      <x:c r="F2038" s="18" t="n">
        <x:v>0</x:v>
      </x:c>
      <x:c r="G2038" s="18" t="n">
        <x:v>1.97</x:v>
      </x:c>
      <x:c r="H2038" s="18" t="n">
        <x:v>1.17</x:v>
      </x:c>
      <x:c r="I2038" s="18" t="n">
        <x:v>3.14</x:v>
      </x:c>
      <x:c r="J2038" t="n">
        <x:f>IF(A2038=A2037,IFERROR(IF(B2038=EDATE(B2037,1),C2037,0),0),0)</x:f>
        <x:v>1</x:v>
      </x:c>
      <x:c r="K2038" t="n">
        <x:f>IF(AND(J2038=1,C2038=0),1,0)</x:f>
        <x:v>0</x:v>
      </x:c>
      <x:c r="L2038" t="str">
        <x:f>IFERROR(INDEX(Customers!$C$2:$C$451,MATCH(A2038,Customers!$A$2:$A$451,0)),"Unknown")</x:f>
        <x:v>Standard</x:v>
      </x:c>
    </x:row>
    <x:row r="2039">
      <x:c r="A2039" t="n">
        <x:v>374</x:v>
      </x:c>
      <x:c r="B2039" s="16" t="n">
        <x:v>46143</x:v>
      </x:c>
      <x:c r="C2039" t="n">
        <x:v>1</x:v>
      </x:c>
      <x:c r="D2039" t="n">
        <x:v>35</x:v>
      </x:c>
      <x:c r="E2039" s="18" t="n">
        <x:v>3081.97</x:v>
      </x:c>
      <x:c r="F2039" s="18" t="n">
        <x:v>0</x:v>
      </x:c>
      <x:c r="G2039" s="18" t="n">
        <x:v>13.87</x:v>
      </x:c>
      <x:c r="H2039" s="18" t="n">
        <x:v>5.65</x:v>
      </x:c>
      <x:c r="I2039" s="18" t="n">
        <x:v>19.52</x:v>
      </x:c>
      <x:c r="J2039" t="n">
        <x:f>IF(A2039=A2038,IFERROR(IF(B2039=EDATE(B2038,1),C2038,0),0),0)</x:f>
        <x:v>0</x:v>
      </x:c>
      <x:c r="K2039" t="n">
        <x:f>IF(AND(J2039=1,C2039=0),1,0)</x:f>
        <x:v>0</x:v>
      </x:c>
      <x:c r="L2039" t="str">
        <x:f>IFERROR(INDEX(Customers!$C$2:$C$451,MATCH(A2039,Customers!$A$2:$A$451,0)),"Unknown")</x:f>
        <x:v>Standard</x:v>
      </x:c>
    </x:row>
    <x:row r="2040">
      <x:c r="A2040" t="n">
        <x:v>374</x:v>
      </x:c>
      <x:c r="B2040" s="16" t="n">
        <x:v>46174</x:v>
      </x:c>
      <x:c r="C2040" t="n">
        <x:v>1</x:v>
      </x:c>
      <x:c r="D2040" t="n">
        <x:v>17</x:v>
      </x:c>
      <x:c r="E2040" s="18" t="n">
        <x:v>1342.62</x:v>
      </x:c>
      <x:c r="F2040" s="18" t="n">
        <x:v>0</x:v>
      </x:c>
      <x:c r="G2040" s="18" t="n">
        <x:v>6.04</x:v>
      </x:c>
      <x:c r="H2040" s="18" t="n">
        <x:v>1.3</x:v>
      </x:c>
      <x:c r="I2040" s="18" t="n">
        <x:v>7.34</x:v>
      </x:c>
      <x:c r="J2040" t="n">
        <x:f>IF(A2040=A2039,IFERROR(IF(B2040=EDATE(B2039,1),C2039,0),0),0)</x:f>
        <x:v>1</x:v>
      </x:c>
      <x:c r="K2040" t="n">
        <x:f>IF(AND(J2040=1,C2040=0),1,0)</x:f>
        <x:v>0</x:v>
      </x:c>
      <x:c r="L2040" t="str">
        <x:f>IFERROR(INDEX(Customers!$C$2:$C$451,MATCH(A2040,Customers!$A$2:$A$451,0)),"Unknown")</x:f>
        <x:v>Standard</x:v>
      </x:c>
    </x:row>
    <x:row r="2041">
      <x:c r="A2041" t="n">
        <x:v>374</x:v>
      </x:c>
      <x:c r="B2041" s="16" t="n">
        <x:v>46204</x:v>
      </x:c>
      <x:c r="C2041" t="n">
        <x:v>1</x:v>
      </x:c>
      <x:c r="D2041" t="n">
        <x:v>24</x:v>
      </x:c>
      <x:c r="E2041" s="18" t="n">
        <x:v>3282.96</x:v>
      </x:c>
      <x:c r="F2041" s="18" t="n">
        <x:v>0</x:v>
      </x:c>
      <x:c r="G2041" s="18" t="n">
        <x:v>14.77</x:v>
      </x:c>
      <x:c r="H2041" s="18" t="n">
        <x:v>9.85</x:v>
      </x:c>
      <x:c r="I2041" s="18" t="n">
        <x:v>24.62</x:v>
      </x:c>
      <x:c r="J2041" t="n">
        <x:f>IF(A2041=A2040,IFERROR(IF(B2041=EDATE(B2040,1),C2040,0),0),0)</x:f>
        <x:v>1</x:v>
      </x:c>
      <x:c r="K2041" t="n">
        <x:f>IF(AND(J2041=1,C2041=0),1,0)</x:f>
        <x:v>0</x:v>
      </x:c>
      <x:c r="L2041" t="str">
        <x:f>IFERROR(INDEX(Customers!$C$2:$C$451,MATCH(A2041,Customers!$A$2:$A$451,0)),"Unknown")</x:f>
        <x:v>Standard</x:v>
      </x:c>
    </x:row>
    <x:row r="2042">
      <x:c r="A2042" t="n">
        <x:v>374</x:v>
      </x:c>
      <x:c r="B2042" s="16" t="n">
        <x:v>46235</x:v>
      </x:c>
      <x:c r="C2042" t="n">
        <x:v>1</x:v>
      </x:c>
      <x:c r="D2042" t="n">
        <x:v>31</x:v>
      </x:c>
      <x:c r="E2042" s="18" t="n">
        <x:v>1221.23</x:v>
      </x:c>
      <x:c r="F2042" s="18" t="n">
        <x:v>0</x:v>
      </x:c>
      <x:c r="G2042" s="18" t="n">
        <x:v>5.5</x:v>
      </x:c>
      <x:c r="H2042" s="18" t="n">
        <x:v>4.22</x:v>
      </x:c>
      <x:c r="I2042" s="18" t="n">
        <x:v>9.72</x:v>
      </x:c>
      <x:c r="J2042" t="n">
        <x:f>IF(A2042=A2041,IFERROR(IF(B2042=EDATE(B2041,1),C2041,0),0),0)</x:f>
        <x:v>1</x:v>
      </x:c>
      <x:c r="K2042" t="n">
        <x:f>IF(AND(J2042=1,C2042=0),1,0)</x:f>
        <x:v>0</x:v>
      </x:c>
      <x:c r="L2042" t="str">
        <x:f>IFERROR(INDEX(Customers!$C$2:$C$451,MATCH(A2042,Customers!$A$2:$A$451,0)),"Unknown")</x:f>
        <x:v>Standard</x:v>
      </x:c>
    </x:row>
    <x:row r="2043">
      <x:c r="A2043" t="n">
        <x:v>374</x:v>
      </x:c>
      <x:c r="B2043" s="16" t="n">
        <x:v>46266</x:v>
      </x:c>
      <x:c r="C2043" t="n">
        <x:v>0</x:v>
      </x:c>
      <x:c r="D2043" t="n">
        <x:v>0</x:v>
      </x:c>
      <x:c r="E2043" s="18" t="n">
        <x:v>0</x:v>
      </x:c>
      <x:c r="F2043" s="18" t="n">
        <x:v>0</x:v>
      </x:c>
      <x:c r="G2043" s="18" t="n">
        <x:v>0</x:v>
      </x:c>
      <x:c r="H2043" s="18" t="n">
        <x:v>0</x:v>
      </x:c>
      <x:c r="I2043" s="18" t="n">
        <x:v>0</x:v>
      </x:c>
      <x:c r="J2043" t="n">
        <x:f>IF(A2043=A2042,IFERROR(IF(B2043=EDATE(B2042,1),C2042,0),0),0)</x:f>
        <x:v>1</x:v>
      </x:c>
      <x:c r="K2043" t="n">
        <x:f>IF(AND(J2043=1,C2043=0),1,0)</x:f>
        <x:v>1</x:v>
      </x:c>
      <x:c r="L2043" t="str">
        <x:f>IFERROR(INDEX(Customers!$C$2:$C$451,MATCH(A2043,Customers!$A$2:$A$451,0)),"Unknown")</x:f>
        <x:v>Standard</x:v>
      </x:c>
    </x:row>
    <x:row r="2044">
      <x:c r="A2044" t="n">
        <x:v>375</x:v>
      </x:c>
      <x:c r="B2044" s="16" t="n">
        <x:v>46174</x:v>
      </x:c>
      <x:c r="C2044" t="n">
        <x:v>0</x:v>
      </x:c>
      <x:c r="D2044" t="n">
        <x:v>0</x:v>
      </x:c>
      <x:c r="E2044" s="18" t="n">
        <x:v>0</x:v>
      </x:c>
      <x:c r="F2044" s="18" t="n">
        <x:v>0</x:v>
      </x:c>
      <x:c r="G2044" s="18" t="n">
        <x:v>0</x:v>
      </x:c>
      <x:c r="H2044" s="18" t="n">
        <x:v>0</x:v>
      </x:c>
      <x:c r="I2044" s="18" t="n">
        <x:v>0</x:v>
      </x:c>
      <x:c r="J2044" t="n">
        <x:f>IF(A2044=A2043,IFERROR(IF(B2044=EDATE(B2043,1),C2043,0),0),0)</x:f>
        <x:v>0</x:v>
      </x:c>
      <x:c r="K2044" t="n">
        <x:f>IF(AND(J2044=1,C2044=0),1,0)</x:f>
        <x:v>0</x:v>
      </x:c>
      <x:c r="L2044" t="str">
        <x:f>IFERROR(INDEX(Customers!$C$2:$C$451,MATCH(A2044,Customers!$A$2:$A$451,0)),"Unknown")</x:f>
        <x:v>Standard</x:v>
      </x:c>
    </x:row>
    <x:row r="2045">
      <x:c r="A2045" t="n">
        <x:v>375</x:v>
      </x:c>
      <x:c r="B2045" s="16" t="n">
        <x:v>46204</x:v>
      </x:c>
      <x:c r="C2045" t="n">
        <x:v>0</x:v>
      </x:c>
      <x:c r="D2045" t="n">
        <x:v>0</x:v>
      </x:c>
      <x:c r="E2045" s="18" t="n">
        <x:v>0</x:v>
      </x:c>
      <x:c r="F2045" s="18" t="n">
        <x:v>0</x:v>
      </x:c>
      <x:c r="G2045" s="18" t="n">
        <x:v>0</x:v>
      </x:c>
      <x:c r="H2045" s="18" t="n">
        <x:v>0</x:v>
      </x:c>
      <x:c r="I2045" s="18" t="n">
        <x:v>0</x:v>
      </x:c>
      <x:c r="J2045" t="n">
        <x:f>IF(A2045=A2044,IFERROR(IF(B2045=EDATE(B2044,1),C2044,0),0),0)</x:f>
        <x:v>0</x:v>
      </x:c>
      <x:c r="K2045" t="n">
        <x:f>IF(AND(J2045=1,C2045=0),1,0)</x:f>
        <x:v>0</x:v>
      </x:c>
      <x:c r="L2045" t="str">
        <x:f>IFERROR(INDEX(Customers!$C$2:$C$451,MATCH(A2045,Customers!$A$2:$A$451,0)),"Unknown")</x:f>
        <x:v>Standard</x:v>
      </x:c>
    </x:row>
    <x:row r="2046">
      <x:c r="A2046" t="n">
        <x:v>375</x:v>
      </x:c>
      <x:c r="B2046" s="16" t="n">
        <x:v>46235</x:v>
      </x:c>
      <x:c r="C2046" t="n">
        <x:v>1</x:v>
      </x:c>
      <x:c r="D2046" t="n">
        <x:v>11</x:v>
      </x:c>
      <x:c r="E2046" s="18" t="n">
        <x:v>1191.27</x:v>
      </x:c>
      <x:c r="F2046" s="18" t="n">
        <x:v>0</x:v>
      </x:c>
      <x:c r="G2046" s="18" t="n">
        <x:v>5.36</x:v>
      </x:c>
      <x:c r="H2046" s="18" t="n">
        <x:v>2.97</x:v>
      </x:c>
      <x:c r="I2046" s="18" t="n">
        <x:v>8.33</x:v>
      </x:c>
      <x:c r="J2046" t="n">
        <x:f>IF(A2046=A2045,IFERROR(IF(B2046=EDATE(B2045,1),C2045,0),0),0)</x:f>
        <x:v>0</x:v>
      </x:c>
      <x:c r="K2046" t="n">
        <x:f>IF(AND(J2046=1,C2046=0),1,0)</x:f>
        <x:v>0</x:v>
      </x:c>
      <x:c r="L2046" t="str">
        <x:f>IFERROR(INDEX(Customers!$C$2:$C$451,MATCH(A2046,Customers!$A$2:$A$451,0)),"Unknown")</x:f>
        <x:v>Standard</x:v>
      </x:c>
    </x:row>
    <x:row r="2047">
      <x:c r="A2047" t="n">
        <x:v>375</x:v>
      </x:c>
      <x:c r="B2047" s="16" t="n">
        <x:v>46266</x:v>
      </x:c>
      <x:c r="C2047" t="n">
        <x:v>1</x:v>
      </x:c>
      <x:c r="D2047" t="n">
        <x:v>32</x:v>
      </x:c>
      <x:c r="E2047" s="18" t="n">
        <x:v>4049.74</x:v>
      </x:c>
      <x:c r="F2047" s="18" t="n">
        <x:v>0</x:v>
      </x:c>
      <x:c r="G2047" s="18" t="n">
        <x:v>18.22</x:v>
      </x:c>
      <x:c r="H2047" s="18" t="n">
        <x:v>14.3</x:v>
      </x:c>
      <x:c r="I2047" s="18" t="n">
        <x:v>32.52</x:v>
      </x:c>
      <x:c r="J2047" t="n">
        <x:f>IF(A2047=A2046,IFERROR(IF(B2047=EDATE(B2046,1),C2046,0),0),0)</x:f>
        <x:v>1</x:v>
      </x:c>
      <x:c r="K2047" t="n">
        <x:f>IF(AND(J2047=1,C2047=0),1,0)</x:f>
        <x:v>0</x:v>
      </x:c>
      <x:c r="L2047" t="str">
        <x:f>IFERROR(INDEX(Customers!$C$2:$C$451,MATCH(A2047,Customers!$A$2:$A$451,0)),"Unknown")</x:f>
        <x:v>Standard</x:v>
      </x:c>
    </x:row>
    <x:row r="2048">
      <x:c r="A2048" t="n">
        <x:v>376</x:v>
      </x:c>
      <x:c r="B2048" s="16" t="n">
        <x:v>46113</x:v>
      </x:c>
      <x:c r="C2048" t="n">
        <x:v>1</x:v>
      </x:c>
      <x:c r="D2048" t="n">
        <x:v>19</x:v>
      </x:c>
      <x:c r="E2048" s="18" t="n">
        <x:v>2194.13</x:v>
      </x:c>
      <x:c r="F2048" s="18" t="n">
        <x:v>17</x:v>
      </x:c>
      <x:c r="G2048" s="18" t="n">
        <x:v>9.87</x:v>
      </x:c>
      <x:c r="H2048" s="18" t="n">
        <x:v>3.62</x:v>
      </x:c>
      <x:c r="I2048" s="18" t="n">
        <x:v>30.49</x:v>
      </x:c>
      <x:c r="J2048" t="n">
        <x:f>IF(A2048=A2047,IFERROR(IF(B2048=EDATE(B2047,1),C2047,0),0),0)</x:f>
        <x:v>0</x:v>
      </x:c>
      <x:c r="K2048" t="n">
        <x:f>IF(AND(J2048=1,C2048=0),1,0)</x:f>
        <x:v>0</x:v>
      </x:c>
      <x:c r="L2048" t="str">
        <x:f>IFERROR(INDEX(Customers!$C$2:$C$451,MATCH(A2048,Customers!$A$2:$A$451,0)),"Unknown")</x:f>
        <x:v>Premium</x:v>
      </x:c>
    </x:row>
    <x:row r="2049">
      <x:c r="A2049" t="n">
        <x:v>376</x:v>
      </x:c>
      <x:c r="B2049" s="16" t="n">
        <x:v>46143</x:v>
      </x:c>
      <x:c r="C2049" t="n">
        <x:v>1</x:v>
      </x:c>
      <x:c r="D2049" t="n">
        <x:v>7</x:v>
      </x:c>
      <x:c r="E2049" s="18" t="n">
        <x:v>831.29</x:v>
      </x:c>
      <x:c r="F2049" s="18" t="n">
        <x:v>17</x:v>
      </x:c>
      <x:c r="G2049" s="18" t="n">
        <x:v>3.74</x:v>
      </x:c>
      <x:c r="H2049" s="18" t="n">
        <x:v>1.12</x:v>
      </x:c>
      <x:c r="I2049" s="18" t="n">
        <x:v>21.86</x:v>
      </x:c>
      <x:c r="J2049" t="n">
        <x:f>IF(A2049=A2048,IFERROR(IF(B2049=EDATE(B2048,1),C2048,0),0),0)</x:f>
        <x:v>1</x:v>
      </x:c>
      <x:c r="K2049" t="n">
        <x:f>IF(AND(J2049=1,C2049=0),1,0)</x:f>
        <x:v>0</x:v>
      </x:c>
      <x:c r="L2049" t="str">
        <x:f>IFERROR(INDEX(Customers!$C$2:$C$451,MATCH(A2049,Customers!$A$2:$A$451,0)),"Unknown")</x:f>
        <x:v>Premium</x:v>
      </x:c>
    </x:row>
    <x:row r="2050">
      <x:c r="A2050" t="n">
        <x:v>376</x:v>
      </x:c>
      <x:c r="B2050" s="16" t="n">
        <x:v>46174</x:v>
      </x:c>
      <x:c r="C2050" t="n">
        <x:v>1</x:v>
      </x:c>
      <x:c r="D2050" t="n">
        <x:v>27</x:v>
      </x:c>
      <x:c r="E2050" s="18" t="n">
        <x:v>2060.95</x:v>
      </x:c>
      <x:c r="F2050" s="18" t="n">
        <x:v>17</x:v>
      </x:c>
      <x:c r="G2050" s="18" t="n">
        <x:v>9.27</x:v>
      </x:c>
      <x:c r="H2050" s="18" t="n">
        <x:v>3.49</x:v>
      </x:c>
      <x:c r="I2050" s="18" t="n">
        <x:v>29.76</x:v>
      </x:c>
      <x:c r="J2050" t="n">
        <x:f>IF(A2050=A2049,IFERROR(IF(B2050=EDATE(B2049,1),C2049,0),0),0)</x:f>
        <x:v>1</x:v>
      </x:c>
      <x:c r="K2050" t="n">
        <x:f>IF(AND(J2050=1,C2050=0),1,0)</x:f>
        <x:v>0</x:v>
      </x:c>
      <x:c r="L2050" t="str">
        <x:f>IFERROR(INDEX(Customers!$C$2:$C$451,MATCH(A2050,Customers!$A$2:$A$451,0)),"Unknown")</x:f>
        <x:v>Premium</x:v>
      </x:c>
    </x:row>
    <x:row r="2051">
      <x:c r="A2051" t="n">
        <x:v>376</x:v>
      </x:c>
      <x:c r="B2051" s="16" t="n">
        <x:v>46204</x:v>
      </x:c>
      <x:c r="C2051" t="n">
        <x:v>1</x:v>
      </x:c>
      <x:c r="D2051" t="n">
        <x:v>22</x:v>
      </x:c>
      <x:c r="E2051" s="18" t="n">
        <x:v>793.62</x:v>
      </x:c>
      <x:c r="F2051" s="18" t="n">
        <x:v>17</x:v>
      </x:c>
      <x:c r="G2051" s="18" t="n">
        <x:v>3.57</x:v>
      </x:c>
      <x:c r="H2051" s="18" t="n">
        <x:v>2.57</x:v>
      </x:c>
      <x:c r="I2051" s="18" t="n">
        <x:v>23.14</x:v>
      </x:c>
      <x:c r="J2051" t="n">
        <x:f>IF(A2051=A2050,IFERROR(IF(B2051=EDATE(B2050,1),C2050,0),0),0)</x:f>
        <x:v>1</x:v>
      </x:c>
      <x:c r="K2051" t="n">
        <x:f>IF(AND(J2051=1,C2051=0),1,0)</x:f>
        <x:v>0</x:v>
      </x:c>
      <x:c r="L2051" t="str">
        <x:f>IFERROR(INDEX(Customers!$C$2:$C$451,MATCH(A2051,Customers!$A$2:$A$451,0)),"Unknown")</x:f>
        <x:v>Premium</x:v>
      </x:c>
    </x:row>
    <x:row r="2052">
      <x:c r="A2052" t="n">
        <x:v>376</x:v>
      </x:c>
      <x:c r="B2052" s="16" t="n">
        <x:v>46235</x:v>
      </x:c>
      <x:c r="C2052" t="n">
        <x:v>1</x:v>
      </x:c>
      <x:c r="D2052" t="n">
        <x:v>31</x:v>
      </x:c>
      <x:c r="E2052" s="18" t="n">
        <x:v>1520.89</x:v>
      </x:c>
      <x:c r="F2052" s="18" t="n">
        <x:v>17</x:v>
      </x:c>
      <x:c r="G2052" s="18" t="n">
        <x:v>6.84</x:v>
      </x:c>
      <x:c r="H2052" s="18" t="n">
        <x:v>2.76</x:v>
      </x:c>
      <x:c r="I2052" s="18" t="n">
        <x:v>26.6</x:v>
      </x:c>
      <x:c r="J2052" t="n">
        <x:f>IF(A2052=A2051,IFERROR(IF(B2052=EDATE(B2051,1),C2051,0),0),0)</x:f>
        <x:v>1</x:v>
      </x:c>
      <x:c r="K2052" t="n">
        <x:f>IF(AND(J2052=1,C2052=0),1,0)</x:f>
        <x:v>0</x:v>
      </x:c>
      <x:c r="L2052" t="str">
        <x:f>IFERROR(INDEX(Customers!$C$2:$C$451,MATCH(A2052,Customers!$A$2:$A$451,0)),"Unknown")</x:f>
        <x:v>Premium</x:v>
      </x:c>
    </x:row>
    <x:row r="2053">
      <x:c r="A2053" t="n">
        <x:v>376</x:v>
      </x:c>
      <x:c r="B2053" s="16" t="n">
        <x:v>46266</x:v>
      </x:c>
      <x:c r="C2053" t="n">
        <x:v>1</x:v>
      </x:c>
      <x:c r="D2053" t="n">
        <x:v>22</x:v>
      </x:c>
      <x:c r="E2053" s="18" t="n">
        <x:v>1290.78</x:v>
      </x:c>
      <x:c r="F2053" s="18" t="n">
        <x:v>17</x:v>
      </x:c>
      <x:c r="G2053" s="18" t="n">
        <x:v>5.81</x:v>
      </x:c>
      <x:c r="H2053" s="18" t="n">
        <x:v>4.9</x:v>
      </x:c>
      <x:c r="I2053" s="18" t="n">
        <x:v>27.71</x:v>
      </x:c>
      <x:c r="J2053" t="n">
        <x:f>IF(A2053=A2052,IFERROR(IF(B2053=EDATE(B2052,1),C2052,0),0),0)</x:f>
        <x:v>1</x:v>
      </x:c>
      <x:c r="K2053" t="n">
        <x:f>IF(AND(J2053=1,C2053=0),1,0)</x:f>
        <x:v>0</x:v>
      </x:c>
      <x:c r="L2053" t="str">
        <x:f>IFERROR(INDEX(Customers!$C$2:$C$451,MATCH(A2053,Customers!$A$2:$A$451,0)),"Unknown")</x:f>
        <x:v>Premium</x:v>
      </x:c>
    </x:row>
    <x:row r="2054">
      <x:c r="A2054" t="n">
        <x:v>377</x:v>
      </x:c>
      <x:c r="B2054" s="16" t="n">
        <x:v>46174</x:v>
      </x:c>
      <x:c r="C2054" t="n">
        <x:v>1</x:v>
      </x:c>
      <x:c r="D2054" t="n">
        <x:v>12</x:v>
      </x:c>
      <x:c r="E2054" s="18" t="n">
        <x:v>553.39</x:v>
      </x:c>
      <x:c r="F2054" s="18" t="n">
        <x:v>0</x:v>
      </x:c>
      <x:c r="G2054" s="18" t="n">
        <x:v>2.49</x:v>
      </x:c>
      <x:c r="H2054" s="18" t="n">
        <x:v>1.87</x:v>
      </x:c>
      <x:c r="I2054" s="18" t="n">
        <x:v>4.36</x:v>
      </x:c>
      <x:c r="J2054" t="n">
        <x:f>IF(A2054=A2053,IFERROR(IF(B2054=EDATE(B2053,1),C2053,0),0),0)</x:f>
        <x:v>0</x:v>
      </x:c>
      <x:c r="K2054" t="n">
        <x:f>IF(AND(J2054=1,C2054=0),1,0)</x:f>
        <x:v>0</x:v>
      </x:c>
      <x:c r="L2054" t="str">
        <x:f>IFERROR(INDEX(Customers!$C$2:$C$451,MATCH(A2054,Customers!$A$2:$A$451,0)),"Unknown")</x:f>
        <x:v>Standard</x:v>
      </x:c>
    </x:row>
    <x:row r="2055">
      <x:c r="A2055" t="n">
        <x:v>377</x:v>
      </x:c>
      <x:c r="B2055" s="16" t="n">
        <x:v>46204</x:v>
      </x:c>
      <x:c r="C2055" t="n">
        <x:v>1</x:v>
      </x:c>
      <x:c r="D2055" t="n">
        <x:v>34</x:v>
      </x:c>
      <x:c r="E2055" s="18" t="n">
        <x:v>2685.45</x:v>
      </x:c>
      <x:c r="F2055" s="18" t="n">
        <x:v>0</x:v>
      </x:c>
      <x:c r="G2055" s="18" t="n">
        <x:v>12.08</x:v>
      </x:c>
      <x:c r="H2055" s="18" t="n">
        <x:v>9.89</x:v>
      </x:c>
      <x:c r="I2055" s="18" t="n">
        <x:v>21.97</x:v>
      </x:c>
      <x:c r="J2055" t="n">
        <x:f>IF(A2055=A2054,IFERROR(IF(B2055=EDATE(B2054,1),C2054,0),0),0)</x:f>
        <x:v>1</x:v>
      </x:c>
      <x:c r="K2055" t="n">
        <x:f>IF(AND(J2055=1,C2055=0),1,0)</x:f>
        <x:v>0</x:v>
      </x:c>
      <x:c r="L2055" t="str">
        <x:f>IFERROR(INDEX(Customers!$C$2:$C$451,MATCH(A2055,Customers!$A$2:$A$451,0)),"Unknown")</x:f>
        <x:v>Standard</x:v>
      </x:c>
    </x:row>
    <x:row r="2056">
      <x:c r="A2056" t="n">
        <x:v>377</x:v>
      </x:c>
      <x:c r="B2056" s="16" t="n">
        <x:v>46235</x:v>
      </x:c>
      <x:c r="C2056" t="n">
        <x:v>1</x:v>
      </x:c>
      <x:c r="D2056" t="n">
        <x:v>24</x:v>
      </x:c>
      <x:c r="E2056" s="18" t="n">
        <x:v>2431.72</x:v>
      </x:c>
      <x:c r="F2056" s="18" t="n">
        <x:v>0</x:v>
      </x:c>
      <x:c r="G2056" s="18" t="n">
        <x:v>10.94</x:v>
      </x:c>
      <x:c r="H2056" s="18" t="n">
        <x:v>2.57</x:v>
      </x:c>
      <x:c r="I2056" s="18" t="n">
        <x:v>13.51</x:v>
      </x:c>
      <x:c r="J2056" t="n">
        <x:f>IF(A2056=A2055,IFERROR(IF(B2056=EDATE(B2055,1),C2055,0),0),0)</x:f>
        <x:v>1</x:v>
      </x:c>
      <x:c r="K2056" t="n">
        <x:f>IF(AND(J2056=1,C2056=0),1,0)</x:f>
        <x:v>0</x:v>
      </x:c>
      <x:c r="L2056" t="str">
        <x:f>IFERROR(INDEX(Customers!$C$2:$C$451,MATCH(A2056,Customers!$A$2:$A$451,0)),"Unknown")</x:f>
        <x:v>Standard</x:v>
      </x:c>
    </x:row>
    <x:row r="2057">
      <x:c r="A2057" t="n">
        <x:v>377</x:v>
      </x:c>
      <x:c r="B2057" s="16" t="n">
        <x:v>46266</x:v>
      </x:c>
      <x:c r="C2057" t="n">
        <x:v>1</x:v>
      </x:c>
      <x:c r="D2057" t="n">
        <x:v>18</x:v>
      </x:c>
      <x:c r="E2057" s="18" t="n">
        <x:v>1037.99</x:v>
      </x:c>
      <x:c r="F2057" s="18" t="n">
        <x:v>0</x:v>
      </x:c>
      <x:c r="G2057" s="18" t="n">
        <x:v>4.67</x:v>
      </x:c>
      <x:c r="H2057" s="18" t="n">
        <x:v>3.59</x:v>
      </x:c>
      <x:c r="I2057" s="18" t="n">
        <x:v>8.26</x:v>
      </x:c>
      <x:c r="J2057" t="n">
        <x:f>IF(A2057=A2056,IFERROR(IF(B2057=EDATE(B2056,1),C2056,0),0),0)</x:f>
        <x:v>1</x:v>
      </x:c>
      <x:c r="K2057" t="n">
        <x:f>IF(AND(J2057=1,C2057=0),1,0)</x:f>
        <x:v>0</x:v>
      </x:c>
      <x:c r="L2057" t="str">
        <x:f>IFERROR(INDEX(Customers!$C$2:$C$451,MATCH(A2057,Customers!$A$2:$A$451,0)),"Unknown")</x:f>
        <x:v>Standard</x:v>
      </x:c>
    </x:row>
    <x:row r="2058">
      <x:c r="A2058" t="n">
        <x:v>378</x:v>
      </x:c>
      <x:c r="B2058" s="16" t="n">
        <x:v>46113</x:v>
      </x:c>
      <x:c r="C2058" t="n">
        <x:v>1</x:v>
      </x:c>
      <x:c r="D2058" t="n">
        <x:v>33</x:v>
      </x:c>
      <x:c r="E2058" s="18" t="n">
        <x:v>4470.62</x:v>
      </x:c>
      <x:c r="F2058" s="18" t="n">
        <x:v>17</x:v>
      </x:c>
      <x:c r="G2058" s="18" t="n">
        <x:v>20.12</x:v>
      </x:c>
      <x:c r="H2058" s="18" t="n">
        <x:v>9</x:v>
      </x:c>
      <x:c r="I2058" s="18" t="n">
        <x:v>46.12</x:v>
      </x:c>
      <x:c r="J2058" t="n">
        <x:f>IF(A2058=A2057,IFERROR(IF(B2058=EDATE(B2057,1),C2057,0),0),0)</x:f>
        <x:v>0</x:v>
      </x:c>
      <x:c r="K2058" t="n">
        <x:f>IF(AND(J2058=1,C2058=0),1,0)</x:f>
        <x:v>0</x:v>
      </x:c>
      <x:c r="L2058" t="str">
        <x:f>IFERROR(INDEX(Customers!$C$2:$C$451,MATCH(A2058,Customers!$A$2:$A$451,0)),"Unknown")</x:f>
        <x:v>Premium</x:v>
      </x:c>
    </x:row>
    <x:row r="2059">
      <x:c r="A2059" t="n">
        <x:v>378</x:v>
      </x:c>
      <x:c r="B2059" s="16" t="n">
        <x:v>46143</x:v>
      </x:c>
      <x:c r="C2059" t="n">
        <x:v>1</x:v>
      </x:c>
      <x:c r="D2059" t="n">
        <x:v>27</x:v>
      </x:c>
      <x:c r="E2059" s="18" t="n">
        <x:v>1584.45</x:v>
      </x:c>
      <x:c r="F2059" s="18" t="n">
        <x:v>17</x:v>
      </x:c>
      <x:c r="G2059" s="18" t="n">
        <x:v>7.13</x:v>
      </x:c>
      <x:c r="H2059" s="18" t="n">
        <x:v>3.85</x:v>
      </x:c>
      <x:c r="I2059" s="18" t="n">
        <x:v>27.98</x:v>
      </x:c>
      <x:c r="J2059" t="n">
        <x:f>IF(A2059=A2058,IFERROR(IF(B2059=EDATE(B2058,1),C2058,0),0),0)</x:f>
        <x:v>1</x:v>
      </x:c>
      <x:c r="K2059" t="n">
        <x:f>IF(AND(J2059=1,C2059=0),1,0)</x:f>
        <x:v>0</x:v>
      </x:c>
      <x:c r="L2059" t="str">
        <x:f>IFERROR(INDEX(Customers!$C$2:$C$451,MATCH(A2059,Customers!$A$2:$A$451,0)),"Unknown")</x:f>
        <x:v>Premium</x:v>
      </x:c>
    </x:row>
    <x:row r="2060">
      <x:c r="A2060" t="n">
        <x:v>378</x:v>
      </x:c>
      <x:c r="B2060" s="16" t="n">
        <x:v>46174</x:v>
      </x:c>
      <x:c r="C2060" t="n">
        <x:v>1</x:v>
      </x:c>
      <x:c r="D2060" t="n">
        <x:v>11</x:v>
      </x:c>
      <x:c r="E2060" s="18" t="n">
        <x:v>566.47</x:v>
      </x:c>
      <x:c r="F2060" s="18" t="n">
        <x:v>17</x:v>
      </x:c>
      <x:c r="G2060" s="18" t="n">
        <x:v>2.55</x:v>
      </x:c>
      <x:c r="H2060" s="18" t="n">
        <x:v>1.94</x:v>
      </x:c>
      <x:c r="I2060" s="18" t="n">
        <x:v>21.49</x:v>
      </x:c>
      <x:c r="J2060" t="n">
        <x:f>IF(A2060=A2059,IFERROR(IF(B2060=EDATE(B2059,1),C2059,0),0),0)</x:f>
        <x:v>1</x:v>
      </x:c>
      <x:c r="K2060" t="n">
        <x:f>IF(AND(J2060=1,C2060=0),1,0)</x:f>
        <x:v>0</x:v>
      </x:c>
      <x:c r="L2060" t="str">
        <x:f>IFERROR(INDEX(Customers!$C$2:$C$451,MATCH(A2060,Customers!$A$2:$A$451,0)),"Unknown")</x:f>
        <x:v>Premium</x:v>
      </x:c>
    </x:row>
    <x:row r="2061">
      <x:c r="A2061" t="n">
        <x:v>378</x:v>
      </x:c>
      <x:c r="B2061" s="16" t="n">
        <x:v>46204</x:v>
      </x:c>
      <x:c r="C2061" t="n">
        <x:v>1</x:v>
      </x:c>
      <x:c r="D2061" t="n">
        <x:v>14</x:v>
      </x:c>
      <x:c r="E2061" s="18" t="n">
        <x:v>1017.43</x:v>
      </x:c>
      <x:c r="F2061" s="18" t="n">
        <x:v>17</x:v>
      </x:c>
      <x:c r="G2061" s="18" t="n">
        <x:v>4.58</x:v>
      </x:c>
      <x:c r="H2061" s="18" t="n">
        <x:v>1.68</x:v>
      </x:c>
      <x:c r="I2061" s="18" t="n">
        <x:v>23.26</x:v>
      </x:c>
      <x:c r="J2061" t="n">
        <x:f>IF(A2061=A2060,IFERROR(IF(B2061=EDATE(B2060,1),C2060,0),0),0)</x:f>
        <x:v>1</x:v>
      </x:c>
      <x:c r="K2061" t="n">
        <x:f>IF(AND(J2061=1,C2061=0),1,0)</x:f>
        <x:v>0</x:v>
      </x:c>
      <x:c r="L2061" t="str">
        <x:f>IFERROR(INDEX(Customers!$C$2:$C$451,MATCH(A2061,Customers!$A$2:$A$451,0)),"Unknown")</x:f>
        <x:v>Premium</x:v>
      </x:c>
    </x:row>
    <x:row r="2062">
      <x:c r="A2062" t="n">
        <x:v>378</x:v>
      </x:c>
      <x:c r="B2062" s="16" t="n">
        <x:v>46235</x:v>
      </x:c>
      <x:c r="C2062" t="n">
        <x:v>1</x:v>
      </x:c>
      <x:c r="D2062" t="n">
        <x:v>35</x:v>
      </x:c>
      <x:c r="E2062" s="18" t="n">
        <x:v>2085.46</x:v>
      </x:c>
      <x:c r="F2062" s="18" t="n">
        <x:v>17</x:v>
      </x:c>
      <x:c r="G2062" s="18" t="n">
        <x:v>9.38</x:v>
      </x:c>
      <x:c r="H2062" s="18" t="n">
        <x:v>4.21</x:v>
      </x:c>
      <x:c r="I2062" s="18" t="n">
        <x:v>30.59</x:v>
      </x:c>
      <x:c r="J2062" t="n">
        <x:f>IF(A2062=A2061,IFERROR(IF(B2062=EDATE(B2061,1),C2061,0),0),0)</x:f>
        <x:v>1</x:v>
      </x:c>
      <x:c r="K2062" t="n">
        <x:f>IF(AND(J2062=1,C2062=0),1,0)</x:f>
        <x:v>0</x:v>
      </x:c>
      <x:c r="L2062" t="str">
        <x:f>IFERROR(INDEX(Customers!$C$2:$C$451,MATCH(A2062,Customers!$A$2:$A$451,0)),"Unknown")</x:f>
        <x:v>Premium</x:v>
      </x:c>
    </x:row>
    <x:row r="2063">
      <x:c r="A2063" t="n">
        <x:v>378</x:v>
      </x:c>
      <x:c r="B2063" s="16" t="n">
        <x:v>46266</x:v>
      </x:c>
      <x:c r="C2063" t="n">
        <x:v>0</x:v>
      </x:c>
      <x:c r="D2063" t="n">
        <x:v>0</x:v>
      </x:c>
      <x:c r="E2063" s="18" t="n">
        <x:v>0</x:v>
      </x:c>
      <x:c r="F2063" s="18" t="n">
        <x:v>0</x:v>
      </x:c>
      <x:c r="G2063" s="18" t="n">
        <x:v>0</x:v>
      </x:c>
      <x:c r="H2063" s="18" t="n">
        <x:v>0</x:v>
      </x:c>
      <x:c r="I2063" s="18" t="n">
        <x:v>0</x:v>
      </x:c>
      <x:c r="J2063" t="n">
        <x:f>IF(A2063=A2062,IFERROR(IF(B2063=EDATE(B2062,1),C2062,0),0),0)</x:f>
        <x:v>1</x:v>
      </x:c>
      <x:c r="K2063" t="n">
        <x:f>IF(AND(J2063=1,C2063=0),1,0)</x:f>
        <x:v>1</x:v>
      </x:c>
      <x:c r="L2063" t="str">
        <x:f>IFERROR(INDEX(Customers!$C$2:$C$451,MATCH(A2063,Customers!$A$2:$A$451,0)),"Unknown")</x:f>
        <x:v>Premium</x:v>
      </x:c>
    </x:row>
    <x:row r="2064">
      <x:c r="A2064" t="n">
        <x:v>379</x:v>
      </x:c>
      <x:c r="B2064" s="16" t="n">
        <x:v>46113</x:v>
      </x:c>
      <x:c r="C2064" t="n">
        <x:v>0</x:v>
      </x:c>
      <x:c r="D2064" t="n">
        <x:v>0</x:v>
      </x:c>
      <x:c r="E2064" s="18" t="n">
        <x:v>0</x:v>
      </x:c>
      <x:c r="F2064" s="18" t="n">
        <x:v>0</x:v>
      </x:c>
      <x:c r="G2064" s="18" t="n">
        <x:v>0</x:v>
      </x:c>
      <x:c r="H2064" s="18" t="n">
        <x:v>0</x:v>
      </x:c>
      <x:c r="I2064" s="18" t="n">
        <x:v>0</x:v>
      </x:c>
      <x:c r="J2064" t="n">
        <x:f>IF(A2064=A2063,IFERROR(IF(B2064=EDATE(B2063,1),C2063,0),0),0)</x:f>
        <x:v>0</x:v>
      </x:c>
      <x:c r="K2064" t="n">
        <x:f>IF(AND(J2064=1,C2064=0),1,0)</x:f>
        <x:v>0</x:v>
      </x:c>
      <x:c r="L2064" t="str">
        <x:f>IFERROR(INDEX(Customers!$C$2:$C$451,MATCH(A2064,Customers!$A$2:$A$451,0)),"Unknown")</x:f>
        <x:v>Plus</x:v>
      </x:c>
    </x:row>
    <x:row r="2065">
      <x:c r="A2065" t="n">
        <x:v>379</x:v>
      </x:c>
      <x:c r="B2065" s="16" t="n">
        <x:v>46143</x:v>
      </x:c>
      <x:c r="C2065" t="n">
        <x:v>1</x:v>
      </x:c>
      <x:c r="D2065" t="n">
        <x:v>13</x:v>
      </x:c>
      <x:c r="E2065" s="18" t="n">
        <x:v>1593.05</x:v>
      </x:c>
      <x:c r="F2065" s="18" t="n">
        <x:v>8</x:v>
      </x:c>
      <x:c r="G2065" s="18" t="n">
        <x:v>7.17</x:v>
      </x:c>
      <x:c r="H2065" s="18" t="n">
        <x:v>3.69</x:v>
      </x:c>
      <x:c r="I2065" s="18" t="n">
        <x:v>18.86</x:v>
      </x:c>
      <x:c r="J2065" t="n">
        <x:f>IF(A2065=A2064,IFERROR(IF(B2065=EDATE(B2064,1),C2064,0),0),0)</x:f>
        <x:v>0</x:v>
      </x:c>
      <x:c r="K2065" t="n">
        <x:f>IF(AND(J2065=1,C2065=0),1,0)</x:f>
        <x:v>0</x:v>
      </x:c>
      <x:c r="L2065" t="str">
        <x:f>IFERROR(INDEX(Customers!$C$2:$C$451,MATCH(A2065,Customers!$A$2:$A$451,0)),"Unknown")</x:f>
        <x:v>Plus</x:v>
      </x:c>
    </x:row>
    <x:row r="2066">
      <x:c r="A2066" t="n">
        <x:v>379</x:v>
      </x:c>
      <x:c r="B2066" s="16" t="n">
        <x:v>46174</x:v>
      </x:c>
      <x:c r="C2066" t="n">
        <x:v>0</x:v>
      </x:c>
      <x:c r="D2066" t="n">
        <x:v>0</x:v>
      </x:c>
      <x:c r="E2066" s="18" t="n">
        <x:v>0</x:v>
      </x:c>
      <x:c r="F2066" s="18" t="n">
        <x:v>0</x:v>
      </x:c>
      <x:c r="G2066" s="18" t="n">
        <x:v>0</x:v>
      </x:c>
      <x:c r="H2066" s="18" t="n">
        <x:v>0</x:v>
      </x:c>
      <x:c r="I2066" s="18" t="n">
        <x:v>0</x:v>
      </x:c>
      <x:c r="J2066" t="n">
        <x:f>IF(A2066=A2065,IFERROR(IF(B2066=EDATE(B2065,1),C2065,0),0),0)</x:f>
        <x:v>1</x:v>
      </x:c>
      <x:c r="K2066" t="n">
        <x:f>IF(AND(J2066=1,C2066=0),1,0)</x:f>
        <x:v>1</x:v>
      </x:c>
      <x:c r="L2066" t="str">
        <x:f>IFERROR(INDEX(Customers!$C$2:$C$451,MATCH(A2066,Customers!$A$2:$A$451,0)),"Unknown")</x:f>
        <x:v>Plus</x:v>
      </x:c>
    </x:row>
    <x:row r="2067">
      <x:c r="A2067" t="n">
        <x:v>379</x:v>
      </x:c>
      <x:c r="B2067" s="16" t="n">
        <x:v>46204</x:v>
      </x:c>
      <x:c r="C2067" t="n">
        <x:v>0</x:v>
      </x:c>
      <x:c r="D2067" t="n">
        <x:v>0</x:v>
      </x:c>
      <x:c r="E2067" s="18" t="n">
        <x:v>0</x:v>
      </x:c>
      <x:c r="F2067" s="18" t="n">
        <x:v>0</x:v>
      </x:c>
      <x:c r="G2067" s="18" t="n">
        <x:v>0</x:v>
      </x:c>
      <x:c r="H2067" s="18" t="n">
        <x:v>0</x:v>
      </x:c>
      <x:c r="I2067" s="18" t="n">
        <x:v>0</x:v>
      </x:c>
      <x:c r="J2067" t="n">
        <x:f>IF(A2067=A2066,IFERROR(IF(B2067=EDATE(B2066,1),C2066,0),0),0)</x:f>
        <x:v>0</x:v>
      </x:c>
      <x:c r="K2067" t="n">
        <x:f>IF(AND(J2067=1,C2067=0),1,0)</x:f>
        <x:v>0</x:v>
      </x:c>
      <x:c r="L2067" t="str">
        <x:f>IFERROR(INDEX(Customers!$C$2:$C$451,MATCH(A2067,Customers!$A$2:$A$451,0)),"Unknown")</x:f>
        <x:v>Plus</x:v>
      </x:c>
    </x:row>
    <x:row r="2068">
      <x:c r="A2068" t="n">
        <x:v>379</x:v>
      </x:c>
      <x:c r="B2068" s="16" t="n">
        <x:v>46235</x:v>
      </x:c>
      <x:c r="C2068" t="n">
        <x:v>1</x:v>
      </x:c>
      <x:c r="D2068" t="n">
        <x:v>10</x:v>
      </x:c>
      <x:c r="E2068" s="18" t="n">
        <x:v>1305.81</x:v>
      </x:c>
      <x:c r="F2068" s="18" t="n">
        <x:v>8</x:v>
      </x:c>
      <x:c r="G2068" s="18" t="n">
        <x:v>5.88</x:v>
      </x:c>
      <x:c r="H2068" s="18" t="n">
        <x:v>2.48</x:v>
      </x:c>
      <x:c r="I2068" s="18" t="n">
        <x:v>16.36</x:v>
      </x:c>
      <x:c r="J2068" t="n">
        <x:f>IF(A2068=A2067,IFERROR(IF(B2068=EDATE(B2067,1),C2067,0),0),0)</x:f>
        <x:v>0</x:v>
      </x:c>
      <x:c r="K2068" t="n">
        <x:f>IF(AND(J2068=1,C2068=0),1,0)</x:f>
        <x:v>0</x:v>
      </x:c>
      <x:c r="L2068" t="str">
        <x:f>IFERROR(INDEX(Customers!$C$2:$C$451,MATCH(A2068,Customers!$A$2:$A$451,0)),"Unknown")</x:f>
        <x:v>Plus</x:v>
      </x:c>
    </x:row>
    <x:row r="2069">
      <x:c r="A2069" t="n">
        <x:v>379</x:v>
      </x:c>
      <x:c r="B2069" s="16" t="n">
        <x:v>46266</x:v>
      </x:c>
      <x:c r="C2069" t="n">
        <x:v>1</x:v>
      </x:c>
      <x:c r="D2069" t="n">
        <x:v>25</x:v>
      </x:c>
      <x:c r="E2069" s="18" t="n">
        <x:v>2860.63</x:v>
      </x:c>
      <x:c r="F2069" s="18" t="n">
        <x:v>8</x:v>
      </x:c>
      <x:c r="G2069" s="18" t="n">
        <x:v>12.87</x:v>
      </x:c>
      <x:c r="H2069" s="18" t="n">
        <x:v>6.13</x:v>
      </x:c>
      <x:c r="I2069" s="18" t="n">
        <x:v>27</x:v>
      </x:c>
      <x:c r="J2069" t="n">
        <x:f>IF(A2069=A2068,IFERROR(IF(B2069=EDATE(B2068,1),C2068,0),0),0)</x:f>
        <x:v>1</x:v>
      </x:c>
      <x:c r="K2069" t="n">
        <x:f>IF(AND(J2069=1,C2069=0),1,0)</x:f>
        <x:v>0</x:v>
      </x:c>
      <x:c r="L2069" t="str">
        <x:f>IFERROR(INDEX(Customers!$C$2:$C$451,MATCH(A2069,Customers!$A$2:$A$451,0)),"Unknown")</x:f>
        <x:v>Plus</x:v>
      </x:c>
    </x:row>
    <x:row r="2070">
      <x:c r="A2070" t="n">
        <x:v>380</x:v>
      </x:c>
      <x:c r="B2070" s="16" t="n">
        <x:v>46174</x:v>
      </x:c>
      <x:c r="C2070" t="n">
        <x:v>0</x:v>
      </x:c>
      <x:c r="D2070" t="n">
        <x:v>0</x:v>
      </x:c>
      <x:c r="E2070" s="18" t="n">
        <x:v>0</x:v>
      </x:c>
      <x:c r="F2070" s="18" t="n">
        <x:v>0</x:v>
      </x:c>
      <x:c r="G2070" s="18" t="n">
        <x:v>0</x:v>
      </x:c>
      <x:c r="H2070" s="18" t="n">
        <x:v>0</x:v>
      </x:c>
      <x:c r="I2070" s="18" t="n">
        <x:v>0</x:v>
      </x:c>
      <x:c r="J2070" t="n">
        <x:f>IF(A2070=A2069,IFERROR(IF(B2070=EDATE(B2069,1),C2069,0),0),0)</x:f>
        <x:v>0</x:v>
      </x:c>
      <x:c r="K2070" t="n">
        <x:f>IF(AND(J2070=1,C2070=0),1,0)</x:f>
        <x:v>0</x:v>
      </x:c>
      <x:c r="L2070" t="str">
        <x:f>IFERROR(INDEX(Customers!$C$2:$C$451,MATCH(A2070,Customers!$A$2:$A$451,0)),"Unknown")</x:f>
        <x:v>Standard</x:v>
      </x:c>
    </x:row>
    <x:row r="2071">
      <x:c r="A2071" t="n">
        <x:v>380</x:v>
      </x:c>
      <x:c r="B2071" s="16" t="n">
        <x:v>46204</x:v>
      </x:c>
      <x:c r="C2071" t="n">
        <x:v>1</x:v>
      </x:c>
      <x:c r="D2071" t="n">
        <x:v>36</x:v>
      </x:c>
      <x:c r="E2071" s="18" t="n">
        <x:v>3675.23</x:v>
      </x:c>
      <x:c r="F2071" s="18" t="n">
        <x:v>0</x:v>
      </x:c>
      <x:c r="G2071" s="18" t="n">
        <x:v>16.54</x:v>
      </x:c>
      <x:c r="H2071" s="18" t="n">
        <x:v>10.35</x:v>
      </x:c>
      <x:c r="I2071" s="18" t="n">
        <x:v>26.89</x:v>
      </x:c>
      <x:c r="J2071" t="n">
        <x:f>IF(A2071=A2070,IFERROR(IF(B2071=EDATE(B2070,1),C2070,0),0),0)</x:f>
        <x:v>0</x:v>
      </x:c>
      <x:c r="K2071" t="n">
        <x:f>IF(AND(J2071=1,C2071=0),1,0)</x:f>
        <x:v>0</x:v>
      </x:c>
      <x:c r="L2071" t="str">
        <x:f>IFERROR(INDEX(Customers!$C$2:$C$451,MATCH(A2071,Customers!$A$2:$A$451,0)),"Unknown")</x:f>
        <x:v>Standard</x:v>
      </x:c>
    </x:row>
    <x:row r="2072">
      <x:c r="A2072" t="n">
        <x:v>380</x:v>
      </x:c>
      <x:c r="B2072" s="16" t="n">
        <x:v>46235</x:v>
      </x:c>
      <x:c r="C2072" t="n">
        <x:v>1</x:v>
      </x:c>
      <x:c r="D2072" t="n">
        <x:v>12</x:v>
      </x:c>
      <x:c r="E2072" s="18" t="n">
        <x:v>448.05</x:v>
      </x:c>
      <x:c r="F2072" s="18" t="n">
        <x:v>0</x:v>
      </x:c>
      <x:c r="G2072" s="18" t="n">
        <x:v>2.02</x:v>
      </x:c>
      <x:c r="H2072" s="18" t="n">
        <x:v>1.01</x:v>
      </x:c>
      <x:c r="I2072" s="18" t="n">
        <x:v>3.03</x:v>
      </x:c>
      <x:c r="J2072" t="n">
        <x:f>IF(A2072=A2071,IFERROR(IF(B2072=EDATE(B2071,1),C2071,0),0),0)</x:f>
        <x:v>1</x:v>
      </x:c>
      <x:c r="K2072" t="n">
        <x:f>IF(AND(J2072=1,C2072=0),1,0)</x:f>
        <x:v>0</x:v>
      </x:c>
      <x:c r="L2072" t="str">
        <x:f>IFERROR(INDEX(Customers!$C$2:$C$451,MATCH(A2072,Customers!$A$2:$A$451,0)),"Unknown")</x:f>
        <x:v>Standard</x:v>
      </x:c>
    </x:row>
    <x:row r="2073">
      <x:c r="A2073" t="n">
        <x:v>380</x:v>
      </x:c>
      <x:c r="B2073" s="16" t="n">
        <x:v>46266</x:v>
      </x:c>
      <x:c r="C2073" t="n">
        <x:v>0</x:v>
      </x:c>
      <x:c r="D2073" t="n">
        <x:v>0</x:v>
      </x:c>
      <x:c r="E2073" s="18" t="n">
        <x:v>0</x:v>
      </x:c>
      <x:c r="F2073" s="18" t="n">
        <x:v>0</x:v>
      </x:c>
      <x:c r="G2073" s="18" t="n">
        <x:v>0</x:v>
      </x:c>
      <x:c r="H2073" s="18" t="n">
        <x:v>0</x:v>
      </x:c>
      <x:c r="I2073" s="18" t="n">
        <x:v>0</x:v>
      </x:c>
      <x:c r="J2073" t="n">
        <x:f>IF(A2073=A2072,IFERROR(IF(B2073=EDATE(B2072,1),C2072,0),0),0)</x:f>
        <x:v>1</x:v>
      </x:c>
      <x:c r="K2073" t="n">
        <x:f>IF(AND(J2073=1,C2073=0),1,0)</x:f>
        <x:v>1</x:v>
      </x:c>
      <x:c r="L2073" t="str">
        <x:f>IFERROR(INDEX(Customers!$C$2:$C$451,MATCH(A2073,Customers!$A$2:$A$451,0)),"Unknown")</x:f>
        <x:v>Standard</x:v>
      </x:c>
    </x:row>
    <x:row r="2074">
      <x:c r="A2074" t="n">
        <x:v>381</x:v>
      </x:c>
      <x:c r="B2074" s="16" t="n">
        <x:v>46113</x:v>
      </x:c>
      <x:c r="C2074" t="n">
        <x:v>0</x:v>
      </x:c>
      <x:c r="D2074" t="n">
        <x:v>0</x:v>
      </x:c>
      <x:c r="E2074" s="18" t="n">
        <x:v>0</x:v>
      </x:c>
      <x:c r="F2074" s="18" t="n">
        <x:v>0</x:v>
      </x:c>
      <x:c r="G2074" s="18" t="n">
        <x:v>0</x:v>
      </x:c>
      <x:c r="H2074" s="18" t="n">
        <x:v>0</x:v>
      </x:c>
      <x:c r="I2074" s="18" t="n">
        <x:v>0</x:v>
      </x:c>
      <x:c r="J2074" t="n">
        <x:f>IF(A2074=A2073,IFERROR(IF(B2074=EDATE(B2073,1),C2073,0),0),0)</x:f>
        <x:v>0</x:v>
      </x:c>
      <x:c r="K2074" t="n">
        <x:f>IF(AND(J2074=1,C2074=0),1,0)</x:f>
        <x:v>0</x:v>
      </x:c>
      <x:c r="L2074" t="str">
        <x:f>IFERROR(INDEX(Customers!$C$2:$C$451,MATCH(A2074,Customers!$A$2:$A$451,0)),"Unknown")</x:f>
        <x:v>Standard</x:v>
      </x:c>
    </x:row>
    <x:row r="2075">
      <x:c r="A2075" t="n">
        <x:v>381</x:v>
      </x:c>
      <x:c r="B2075" s="16" t="n">
        <x:v>46143</x:v>
      </x:c>
      <x:c r="C2075" t="n">
        <x:v>1</x:v>
      </x:c>
      <x:c r="D2075" t="n">
        <x:v>20</x:v>
      </x:c>
      <x:c r="E2075" s="18" t="n">
        <x:v>1785.43</x:v>
      </x:c>
      <x:c r="F2075" s="18" t="n">
        <x:v>0</x:v>
      </x:c>
      <x:c r="G2075" s="18" t="n">
        <x:v>8.03</x:v>
      </x:c>
      <x:c r="H2075" s="18" t="n">
        <x:v>5.83</x:v>
      </x:c>
      <x:c r="I2075" s="18" t="n">
        <x:v>13.86</x:v>
      </x:c>
      <x:c r="J2075" t="n">
        <x:f>IF(A2075=A2074,IFERROR(IF(B2075=EDATE(B2074,1),C2074,0),0),0)</x:f>
        <x:v>0</x:v>
      </x:c>
      <x:c r="K2075" t="n">
        <x:f>IF(AND(J2075=1,C2075=0),1,0)</x:f>
        <x:v>0</x:v>
      </x:c>
      <x:c r="L2075" t="str">
        <x:f>IFERROR(INDEX(Customers!$C$2:$C$451,MATCH(A2075,Customers!$A$2:$A$451,0)),"Unknown")</x:f>
        <x:v>Standard</x:v>
      </x:c>
    </x:row>
    <x:row r="2076">
      <x:c r="A2076" t="n">
        <x:v>381</x:v>
      </x:c>
      <x:c r="B2076" s="16" t="n">
        <x:v>46174</x:v>
      </x:c>
      <x:c r="C2076" t="n">
        <x:v>1</x:v>
      </x:c>
      <x:c r="D2076" t="n">
        <x:v>11</x:v>
      </x:c>
      <x:c r="E2076" s="18" t="n">
        <x:v>587.67</x:v>
      </x:c>
      <x:c r="F2076" s="18" t="n">
        <x:v>0</x:v>
      </x:c>
      <x:c r="G2076" s="18" t="n">
        <x:v>2.64</x:v>
      </x:c>
      <x:c r="H2076" s="18" t="n">
        <x:v>0.67</x:v>
      </x:c>
      <x:c r="I2076" s="18" t="n">
        <x:v>3.31</x:v>
      </x:c>
      <x:c r="J2076" t="n">
        <x:f>IF(A2076=A2075,IFERROR(IF(B2076=EDATE(B2075,1),C2075,0),0),0)</x:f>
        <x:v>1</x:v>
      </x:c>
      <x:c r="K2076" t="n">
        <x:f>IF(AND(J2076=1,C2076=0),1,0)</x:f>
        <x:v>0</x:v>
      </x:c>
      <x:c r="L2076" t="str">
        <x:f>IFERROR(INDEX(Customers!$C$2:$C$451,MATCH(A2076,Customers!$A$2:$A$451,0)),"Unknown")</x:f>
        <x:v>Standard</x:v>
      </x:c>
    </x:row>
    <x:row r="2077">
      <x:c r="A2077" t="n">
        <x:v>381</x:v>
      </x:c>
      <x:c r="B2077" s="16" t="n">
        <x:v>46204</x:v>
      </x:c>
      <x:c r="C2077" t="n">
        <x:v>0</x:v>
      </x:c>
      <x:c r="D2077" t="n">
        <x:v>0</x:v>
      </x:c>
      <x:c r="E2077" s="18" t="n">
        <x:v>0</x:v>
      </x:c>
      <x:c r="F2077" s="18" t="n">
        <x:v>0</x:v>
      </x:c>
      <x:c r="G2077" s="18" t="n">
        <x:v>0</x:v>
      </x:c>
      <x:c r="H2077" s="18" t="n">
        <x:v>0</x:v>
      </x:c>
      <x:c r="I2077" s="18" t="n">
        <x:v>0</x:v>
      </x:c>
      <x:c r="J2077" t="n">
        <x:f>IF(A2077=A2076,IFERROR(IF(B2077=EDATE(B2076,1),C2076,0),0),0)</x:f>
        <x:v>1</x:v>
      </x:c>
      <x:c r="K2077" t="n">
        <x:f>IF(AND(J2077=1,C2077=0),1,0)</x:f>
        <x:v>1</x:v>
      </x:c>
      <x:c r="L2077" t="str">
        <x:f>IFERROR(INDEX(Customers!$C$2:$C$451,MATCH(A2077,Customers!$A$2:$A$451,0)),"Unknown")</x:f>
        <x:v>Standard</x:v>
      </x:c>
    </x:row>
    <x:row r="2078">
      <x:c r="A2078" t="n">
        <x:v>381</x:v>
      </x:c>
      <x:c r="B2078" s="16" t="n">
        <x:v>46235</x:v>
      </x:c>
      <x:c r="C2078" t="n">
        <x:v>1</x:v>
      </x:c>
      <x:c r="D2078" t="n">
        <x:v>13</x:v>
      </x:c>
      <x:c r="E2078" s="18" t="n">
        <x:v>1071.17</x:v>
      </x:c>
      <x:c r="F2078" s="18" t="n">
        <x:v>0</x:v>
      </x:c>
      <x:c r="G2078" s="18" t="n">
        <x:v>4.82</x:v>
      </x:c>
      <x:c r="H2078" s="18" t="n">
        <x:v>2.98</x:v>
      </x:c>
      <x:c r="I2078" s="18" t="n">
        <x:v>7.8</x:v>
      </x:c>
      <x:c r="J2078" t="n">
        <x:f>IF(A2078=A2077,IFERROR(IF(B2078=EDATE(B2077,1),C2077,0),0),0)</x:f>
        <x:v>0</x:v>
      </x:c>
      <x:c r="K2078" t="n">
        <x:f>IF(AND(J2078=1,C2078=0),1,0)</x:f>
        <x:v>0</x:v>
      </x:c>
      <x:c r="L2078" t="str">
        <x:f>IFERROR(INDEX(Customers!$C$2:$C$451,MATCH(A2078,Customers!$A$2:$A$451,0)),"Unknown")</x:f>
        <x:v>Standard</x:v>
      </x:c>
    </x:row>
    <x:row r="2079">
      <x:c r="A2079" t="n">
        <x:v>381</x:v>
      </x:c>
      <x:c r="B2079" s="16" t="n">
        <x:v>46266</x:v>
      </x:c>
      <x:c r="C2079" t="n">
        <x:v>1</x:v>
      </x:c>
      <x:c r="D2079" t="n">
        <x:v>29</x:v>
      </x:c>
      <x:c r="E2079" s="18" t="n">
        <x:v>2737</x:v>
      </x:c>
      <x:c r="F2079" s="18" t="n">
        <x:v>0</x:v>
      </x:c>
      <x:c r="G2079" s="18" t="n">
        <x:v>12.32</x:v>
      </x:c>
      <x:c r="H2079" s="18" t="n">
        <x:v>2.93</x:v>
      </x:c>
      <x:c r="I2079" s="18" t="n">
        <x:v>15.25</x:v>
      </x:c>
      <x:c r="J2079" t="n">
        <x:f>IF(A2079=A2078,IFERROR(IF(B2079=EDATE(B2078,1),C2078,0),0),0)</x:f>
        <x:v>1</x:v>
      </x:c>
      <x:c r="K2079" t="n">
        <x:f>IF(AND(J2079=1,C2079=0),1,0)</x:f>
        <x:v>0</x:v>
      </x:c>
      <x:c r="L2079" t="str">
        <x:f>IFERROR(INDEX(Customers!$C$2:$C$451,MATCH(A2079,Customers!$A$2:$A$451,0)),"Unknown")</x:f>
        <x:v>Standard</x:v>
      </x:c>
    </x:row>
    <x:row r="2080">
      <x:c r="A2080" t="n">
        <x:v>382</x:v>
      </x:c>
      <x:c r="B2080" s="16" t="n">
        <x:v>46143</x:v>
      </x:c>
      <x:c r="C2080" t="n">
        <x:v>0</x:v>
      </x:c>
      <x:c r="D2080" t="n">
        <x:v>0</x:v>
      </x:c>
      <x:c r="E2080" s="18" t="n">
        <x:v>0</x:v>
      </x:c>
      <x:c r="F2080" s="18" t="n">
        <x:v>0</x:v>
      </x:c>
      <x:c r="G2080" s="18" t="n">
        <x:v>0</x:v>
      </x:c>
      <x:c r="H2080" s="18" t="n">
        <x:v>0</x:v>
      </x:c>
      <x:c r="I2080" s="18" t="n">
        <x:v>0</x:v>
      </x:c>
      <x:c r="J2080" t="n">
        <x:f>IF(A2080=A2079,IFERROR(IF(B2080=EDATE(B2079,1),C2079,0),0),0)</x:f>
        <x:v>0</x:v>
      </x:c>
      <x:c r="K2080" t="n">
        <x:f>IF(AND(J2080=1,C2080=0),1,0)</x:f>
        <x:v>0</x:v>
      </x:c>
      <x:c r="L2080" t="str">
        <x:f>IFERROR(INDEX(Customers!$C$2:$C$451,MATCH(A2080,Customers!$A$2:$A$451,0)),"Unknown")</x:f>
        <x:v>Premium</x:v>
      </x:c>
    </x:row>
    <x:row r="2081">
      <x:c r="A2081" t="n">
        <x:v>382</x:v>
      </x:c>
      <x:c r="B2081" s="16" t="n">
        <x:v>46174</x:v>
      </x:c>
      <x:c r="C2081" t="n">
        <x:v>1</x:v>
      </x:c>
      <x:c r="D2081" t="n">
        <x:v>33</x:v>
      </x:c>
      <x:c r="E2081" s="18" t="n">
        <x:v>3473.09</x:v>
      </x:c>
      <x:c r="F2081" s="18" t="n">
        <x:v>17</x:v>
      </x:c>
      <x:c r="G2081" s="18" t="n">
        <x:v>15.63</x:v>
      </x:c>
      <x:c r="H2081" s="18" t="n">
        <x:v>7.93</x:v>
      </x:c>
      <x:c r="I2081" s="18" t="n">
        <x:v>40.56</x:v>
      </x:c>
      <x:c r="J2081" t="n">
        <x:f>IF(A2081=A2080,IFERROR(IF(B2081=EDATE(B2080,1),C2080,0),0),0)</x:f>
        <x:v>0</x:v>
      </x:c>
      <x:c r="K2081" t="n">
        <x:f>IF(AND(J2081=1,C2081=0),1,0)</x:f>
        <x:v>0</x:v>
      </x:c>
      <x:c r="L2081" t="str">
        <x:f>IFERROR(INDEX(Customers!$C$2:$C$451,MATCH(A2081,Customers!$A$2:$A$451,0)),"Unknown")</x:f>
        <x:v>Premium</x:v>
      </x:c>
    </x:row>
    <x:row r="2082">
      <x:c r="A2082" t="n">
        <x:v>382</x:v>
      </x:c>
      <x:c r="B2082" s="16" t="n">
        <x:v>46204</x:v>
      </x:c>
      <x:c r="C2082" t="n">
        <x:v>1</x:v>
      </x:c>
      <x:c r="D2082" t="n">
        <x:v>19</x:v>
      </x:c>
      <x:c r="E2082" s="18" t="n">
        <x:v>886.84</x:v>
      </x:c>
      <x:c r="F2082" s="18" t="n">
        <x:v>17</x:v>
      </x:c>
      <x:c r="G2082" s="18" t="n">
        <x:v>3.99</x:v>
      </x:c>
      <x:c r="H2082" s="18" t="n">
        <x:v>0.97</x:v>
      </x:c>
      <x:c r="I2082" s="18" t="n">
        <x:v>21.96</x:v>
      </x:c>
      <x:c r="J2082" t="n">
        <x:f>IF(A2082=A2081,IFERROR(IF(B2082=EDATE(B2081,1),C2081,0),0),0)</x:f>
        <x:v>1</x:v>
      </x:c>
      <x:c r="K2082" t="n">
        <x:f>IF(AND(J2082=1,C2082=0),1,0)</x:f>
        <x:v>0</x:v>
      </x:c>
      <x:c r="L2082" t="str">
        <x:f>IFERROR(INDEX(Customers!$C$2:$C$451,MATCH(A2082,Customers!$A$2:$A$451,0)),"Unknown")</x:f>
        <x:v>Premium</x:v>
      </x:c>
    </x:row>
    <x:row r="2083">
      <x:c r="A2083" t="n">
        <x:v>382</x:v>
      </x:c>
      <x:c r="B2083" s="16" t="n">
        <x:v>46235</x:v>
      </x:c>
      <x:c r="C2083" t="n">
        <x:v>1</x:v>
      </x:c>
      <x:c r="D2083" t="n">
        <x:v>15</x:v>
      </x:c>
      <x:c r="E2083" s="18" t="n">
        <x:v>1412.24</x:v>
      </x:c>
      <x:c r="F2083" s="18" t="n">
        <x:v>17</x:v>
      </x:c>
      <x:c r="G2083" s="18" t="n">
        <x:v>6.36</x:v>
      </x:c>
      <x:c r="H2083" s="18" t="n">
        <x:v>1.96</x:v>
      </x:c>
      <x:c r="I2083" s="18" t="n">
        <x:v>25.32</x:v>
      </x:c>
      <x:c r="J2083" t="n">
        <x:f>IF(A2083=A2082,IFERROR(IF(B2083=EDATE(B2082,1),C2082,0),0),0)</x:f>
        <x:v>1</x:v>
      </x:c>
      <x:c r="K2083" t="n">
        <x:f>IF(AND(J2083=1,C2083=0),1,0)</x:f>
        <x:v>0</x:v>
      </x:c>
      <x:c r="L2083" t="str">
        <x:f>IFERROR(INDEX(Customers!$C$2:$C$451,MATCH(A2083,Customers!$A$2:$A$451,0)),"Unknown")</x:f>
        <x:v>Premium</x:v>
      </x:c>
    </x:row>
    <x:row r="2084">
      <x:c r="A2084" t="n">
        <x:v>382</x:v>
      </x:c>
      <x:c r="B2084" s="16" t="n">
        <x:v>46266</x:v>
      </x:c>
      <x:c r="C2084" t="n">
        <x:v>1</x:v>
      </x:c>
      <x:c r="D2084" t="n">
        <x:v>33</x:v>
      </x:c>
      <x:c r="E2084" s="18" t="n">
        <x:v>3121.53</x:v>
      </x:c>
      <x:c r="F2084" s="18" t="n">
        <x:v>17</x:v>
      </x:c>
      <x:c r="G2084" s="18" t="n">
        <x:v>14.05</x:v>
      </x:c>
      <x:c r="H2084" s="18" t="n">
        <x:v>5.81</x:v>
      </x:c>
      <x:c r="I2084" s="18" t="n">
        <x:v>36.86</x:v>
      </x:c>
      <x:c r="J2084" t="n">
        <x:f>IF(A2084=A2083,IFERROR(IF(B2084=EDATE(B2083,1),C2083,0),0),0)</x:f>
        <x:v>1</x:v>
      </x:c>
      <x:c r="K2084" t="n">
        <x:f>IF(AND(J2084=1,C2084=0),1,0)</x:f>
        <x:v>0</x:v>
      </x:c>
      <x:c r="L2084" t="str">
        <x:f>IFERROR(INDEX(Customers!$C$2:$C$451,MATCH(A2084,Customers!$A$2:$A$451,0)),"Unknown")</x:f>
        <x:v>Premium</x:v>
      </x:c>
    </x:row>
    <x:row r="2085">
      <x:c r="A2085" t="n">
        <x:v>383</x:v>
      </x:c>
      <x:c r="B2085" s="16" t="n">
        <x:v>46113</x:v>
      </x:c>
      <x:c r="C2085" t="n">
        <x:v>1</x:v>
      </x:c>
      <x:c r="D2085" t="n">
        <x:v>13</x:v>
      </x:c>
      <x:c r="E2085" s="18" t="n">
        <x:v>851.03</x:v>
      </x:c>
      <x:c r="F2085" s="18" t="n">
        <x:v>34</x:v>
      </x:c>
      <x:c r="G2085" s="18" t="n">
        <x:v>3.83</x:v>
      </x:c>
      <x:c r="H2085" s="18" t="n">
        <x:v>1.26</x:v>
      </x:c>
      <x:c r="I2085" s="18" t="n">
        <x:v>39.09</x:v>
      </x:c>
      <x:c r="J2085" t="n">
        <x:f>IF(A2085=A2084,IFERROR(IF(B2085=EDATE(B2084,1),C2084,0),0),0)</x:f>
        <x:v>0</x:v>
      </x:c>
      <x:c r="K2085" t="n">
        <x:f>IF(AND(J2085=1,C2085=0),1,0)</x:f>
        <x:v>0</x:v>
      </x:c>
      <x:c r="L2085" t="str">
        <x:f>IFERROR(INDEX(Customers!$C$2:$C$451,MATCH(A2085,Customers!$A$2:$A$451,0)),"Unknown")</x:f>
        <x:v>Metal</x:v>
      </x:c>
    </x:row>
    <x:row r="2086">
      <x:c r="A2086" t="n">
        <x:v>383</x:v>
      </x:c>
      <x:c r="B2086" s="16" t="n">
        <x:v>46143</x:v>
      </x:c>
      <x:c r="C2086" t="n">
        <x:v>1</x:v>
      </x:c>
      <x:c r="D2086" t="n">
        <x:v>18</x:v>
      </x:c>
      <x:c r="E2086" s="18" t="n">
        <x:v>1224.2</x:v>
      </x:c>
      <x:c r="F2086" s="18" t="n">
        <x:v>34</x:v>
      </x:c>
      <x:c r="G2086" s="18" t="n">
        <x:v>5.51</x:v>
      </x:c>
      <x:c r="H2086" s="18" t="n">
        <x:v>1.42</x:v>
      </x:c>
      <x:c r="I2086" s="18" t="n">
        <x:v>40.93</x:v>
      </x:c>
      <x:c r="J2086" t="n">
        <x:f>IF(A2086=A2085,IFERROR(IF(B2086=EDATE(B2085,1),C2085,0),0),0)</x:f>
        <x:v>1</x:v>
      </x:c>
      <x:c r="K2086" t="n">
        <x:f>IF(AND(J2086=1,C2086=0),1,0)</x:f>
        <x:v>0</x:v>
      </x:c>
      <x:c r="L2086" t="str">
        <x:f>IFERROR(INDEX(Customers!$C$2:$C$451,MATCH(A2086,Customers!$A$2:$A$451,0)),"Unknown")</x:f>
        <x:v>Metal</x:v>
      </x:c>
    </x:row>
    <x:row r="2087">
      <x:c r="A2087" t="n">
        <x:v>383</x:v>
      </x:c>
      <x:c r="B2087" s="16" t="n">
        <x:v>46174</x:v>
      </x:c>
      <x:c r="C2087" t="n">
        <x:v>1</x:v>
      </x:c>
      <x:c r="D2087" t="n">
        <x:v>14</x:v>
      </x:c>
      <x:c r="E2087" s="18" t="n">
        <x:v>1772.23</x:v>
      </x:c>
      <x:c r="F2087" s="18" t="n">
        <x:v>34</x:v>
      </x:c>
      <x:c r="G2087" s="18" t="n">
        <x:v>7.98</x:v>
      </x:c>
      <x:c r="H2087" s="18" t="n">
        <x:v>4.34</x:v>
      </x:c>
      <x:c r="I2087" s="18" t="n">
        <x:v>46.32</x:v>
      </x:c>
      <x:c r="J2087" t="n">
        <x:f>IF(A2087=A2086,IFERROR(IF(B2087=EDATE(B2086,1),C2086,0),0),0)</x:f>
        <x:v>1</x:v>
      </x:c>
      <x:c r="K2087" t="n">
        <x:f>IF(AND(J2087=1,C2087=0),1,0)</x:f>
        <x:v>0</x:v>
      </x:c>
      <x:c r="L2087" t="str">
        <x:f>IFERROR(INDEX(Customers!$C$2:$C$451,MATCH(A2087,Customers!$A$2:$A$451,0)),"Unknown")</x:f>
        <x:v>Metal</x:v>
      </x:c>
    </x:row>
    <x:row r="2088">
      <x:c r="A2088" t="n">
        <x:v>383</x:v>
      </x:c>
      <x:c r="B2088" s="16" t="n">
        <x:v>46204</x:v>
      </x:c>
      <x:c r="C2088" t="n">
        <x:v>1</x:v>
      </x:c>
      <x:c r="D2088" t="n">
        <x:v>14</x:v>
      </x:c>
      <x:c r="E2088" s="18" t="n">
        <x:v>541.11</x:v>
      </x:c>
      <x:c r="F2088" s="18" t="n">
        <x:v>34</x:v>
      </x:c>
      <x:c r="G2088" s="18" t="n">
        <x:v>2.43</x:v>
      </x:c>
      <x:c r="H2088" s="18" t="n">
        <x:v>0.47</x:v>
      </x:c>
      <x:c r="I2088" s="18" t="n">
        <x:v>36.9</x:v>
      </x:c>
      <x:c r="J2088" t="n">
        <x:f>IF(A2088=A2087,IFERROR(IF(B2088=EDATE(B2087,1),C2087,0),0),0)</x:f>
        <x:v>1</x:v>
      </x:c>
      <x:c r="K2088" t="n">
        <x:f>IF(AND(J2088=1,C2088=0),1,0)</x:f>
        <x:v>0</x:v>
      </x:c>
      <x:c r="L2088" t="str">
        <x:f>IFERROR(INDEX(Customers!$C$2:$C$451,MATCH(A2088,Customers!$A$2:$A$451,0)),"Unknown")</x:f>
        <x:v>Metal</x:v>
      </x:c>
    </x:row>
    <x:row r="2089">
      <x:c r="A2089" t="n">
        <x:v>383</x:v>
      </x:c>
      <x:c r="B2089" s="16" t="n">
        <x:v>46235</x:v>
      </x:c>
      <x:c r="C2089" t="n">
        <x:v>1</x:v>
      </x:c>
      <x:c r="D2089" t="n">
        <x:v>33</x:v>
      </x:c>
      <x:c r="E2089" s="18" t="n">
        <x:v>3673.24</x:v>
      </x:c>
      <x:c r="F2089" s="18" t="n">
        <x:v>34</x:v>
      </x:c>
      <x:c r="G2089" s="18" t="n">
        <x:v>16.53</x:v>
      </x:c>
      <x:c r="H2089" s="18" t="n">
        <x:v>8.18</x:v>
      </x:c>
      <x:c r="I2089" s="18" t="n">
        <x:v>58.71</x:v>
      </x:c>
      <x:c r="J2089" t="n">
        <x:f>IF(A2089=A2088,IFERROR(IF(B2089=EDATE(B2088,1),C2088,0),0),0)</x:f>
        <x:v>1</x:v>
      </x:c>
      <x:c r="K2089" t="n">
        <x:f>IF(AND(J2089=1,C2089=0),1,0)</x:f>
        <x:v>0</x:v>
      </x:c>
      <x:c r="L2089" t="str">
        <x:f>IFERROR(INDEX(Customers!$C$2:$C$451,MATCH(A2089,Customers!$A$2:$A$451,0)),"Unknown")</x:f>
        <x:v>Metal</x:v>
      </x:c>
    </x:row>
    <x:row r="2090">
      <x:c r="A2090" t="n">
        <x:v>383</x:v>
      </x:c>
      <x:c r="B2090" s="16" t="n">
        <x:v>46266</x:v>
      </x:c>
      <x:c r="C2090" t="n">
        <x:v>0</x:v>
      </x:c>
      <x:c r="D2090" t="n">
        <x:v>0</x:v>
      </x:c>
      <x:c r="E2090" s="18" t="n">
        <x:v>0</x:v>
      </x:c>
      <x:c r="F2090" s="18" t="n">
        <x:v>0</x:v>
      </x:c>
      <x:c r="G2090" s="18" t="n">
        <x:v>0</x:v>
      </x:c>
      <x:c r="H2090" s="18" t="n">
        <x:v>0</x:v>
      </x:c>
      <x:c r="I2090" s="18" t="n">
        <x:v>0</x:v>
      </x:c>
      <x:c r="J2090" t="n">
        <x:f>IF(A2090=A2089,IFERROR(IF(B2090=EDATE(B2089,1),C2089,0),0),0)</x:f>
        <x:v>1</x:v>
      </x:c>
      <x:c r="K2090" t="n">
        <x:f>IF(AND(J2090=1,C2090=0),1,0)</x:f>
        <x:v>1</x:v>
      </x:c>
      <x:c r="L2090" t="str">
        <x:f>IFERROR(INDEX(Customers!$C$2:$C$451,MATCH(A2090,Customers!$A$2:$A$451,0)),"Unknown")</x:f>
        <x:v>Metal</x:v>
      </x:c>
    </x:row>
    <x:row r="2091">
      <x:c r="A2091" t="n">
        <x:v>384</x:v>
      </x:c>
      <x:c r="B2091" s="16" t="n">
        <x:v>46174</x:v>
      </x:c>
      <x:c r="C2091" t="n">
        <x:v>1</x:v>
      </x:c>
      <x:c r="D2091" t="n">
        <x:v>21</x:v>
      </x:c>
      <x:c r="E2091" s="18" t="n">
        <x:v>1952.07</x:v>
      </x:c>
      <x:c r="F2091" s="18" t="n">
        <x:v>0</x:v>
      </x:c>
      <x:c r="G2091" s="18" t="n">
        <x:v>8.78</x:v>
      </x:c>
      <x:c r="H2091" s="18" t="n">
        <x:v>3.7</x:v>
      </x:c>
      <x:c r="I2091" s="18" t="n">
        <x:v>12.48</x:v>
      </x:c>
      <x:c r="J2091" t="n">
        <x:f>IF(A2091=A2090,IFERROR(IF(B2091=EDATE(B2090,1),C2090,0),0),0)</x:f>
        <x:v>0</x:v>
      </x:c>
      <x:c r="K2091" t="n">
        <x:f>IF(AND(J2091=1,C2091=0),1,0)</x:f>
        <x:v>0</x:v>
      </x:c>
      <x:c r="L2091" t="str">
        <x:f>IFERROR(INDEX(Customers!$C$2:$C$451,MATCH(A2091,Customers!$A$2:$A$451,0)),"Unknown")</x:f>
        <x:v>Standard</x:v>
      </x:c>
    </x:row>
    <x:row r="2092">
      <x:c r="A2092" t="n">
        <x:v>384</x:v>
      </x:c>
      <x:c r="B2092" s="16" t="n">
        <x:v>46204</x:v>
      </x:c>
      <x:c r="C2092" t="n">
        <x:v>0</x:v>
      </x:c>
      <x:c r="D2092" t="n">
        <x:v>0</x:v>
      </x:c>
      <x:c r="E2092" s="18" t="n">
        <x:v>0</x:v>
      </x:c>
      <x:c r="F2092" s="18" t="n">
        <x:v>0</x:v>
      </x:c>
      <x:c r="G2092" s="18" t="n">
        <x:v>0</x:v>
      </x:c>
      <x:c r="H2092" s="18" t="n">
        <x:v>0</x:v>
      </x:c>
      <x:c r="I2092" s="18" t="n">
        <x:v>0</x:v>
      </x:c>
      <x:c r="J2092" t="n">
        <x:f>IF(A2092=A2091,IFERROR(IF(B2092=EDATE(B2091,1),C2091,0),0),0)</x:f>
        <x:v>1</x:v>
      </x:c>
      <x:c r="K2092" t="n">
        <x:f>IF(AND(J2092=1,C2092=0),1,0)</x:f>
        <x:v>1</x:v>
      </x:c>
      <x:c r="L2092" t="str">
        <x:f>IFERROR(INDEX(Customers!$C$2:$C$451,MATCH(A2092,Customers!$A$2:$A$451,0)),"Unknown")</x:f>
        <x:v>Standard</x:v>
      </x:c>
    </x:row>
    <x:row r="2093">
      <x:c r="A2093" t="n">
        <x:v>384</x:v>
      </x:c>
      <x:c r="B2093" s="16" t="n">
        <x:v>46235</x:v>
      </x:c>
      <x:c r="C2093" t="n">
        <x:v>1</x:v>
      </x:c>
      <x:c r="D2093" t="n">
        <x:v>34</x:v>
      </x:c>
      <x:c r="E2093" s="18" t="n">
        <x:v>2196.51</x:v>
      </x:c>
      <x:c r="F2093" s="18" t="n">
        <x:v>0</x:v>
      </x:c>
      <x:c r="G2093" s="18" t="n">
        <x:v>9.88</x:v>
      </x:c>
      <x:c r="H2093" s="18" t="n">
        <x:v>2.47</x:v>
      </x:c>
      <x:c r="I2093" s="18" t="n">
        <x:v>12.35</x:v>
      </x:c>
      <x:c r="J2093" t="n">
        <x:f>IF(A2093=A2092,IFERROR(IF(B2093=EDATE(B2092,1),C2092,0),0),0)</x:f>
        <x:v>0</x:v>
      </x:c>
      <x:c r="K2093" t="n">
        <x:f>IF(AND(J2093=1,C2093=0),1,0)</x:f>
        <x:v>0</x:v>
      </x:c>
      <x:c r="L2093" t="str">
        <x:f>IFERROR(INDEX(Customers!$C$2:$C$451,MATCH(A2093,Customers!$A$2:$A$451,0)),"Unknown")</x:f>
        <x:v>Standard</x:v>
      </x:c>
    </x:row>
    <x:row r="2094">
      <x:c r="A2094" t="n">
        <x:v>384</x:v>
      </x:c>
      <x:c r="B2094" s="16" t="n">
        <x:v>46266</x:v>
      </x:c>
      <x:c r="C2094" t="n">
        <x:v>1</x:v>
      </x:c>
      <x:c r="D2094" t="n">
        <x:v>8</x:v>
      </x:c>
      <x:c r="E2094" s="18" t="n">
        <x:v>377.77</x:v>
      </x:c>
      <x:c r="F2094" s="18" t="n">
        <x:v>0</x:v>
      </x:c>
      <x:c r="G2094" s="18" t="n">
        <x:v>1.7</x:v>
      </x:c>
      <x:c r="H2094" s="18" t="n">
        <x:v>0.43</x:v>
      </x:c>
      <x:c r="I2094" s="18" t="n">
        <x:v>2.13</x:v>
      </x:c>
      <x:c r="J2094" t="n">
        <x:f>IF(A2094=A2093,IFERROR(IF(B2094=EDATE(B2093,1),C2093,0),0),0)</x:f>
        <x:v>1</x:v>
      </x:c>
      <x:c r="K2094" t="n">
        <x:f>IF(AND(J2094=1,C2094=0),1,0)</x:f>
        <x:v>0</x:v>
      </x:c>
      <x:c r="L2094" t="str">
        <x:f>IFERROR(INDEX(Customers!$C$2:$C$451,MATCH(A2094,Customers!$A$2:$A$451,0)),"Unknown")</x:f>
        <x:v>Standard</x:v>
      </x:c>
    </x:row>
    <x:row r="2095">
      <x:c r="A2095" t="n">
        <x:v>385</x:v>
      </x:c>
      <x:c r="B2095" s="16" t="n">
        <x:v>46113</x:v>
      </x:c>
      <x:c r="C2095" t="n">
        <x:v>1</x:v>
      </x:c>
      <x:c r="D2095" t="n">
        <x:v>32</x:v>
      </x:c>
      <x:c r="E2095" s="18" t="n">
        <x:v>3736.95</x:v>
      </x:c>
      <x:c r="F2095" s="18" t="n">
        <x:v>0</x:v>
      </x:c>
      <x:c r="G2095" s="18" t="n">
        <x:v>16.82</x:v>
      </x:c>
      <x:c r="H2095" s="18" t="n">
        <x:v>13.65</x:v>
      </x:c>
      <x:c r="I2095" s="18" t="n">
        <x:v>30.47</x:v>
      </x:c>
      <x:c r="J2095" t="n">
        <x:f>IF(A2095=A2094,IFERROR(IF(B2095=EDATE(B2094,1),C2094,0),0),0)</x:f>
        <x:v>0</x:v>
      </x:c>
      <x:c r="K2095" t="n">
        <x:f>IF(AND(J2095=1,C2095=0),1,0)</x:f>
        <x:v>0</x:v>
      </x:c>
      <x:c r="L2095" t="str">
        <x:f>IFERROR(INDEX(Customers!$C$2:$C$451,MATCH(A2095,Customers!$A$2:$A$451,0)),"Unknown")</x:f>
        <x:v>Standard</x:v>
      </x:c>
    </x:row>
    <x:row r="2096">
      <x:c r="A2096" t="n">
        <x:v>385</x:v>
      </x:c>
      <x:c r="B2096" s="16" t="n">
        <x:v>46143</x:v>
      </x:c>
      <x:c r="C2096" t="n">
        <x:v>1</x:v>
      </x:c>
      <x:c r="D2096" t="n">
        <x:v>25</x:v>
      </x:c>
      <x:c r="E2096" s="18" t="n">
        <x:v>2059.08</x:v>
      </x:c>
      <x:c r="F2096" s="18" t="n">
        <x:v>0</x:v>
      </x:c>
      <x:c r="G2096" s="18" t="n">
        <x:v>9.27</x:v>
      </x:c>
      <x:c r="H2096" s="18" t="n">
        <x:v>2.38</x:v>
      </x:c>
      <x:c r="I2096" s="18" t="n">
        <x:v>11.65</x:v>
      </x:c>
      <x:c r="J2096" t="n">
        <x:f>IF(A2096=A2095,IFERROR(IF(B2096=EDATE(B2095,1),C2095,0),0),0)</x:f>
        <x:v>1</x:v>
      </x:c>
      <x:c r="K2096" t="n">
        <x:f>IF(AND(J2096=1,C2096=0),1,0)</x:f>
        <x:v>0</x:v>
      </x:c>
      <x:c r="L2096" t="str">
        <x:f>IFERROR(INDEX(Customers!$C$2:$C$451,MATCH(A2096,Customers!$A$2:$A$451,0)),"Unknown")</x:f>
        <x:v>Standard</x:v>
      </x:c>
    </x:row>
    <x:row r="2097">
      <x:c r="A2097" t="n">
        <x:v>385</x:v>
      </x:c>
      <x:c r="B2097" s="16" t="n">
        <x:v>46174</x:v>
      </x:c>
      <x:c r="C2097" t="n">
        <x:v>1</x:v>
      </x:c>
      <x:c r="D2097" t="n">
        <x:v>28</x:v>
      </x:c>
      <x:c r="E2097" s="18" t="n">
        <x:v>3165.04</x:v>
      </x:c>
      <x:c r="F2097" s="18" t="n">
        <x:v>0</x:v>
      </x:c>
      <x:c r="G2097" s="18" t="n">
        <x:v>14.24</x:v>
      </x:c>
      <x:c r="H2097" s="18" t="n">
        <x:v>10.45</x:v>
      </x:c>
      <x:c r="I2097" s="18" t="n">
        <x:v>24.69</x:v>
      </x:c>
      <x:c r="J2097" t="n">
        <x:f>IF(A2097=A2096,IFERROR(IF(B2097=EDATE(B2096,1),C2096,0),0),0)</x:f>
        <x:v>1</x:v>
      </x:c>
      <x:c r="K2097" t="n">
        <x:f>IF(AND(J2097=1,C2097=0),1,0)</x:f>
        <x:v>0</x:v>
      </x:c>
      <x:c r="L2097" t="str">
        <x:f>IFERROR(INDEX(Customers!$C$2:$C$451,MATCH(A2097,Customers!$A$2:$A$451,0)),"Unknown")</x:f>
        <x:v>Standard</x:v>
      </x:c>
    </x:row>
    <x:row r="2098">
      <x:c r="A2098" t="n">
        <x:v>385</x:v>
      </x:c>
      <x:c r="B2098" s="16" t="n">
        <x:v>46204</x:v>
      </x:c>
      <x:c r="C2098" t="n">
        <x:v>1</x:v>
      </x:c>
      <x:c r="D2098" t="n">
        <x:v>6</x:v>
      </x:c>
      <x:c r="E2098" s="18" t="n">
        <x:v>328</x:v>
      </x:c>
      <x:c r="F2098" s="18" t="n">
        <x:v>0</x:v>
      </x:c>
      <x:c r="G2098" s="18" t="n">
        <x:v>1.48</x:v>
      </x:c>
      <x:c r="H2098" s="18" t="n">
        <x:v>1.14</x:v>
      </x:c>
      <x:c r="I2098" s="18" t="n">
        <x:v>2.62</x:v>
      </x:c>
      <x:c r="J2098" t="n">
        <x:f>IF(A2098=A2097,IFERROR(IF(B2098=EDATE(B2097,1),C2097,0),0),0)</x:f>
        <x:v>1</x:v>
      </x:c>
      <x:c r="K2098" t="n">
        <x:f>IF(AND(J2098=1,C2098=0),1,0)</x:f>
        <x:v>0</x:v>
      </x:c>
      <x:c r="L2098" t="str">
        <x:f>IFERROR(INDEX(Customers!$C$2:$C$451,MATCH(A2098,Customers!$A$2:$A$451,0)),"Unknown")</x:f>
        <x:v>Standard</x:v>
      </x:c>
    </x:row>
    <x:row r="2099">
      <x:c r="A2099" t="n">
        <x:v>385</x:v>
      </x:c>
      <x:c r="B2099" s="16" t="n">
        <x:v>46235</x:v>
      </x:c>
      <x:c r="C2099" t="n">
        <x:v>1</x:v>
      </x:c>
      <x:c r="D2099" t="n">
        <x:v>6</x:v>
      </x:c>
      <x:c r="E2099" s="18" t="n">
        <x:v>361.85</x:v>
      </x:c>
      <x:c r="F2099" s="18" t="n">
        <x:v>0</x:v>
      </x:c>
      <x:c r="G2099" s="18" t="n">
        <x:v>1.63</x:v>
      </x:c>
      <x:c r="H2099" s="18" t="n">
        <x:v>1.1</x:v>
      </x:c>
      <x:c r="I2099" s="18" t="n">
        <x:v>2.73</x:v>
      </x:c>
      <x:c r="J2099" t="n">
        <x:f>IF(A2099=A2098,IFERROR(IF(B2099=EDATE(B2098,1),C2098,0),0),0)</x:f>
        <x:v>1</x:v>
      </x:c>
      <x:c r="K2099" t="n">
        <x:f>IF(AND(J2099=1,C2099=0),1,0)</x:f>
        <x:v>0</x:v>
      </x:c>
      <x:c r="L2099" t="str">
        <x:f>IFERROR(INDEX(Customers!$C$2:$C$451,MATCH(A2099,Customers!$A$2:$A$451,0)),"Unknown")</x:f>
        <x:v>Standard</x:v>
      </x:c>
    </x:row>
    <x:row r="2100">
      <x:c r="A2100" t="n">
        <x:v>385</x:v>
      </x:c>
      <x:c r="B2100" s="16" t="n">
        <x:v>46266</x:v>
      </x:c>
      <x:c r="C2100" t="n">
        <x:v>1</x:v>
      </x:c>
      <x:c r="D2100" t="n">
        <x:v>20</x:v>
      </x:c>
      <x:c r="E2100" s="18" t="n">
        <x:v>2140.48</x:v>
      </x:c>
      <x:c r="F2100" s="18" t="n">
        <x:v>0</x:v>
      </x:c>
      <x:c r="G2100" s="18" t="n">
        <x:v>9.63</x:v>
      </x:c>
      <x:c r="H2100" s="18" t="n">
        <x:v>3.31</x:v>
      </x:c>
      <x:c r="I2100" s="18" t="n">
        <x:v>12.94</x:v>
      </x:c>
      <x:c r="J2100" t="n">
        <x:f>IF(A2100=A2099,IFERROR(IF(B2100=EDATE(B2099,1),C2099,0),0),0)</x:f>
        <x:v>1</x:v>
      </x:c>
      <x:c r="K2100" t="n">
        <x:f>IF(AND(J2100=1,C2100=0),1,0)</x:f>
        <x:v>0</x:v>
      </x:c>
      <x:c r="L2100" t="str">
        <x:f>IFERROR(INDEX(Customers!$C$2:$C$451,MATCH(A2100,Customers!$A$2:$A$451,0)),"Unknown")</x:f>
        <x:v>Standard</x:v>
      </x:c>
    </x:row>
    <x:row r="2101">
      <x:c r="A2101" t="n">
        <x:v>386</x:v>
      </x:c>
      <x:c r="B2101" s="16" t="n">
        <x:v>46174</x:v>
      </x:c>
      <x:c r="C2101" t="n">
        <x:v>1</x:v>
      </x:c>
      <x:c r="D2101" t="n">
        <x:v>9</x:v>
      </x:c>
      <x:c r="E2101" s="18" t="n">
        <x:v>860.49</x:v>
      </x:c>
      <x:c r="F2101" s="18" t="n">
        <x:v>8</x:v>
      </x:c>
      <x:c r="G2101" s="18" t="n">
        <x:v>3.87</x:v>
      </x:c>
      <x:c r="H2101" s="18" t="n">
        <x:v>1.11</x:v>
      </x:c>
      <x:c r="I2101" s="18" t="n">
        <x:v>12.98</x:v>
      </x:c>
      <x:c r="J2101" t="n">
        <x:f>IF(A2101=A2100,IFERROR(IF(B2101=EDATE(B2100,1),C2100,0),0),0)</x:f>
        <x:v>0</x:v>
      </x:c>
      <x:c r="K2101" t="n">
        <x:f>IF(AND(J2101=1,C2101=0),1,0)</x:f>
        <x:v>0</x:v>
      </x:c>
      <x:c r="L2101" t="str">
        <x:f>IFERROR(INDEX(Customers!$C$2:$C$451,MATCH(A2101,Customers!$A$2:$A$451,0)),"Unknown")</x:f>
        <x:v>Plus</x:v>
      </x:c>
    </x:row>
    <x:row r="2102">
      <x:c r="A2102" t="n">
        <x:v>386</x:v>
      </x:c>
      <x:c r="B2102" s="16" t="n">
        <x:v>46204</x:v>
      </x:c>
      <x:c r="C2102" t="n">
        <x:v>1</x:v>
      </x:c>
      <x:c r="D2102" t="n">
        <x:v>7</x:v>
      </x:c>
      <x:c r="E2102" s="18" t="n">
        <x:v>299.77</x:v>
      </x:c>
      <x:c r="F2102" s="18" t="n">
        <x:v>8</x:v>
      </x:c>
      <x:c r="G2102" s="18" t="n">
        <x:v>1.35</x:v>
      </x:c>
      <x:c r="H2102" s="18" t="n">
        <x:v>0.76</x:v>
      </x:c>
      <x:c r="I2102" s="18" t="n">
        <x:v>10.11</x:v>
      </x:c>
      <x:c r="J2102" t="n">
        <x:f>IF(A2102=A2101,IFERROR(IF(B2102=EDATE(B2101,1),C2101,0),0),0)</x:f>
        <x:v>1</x:v>
      </x:c>
      <x:c r="K2102" t="n">
        <x:f>IF(AND(J2102=1,C2102=0),1,0)</x:f>
        <x:v>0</x:v>
      </x:c>
      <x:c r="L2102" t="str">
        <x:f>IFERROR(INDEX(Customers!$C$2:$C$451,MATCH(A2102,Customers!$A$2:$A$451,0)),"Unknown")</x:f>
        <x:v>Plus</x:v>
      </x:c>
    </x:row>
    <x:row r="2103">
      <x:c r="A2103" t="n">
        <x:v>386</x:v>
      </x:c>
      <x:c r="B2103" s="16" t="n">
        <x:v>46235</x:v>
      </x:c>
      <x:c r="C2103" t="n">
        <x:v>1</x:v>
      </x:c>
      <x:c r="D2103" t="n">
        <x:v>16</x:v>
      </x:c>
      <x:c r="E2103" s="18" t="n">
        <x:v>1286.29</x:v>
      </x:c>
      <x:c r="F2103" s="18" t="n">
        <x:v>8</x:v>
      </x:c>
      <x:c r="G2103" s="18" t="n">
        <x:v>5.79</x:v>
      </x:c>
      <x:c r="H2103" s="18" t="n">
        <x:v>4.39</x:v>
      </x:c>
      <x:c r="I2103" s="18" t="n">
        <x:v>18.18</x:v>
      </x:c>
      <x:c r="J2103" t="n">
        <x:f>IF(A2103=A2102,IFERROR(IF(B2103=EDATE(B2102,1),C2102,0),0),0)</x:f>
        <x:v>1</x:v>
      </x:c>
      <x:c r="K2103" t="n">
        <x:f>IF(AND(J2103=1,C2103=0),1,0)</x:f>
        <x:v>0</x:v>
      </x:c>
      <x:c r="L2103" t="str">
        <x:f>IFERROR(INDEX(Customers!$C$2:$C$451,MATCH(A2103,Customers!$A$2:$A$451,0)),"Unknown")</x:f>
        <x:v>Plus</x:v>
      </x:c>
    </x:row>
    <x:row r="2104">
      <x:c r="A2104" t="n">
        <x:v>386</x:v>
      </x:c>
      <x:c r="B2104" s="16" t="n">
        <x:v>46266</x:v>
      </x:c>
      <x:c r="C2104" t="n">
        <x:v>1</x:v>
      </x:c>
      <x:c r="D2104" t="n">
        <x:v>16</x:v>
      </x:c>
      <x:c r="E2104" s="18" t="n">
        <x:v>1238.64</x:v>
      </x:c>
      <x:c r="F2104" s="18" t="n">
        <x:v>8</x:v>
      </x:c>
      <x:c r="G2104" s="18" t="n">
        <x:v>5.57</x:v>
      </x:c>
      <x:c r="H2104" s="18" t="n">
        <x:v>2.51</x:v>
      </x:c>
      <x:c r="I2104" s="18" t="n">
        <x:v>16.08</x:v>
      </x:c>
      <x:c r="J2104" t="n">
        <x:f>IF(A2104=A2103,IFERROR(IF(B2104=EDATE(B2103,1),C2103,0),0),0)</x:f>
        <x:v>1</x:v>
      </x:c>
      <x:c r="K2104" t="n">
        <x:f>IF(AND(J2104=1,C2104=0),1,0)</x:f>
        <x:v>0</x:v>
      </x:c>
      <x:c r="L2104" t="str">
        <x:f>IFERROR(INDEX(Customers!$C$2:$C$451,MATCH(A2104,Customers!$A$2:$A$451,0)),"Unknown")</x:f>
        <x:v>Plus</x:v>
      </x:c>
    </x:row>
    <x:row r="2105">
      <x:c r="A2105" t="n">
        <x:v>387</x:v>
      </x:c>
      <x:c r="B2105" s="16" t="n">
        <x:v>46113</x:v>
      </x:c>
      <x:c r="C2105" t="n">
        <x:v>1</x:v>
      </x:c>
      <x:c r="D2105" t="n">
        <x:v>25</x:v>
      </x:c>
      <x:c r="E2105" s="18" t="n">
        <x:v>3424</x:v>
      </x:c>
      <x:c r="F2105" s="18" t="n">
        <x:v>0</x:v>
      </x:c>
      <x:c r="G2105" s="18" t="n">
        <x:v>15.41</x:v>
      </x:c>
      <x:c r="H2105" s="18" t="n">
        <x:v>10.8</x:v>
      </x:c>
      <x:c r="I2105" s="18" t="n">
        <x:v>26.21</x:v>
      </x:c>
      <x:c r="J2105" t="n">
        <x:f>IF(A2105=A2104,IFERROR(IF(B2105=EDATE(B2104,1),C2104,0),0),0)</x:f>
        <x:v>0</x:v>
      </x:c>
      <x:c r="K2105" t="n">
        <x:f>IF(AND(J2105=1,C2105=0),1,0)</x:f>
        <x:v>0</x:v>
      </x:c>
      <x:c r="L2105" t="str">
        <x:f>IFERROR(INDEX(Customers!$C$2:$C$451,MATCH(A2105,Customers!$A$2:$A$451,0)),"Unknown")</x:f>
        <x:v>Standard</x:v>
      </x:c>
    </x:row>
    <x:row r="2106">
      <x:c r="A2106" t="n">
        <x:v>387</x:v>
      </x:c>
      <x:c r="B2106" s="16" t="n">
        <x:v>46143</x:v>
      </x:c>
      <x:c r="C2106" t="n">
        <x:v>1</x:v>
      </x:c>
      <x:c r="D2106" t="n">
        <x:v>24</x:v>
      </x:c>
      <x:c r="E2106" s="18" t="n">
        <x:v>3139.14</x:v>
      </x:c>
      <x:c r="F2106" s="18" t="n">
        <x:v>0</x:v>
      </x:c>
      <x:c r="G2106" s="18" t="n">
        <x:v>14.13</x:v>
      </x:c>
      <x:c r="H2106" s="18" t="n">
        <x:v>10.98</x:v>
      </x:c>
      <x:c r="I2106" s="18" t="n">
        <x:v>25.11</x:v>
      </x:c>
      <x:c r="J2106" t="n">
        <x:f>IF(A2106=A2105,IFERROR(IF(B2106=EDATE(B2105,1),C2105,0),0),0)</x:f>
        <x:v>1</x:v>
      </x:c>
      <x:c r="K2106" t="n">
        <x:f>IF(AND(J2106=1,C2106=0),1,0)</x:f>
        <x:v>0</x:v>
      </x:c>
      <x:c r="L2106" t="str">
        <x:f>IFERROR(INDEX(Customers!$C$2:$C$451,MATCH(A2106,Customers!$A$2:$A$451,0)),"Unknown")</x:f>
        <x:v>Standard</x:v>
      </x:c>
    </x:row>
    <x:row r="2107">
      <x:c r="A2107" t="n">
        <x:v>387</x:v>
      </x:c>
      <x:c r="B2107" s="16" t="n">
        <x:v>46174</x:v>
      </x:c>
      <x:c r="C2107" t="n">
        <x:v>1</x:v>
      </x:c>
      <x:c r="D2107" t="n">
        <x:v>33</x:v>
      </x:c>
      <x:c r="E2107" s="18" t="n">
        <x:v>3060.5</x:v>
      </x:c>
      <x:c r="F2107" s="18" t="n">
        <x:v>0</x:v>
      </x:c>
      <x:c r="G2107" s="18" t="n">
        <x:v>13.77</x:v>
      </x:c>
      <x:c r="H2107" s="18" t="n">
        <x:v>11.07</x:v>
      </x:c>
      <x:c r="I2107" s="18" t="n">
        <x:v>24.84</x:v>
      </x:c>
      <x:c r="J2107" t="n">
        <x:f>IF(A2107=A2106,IFERROR(IF(B2107=EDATE(B2106,1),C2106,0),0),0)</x:f>
        <x:v>1</x:v>
      </x:c>
      <x:c r="K2107" t="n">
        <x:f>IF(AND(J2107=1,C2107=0),1,0)</x:f>
        <x:v>0</x:v>
      </x:c>
      <x:c r="L2107" t="str">
        <x:f>IFERROR(INDEX(Customers!$C$2:$C$451,MATCH(A2107,Customers!$A$2:$A$451,0)),"Unknown")</x:f>
        <x:v>Standard</x:v>
      </x:c>
    </x:row>
    <x:row r="2108">
      <x:c r="A2108" t="n">
        <x:v>387</x:v>
      </x:c>
      <x:c r="B2108" s="16" t="n">
        <x:v>46204</x:v>
      </x:c>
      <x:c r="C2108" t="n">
        <x:v>0</x:v>
      </x:c>
      <x:c r="D2108" t="n">
        <x:v>0</x:v>
      </x:c>
      <x:c r="E2108" s="18" t="n">
        <x:v>0</x:v>
      </x:c>
      <x:c r="F2108" s="18" t="n">
        <x:v>0</x:v>
      </x:c>
      <x:c r="G2108" s="18" t="n">
        <x:v>0</x:v>
      </x:c>
      <x:c r="H2108" s="18" t="n">
        <x:v>0</x:v>
      </x:c>
      <x:c r="I2108" s="18" t="n">
        <x:v>0</x:v>
      </x:c>
      <x:c r="J2108" t="n">
        <x:f>IF(A2108=A2107,IFERROR(IF(B2108=EDATE(B2107,1),C2107,0),0),0)</x:f>
        <x:v>1</x:v>
      </x:c>
      <x:c r="K2108" t="n">
        <x:f>IF(AND(J2108=1,C2108=0),1,0)</x:f>
        <x:v>1</x:v>
      </x:c>
      <x:c r="L2108" t="str">
        <x:f>IFERROR(INDEX(Customers!$C$2:$C$451,MATCH(A2108,Customers!$A$2:$A$451,0)),"Unknown")</x:f>
        <x:v>Standard</x:v>
      </x:c>
    </x:row>
    <x:row r="2109">
      <x:c r="A2109" t="n">
        <x:v>387</x:v>
      </x:c>
      <x:c r="B2109" s="16" t="n">
        <x:v>46235</x:v>
      </x:c>
      <x:c r="C2109" t="n">
        <x:v>1</x:v>
      </x:c>
      <x:c r="D2109" t="n">
        <x:v>27</x:v>
      </x:c>
      <x:c r="E2109" s="18" t="n">
        <x:v>3728.28</x:v>
      </x:c>
      <x:c r="F2109" s="18" t="n">
        <x:v>0</x:v>
      </x:c>
      <x:c r="G2109" s="18" t="n">
        <x:v>16.78</x:v>
      </x:c>
      <x:c r="H2109" s="18" t="n">
        <x:v>13.49</x:v>
      </x:c>
      <x:c r="I2109" s="18" t="n">
        <x:v>30.27</x:v>
      </x:c>
      <x:c r="J2109" t="n">
        <x:f>IF(A2109=A2108,IFERROR(IF(B2109=EDATE(B2108,1),C2108,0),0),0)</x:f>
        <x:v>0</x:v>
      </x:c>
      <x:c r="K2109" t="n">
        <x:f>IF(AND(J2109=1,C2109=0),1,0)</x:f>
        <x:v>0</x:v>
      </x:c>
      <x:c r="L2109" t="str">
        <x:f>IFERROR(INDEX(Customers!$C$2:$C$451,MATCH(A2109,Customers!$A$2:$A$451,0)),"Unknown")</x:f>
        <x:v>Standard</x:v>
      </x:c>
    </x:row>
    <x:row r="2110">
      <x:c r="A2110" t="n">
        <x:v>387</x:v>
      </x:c>
      <x:c r="B2110" s="16" t="n">
        <x:v>46266</x:v>
      </x:c>
      <x:c r="C2110" t="n">
        <x:v>1</x:v>
      </x:c>
      <x:c r="D2110" t="n">
        <x:v>12</x:v>
      </x:c>
      <x:c r="E2110" s="18" t="n">
        <x:v>1321.9</x:v>
      </x:c>
      <x:c r="F2110" s="18" t="n">
        <x:v>0</x:v>
      </x:c>
      <x:c r="G2110" s="18" t="n">
        <x:v>5.95</x:v>
      </x:c>
      <x:c r="H2110" s="18" t="n">
        <x:v>2.87</x:v>
      </x:c>
      <x:c r="I2110" s="18" t="n">
        <x:v>8.82</x:v>
      </x:c>
      <x:c r="J2110" t="n">
        <x:f>IF(A2110=A2109,IFERROR(IF(B2110=EDATE(B2109,1),C2109,0),0),0)</x:f>
        <x:v>1</x:v>
      </x:c>
      <x:c r="K2110" t="n">
        <x:f>IF(AND(J2110=1,C2110=0),1,0)</x:f>
        <x:v>0</x:v>
      </x:c>
      <x:c r="L2110" t="str">
        <x:f>IFERROR(INDEX(Customers!$C$2:$C$451,MATCH(A2110,Customers!$A$2:$A$451,0)),"Unknown")</x:f>
        <x:v>Standard</x:v>
      </x:c>
    </x:row>
    <x:row r="2111">
      <x:c r="A2111" t="n">
        <x:v>388</x:v>
      </x:c>
      <x:c r="B2111" s="16" t="n">
        <x:v>46113</x:v>
      </x:c>
      <x:c r="C2111" t="n">
        <x:v>1</x:v>
      </x:c>
      <x:c r="D2111" t="n">
        <x:v>24</x:v>
      </x:c>
      <x:c r="E2111" s="18" t="n">
        <x:v>2751.59</x:v>
      </x:c>
      <x:c r="F2111" s="18" t="n">
        <x:v>17</x:v>
      </x:c>
      <x:c r="G2111" s="18" t="n">
        <x:v>12.38</x:v>
      </x:c>
      <x:c r="H2111" s="18" t="n">
        <x:v>5.52</x:v>
      </x:c>
      <x:c r="I2111" s="18" t="n">
        <x:v>34.9</x:v>
      </x:c>
      <x:c r="J2111" t="n">
        <x:f>IF(A2111=A2110,IFERROR(IF(B2111=EDATE(B2110,1),C2110,0),0),0)</x:f>
        <x:v>0</x:v>
      </x:c>
      <x:c r="K2111" t="n">
        <x:f>IF(AND(J2111=1,C2111=0),1,0)</x:f>
        <x:v>0</x:v>
      </x:c>
      <x:c r="L2111" t="str">
        <x:f>IFERROR(INDEX(Customers!$C$2:$C$451,MATCH(A2111,Customers!$A$2:$A$451,0)),"Unknown")</x:f>
        <x:v>Premium</x:v>
      </x:c>
    </x:row>
    <x:row r="2112">
      <x:c r="A2112" t="n">
        <x:v>388</x:v>
      </x:c>
      <x:c r="B2112" s="16" t="n">
        <x:v>46143</x:v>
      </x:c>
      <x:c r="C2112" t="n">
        <x:v>1</x:v>
      </x:c>
      <x:c r="D2112" t="n">
        <x:v>31</x:v>
      </x:c>
      <x:c r="E2112" s="18" t="n">
        <x:v>2241.03</x:v>
      </x:c>
      <x:c r="F2112" s="18" t="n">
        <x:v>17</x:v>
      </x:c>
      <x:c r="G2112" s="18" t="n">
        <x:v>10.08</x:v>
      </x:c>
      <x:c r="H2112" s="18" t="n">
        <x:v>7.31</x:v>
      </x:c>
      <x:c r="I2112" s="18" t="n">
        <x:v>34.39</x:v>
      </x:c>
      <x:c r="J2112" t="n">
        <x:f>IF(A2112=A2111,IFERROR(IF(B2112=EDATE(B2111,1),C2111,0),0),0)</x:f>
        <x:v>1</x:v>
      </x:c>
      <x:c r="K2112" t="n">
        <x:f>IF(AND(J2112=1,C2112=0),1,0)</x:f>
        <x:v>0</x:v>
      </x:c>
      <x:c r="L2112" t="str">
        <x:f>IFERROR(INDEX(Customers!$C$2:$C$451,MATCH(A2112,Customers!$A$2:$A$451,0)),"Unknown")</x:f>
        <x:v>Premium</x:v>
      </x:c>
    </x:row>
    <x:row r="2113">
      <x:c r="A2113" t="n">
        <x:v>388</x:v>
      </x:c>
      <x:c r="B2113" s="16" t="n">
        <x:v>46174</x:v>
      </x:c>
      <x:c r="C2113" t="n">
        <x:v>1</x:v>
      </x:c>
      <x:c r="D2113" t="n">
        <x:v>5</x:v>
      </x:c>
      <x:c r="E2113" s="18" t="n">
        <x:v>693.46</x:v>
      </x:c>
      <x:c r="F2113" s="18" t="n">
        <x:v>17</x:v>
      </x:c>
      <x:c r="G2113" s="18" t="n">
        <x:v>3.12</x:v>
      </x:c>
      <x:c r="H2113" s="18" t="n">
        <x:v>2.6</x:v>
      </x:c>
      <x:c r="I2113" s="18" t="n">
        <x:v>22.72</x:v>
      </x:c>
      <x:c r="J2113" t="n">
        <x:f>IF(A2113=A2112,IFERROR(IF(B2113=EDATE(B2112,1),C2112,0),0),0)</x:f>
        <x:v>1</x:v>
      </x:c>
      <x:c r="K2113" t="n">
        <x:f>IF(AND(J2113=1,C2113=0),1,0)</x:f>
        <x:v>0</x:v>
      </x:c>
      <x:c r="L2113" t="str">
        <x:f>IFERROR(INDEX(Customers!$C$2:$C$451,MATCH(A2113,Customers!$A$2:$A$451,0)),"Unknown")</x:f>
        <x:v>Premium</x:v>
      </x:c>
    </x:row>
    <x:row r="2114">
      <x:c r="A2114" t="n">
        <x:v>388</x:v>
      </x:c>
      <x:c r="B2114" s="16" t="n">
        <x:v>46204</x:v>
      </x:c>
      <x:c r="C2114" t="n">
        <x:v>1</x:v>
      </x:c>
      <x:c r="D2114" t="n">
        <x:v>8</x:v>
      </x:c>
      <x:c r="E2114" s="18" t="n">
        <x:v>323.01</x:v>
      </x:c>
      <x:c r="F2114" s="18" t="n">
        <x:v>17</x:v>
      </x:c>
      <x:c r="G2114" s="18" t="n">
        <x:v>1.45</x:v>
      </x:c>
      <x:c r="H2114" s="18" t="n">
        <x:v>0.58</x:v>
      </x:c>
      <x:c r="I2114" s="18" t="n">
        <x:v>19.03</x:v>
      </x:c>
      <x:c r="J2114" t="n">
        <x:f>IF(A2114=A2113,IFERROR(IF(B2114=EDATE(B2113,1),C2113,0),0),0)</x:f>
        <x:v>1</x:v>
      </x:c>
      <x:c r="K2114" t="n">
        <x:f>IF(AND(J2114=1,C2114=0),1,0)</x:f>
        <x:v>0</x:v>
      </x:c>
      <x:c r="L2114" t="str">
        <x:f>IFERROR(INDEX(Customers!$C$2:$C$451,MATCH(A2114,Customers!$A$2:$A$451,0)),"Unknown")</x:f>
        <x:v>Premium</x:v>
      </x:c>
    </x:row>
    <x:row r="2115">
      <x:c r="A2115" t="n">
        <x:v>388</x:v>
      </x:c>
      <x:c r="B2115" s="16" t="n">
        <x:v>46235</x:v>
      </x:c>
      <x:c r="C2115" t="n">
        <x:v>1</x:v>
      </x:c>
      <x:c r="D2115" t="n">
        <x:v>15</x:v>
      </x:c>
      <x:c r="E2115" s="18" t="n">
        <x:v>1650.49</x:v>
      </x:c>
      <x:c r="F2115" s="18" t="n">
        <x:v>17</x:v>
      </x:c>
      <x:c r="G2115" s="18" t="n">
        <x:v>7.43</x:v>
      </x:c>
      <x:c r="H2115" s="18" t="n">
        <x:v>4.38</x:v>
      </x:c>
      <x:c r="I2115" s="18" t="n">
        <x:v>28.81</x:v>
      </x:c>
      <x:c r="J2115" t="n">
        <x:f>IF(A2115=A2114,IFERROR(IF(B2115=EDATE(B2114,1),C2114,0),0),0)</x:f>
        <x:v>1</x:v>
      </x:c>
      <x:c r="K2115" t="n">
        <x:f>IF(AND(J2115=1,C2115=0),1,0)</x:f>
        <x:v>0</x:v>
      </x:c>
      <x:c r="L2115" t="str">
        <x:f>IFERROR(INDEX(Customers!$C$2:$C$451,MATCH(A2115,Customers!$A$2:$A$451,0)),"Unknown")</x:f>
        <x:v>Premium</x:v>
      </x:c>
    </x:row>
    <x:row r="2116">
      <x:c r="A2116" t="n">
        <x:v>388</x:v>
      </x:c>
      <x:c r="B2116" s="16" t="n">
        <x:v>46266</x:v>
      </x:c>
      <x:c r="C2116" t="n">
        <x:v>0</x:v>
      </x:c>
      <x:c r="D2116" t="n">
        <x:v>0</x:v>
      </x:c>
      <x:c r="E2116" s="18" t="n">
        <x:v>0</x:v>
      </x:c>
      <x:c r="F2116" s="18" t="n">
        <x:v>0</x:v>
      </x:c>
      <x:c r="G2116" s="18" t="n">
        <x:v>0</x:v>
      </x:c>
      <x:c r="H2116" s="18" t="n">
        <x:v>0</x:v>
      </x:c>
      <x:c r="I2116" s="18" t="n">
        <x:v>0</x:v>
      </x:c>
      <x:c r="J2116" t="n">
        <x:f>IF(A2116=A2115,IFERROR(IF(B2116=EDATE(B2115,1),C2115,0),0),0)</x:f>
        <x:v>1</x:v>
      </x:c>
      <x:c r="K2116" t="n">
        <x:f>IF(AND(J2116=1,C2116=0),1,0)</x:f>
        <x:v>1</x:v>
      </x:c>
      <x:c r="L2116" t="str">
        <x:f>IFERROR(INDEX(Customers!$C$2:$C$451,MATCH(A2116,Customers!$A$2:$A$451,0)),"Unknown")</x:f>
        <x:v>Premium</x:v>
      </x:c>
    </x:row>
    <x:row r="2117">
      <x:c r="A2117" t="n">
        <x:v>389</x:v>
      </x:c>
      <x:c r="B2117" s="16" t="n">
        <x:v>46143</x:v>
      </x:c>
      <x:c r="C2117" t="n">
        <x:v>0</x:v>
      </x:c>
      <x:c r="D2117" t="n">
        <x:v>0</x:v>
      </x:c>
      <x:c r="E2117" s="18" t="n">
        <x:v>0</x:v>
      </x:c>
      <x:c r="F2117" s="18" t="n">
        <x:v>0</x:v>
      </x:c>
      <x:c r="G2117" s="18" t="n">
        <x:v>0</x:v>
      </x:c>
      <x:c r="H2117" s="18" t="n">
        <x:v>0</x:v>
      </x:c>
      <x:c r="I2117" s="18" t="n">
        <x:v>0</x:v>
      </x:c>
      <x:c r="J2117" t="n">
        <x:f>IF(A2117=A2116,IFERROR(IF(B2117=EDATE(B2116,1),C2116,0),0),0)</x:f>
        <x:v>0</x:v>
      </x:c>
      <x:c r="K2117" t="n">
        <x:f>IF(AND(J2117=1,C2117=0),1,0)</x:f>
        <x:v>0</x:v>
      </x:c>
      <x:c r="L2117" t="str">
        <x:f>IFERROR(INDEX(Customers!$C$2:$C$451,MATCH(A2117,Customers!$A$2:$A$451,0)),"Unknown")</x:f>
        <x:v>Standard</x:v>
      </x:c>
    </x:row>
    <x:row r="2118">
      <x:c r="A2118" t="n">
        <x:v>389</x:v>
      </x:c>
      <x:c r="B2118" s="16" t="n">
        <x:v>46174</x:v>
      </x:c>
      <x:c r="C2118" t="n">
        <x:v>0</x:v>
      </x:c>
      <x:c r="D2118" t="n">
        <x:v>0</x:v>
      </x:c>
      <x:c r="E2118" s="18" t="n">
        <x:v>0</x:v>
      </x:c>
      <x:c r="F2118" s="18" t="n">
        <x:v>0</x:v>
      </x:c>
      <x:c r="G2118" s="18" t="n">
        <x:v>0</x:v>
      </x:c>
      <x:c r="H2118" s="18" t="n">
        <x:v>0</x:v>
      </x:c>
      <x:c r="I2118" s="18" t="n">
        <x:v>0</x:v>
      </x:c>
      <x:c r="J2118" t="n">
        <x:f>IF(A2118=A2117,IFERROR(IF(B2118=EDATE(B2117,1),C2117,0),0),0)</x:f>
        <x:v>0</x:v>
      </x:c>
      <x:c r="K2118" t="n">
        <x:f>IF(AND(J2118=1,C2118=0),1,0)</x:f>
        <x:v>0</x:v>
      </x:c>
      <x:c r="L2118" t="str">
        <x:f>IFERROR(INDEX(Customers!$C$2:$C$451,MATCH(A2118,Customers!$A$2:$A$451,0)),"Unknown")</x:f>
        <x:v>Standard</x:v>
      </x:c>
    </x:row>
    <x:row r="2119">
      <x:c r="A2119" t="n">
        <x:v>389</x:v>
      </x:c>
      <x:c r="B2119" s="16" t="n">
        <x:v>46204</x:v>
      </x:c>
      <x:c r="C2119" t="n">
        <x:v>1</x:v>
      </x:c>
      <x:c r="D2119" t="n">
        <x:v>28</x:v>
      </x:c>
      <x:c r="E2119" s="18" t="n">
        <x:v>3371.67</x:v>
      </x:c>
      <x:c r="F2119" s="18" t="n">
        <x:v>0</x:v>
      </x:c>
      <x:c r="G2119" s="18" t="n">
        <x:v>15.17</x:v>
      </x:c>
      <x:c r="H2119" s="18" t="n">
        <x:v>10.92</x:v>
      </x:c>
      <x:c r="I2119" s="18" t="n">
        <x:v>26.09</x:v>
      </x:c>
      <x:c r="J2119" t="n">
        <x:f>IF(A2119=A2118,IFERROR(IF(B2119=EDATE(B2118,1),C2118,0),0),0)</x:f>
        <x:v>0</x:v>
      </x:c>
      <x:c r="K2119" t="n">
        <x:f>IF(AND(J2119=1,C2119=0),1,0)</x:f>
        <x:v>0</x:v>
      </x:c>
      <x:c r="L2119" t="str">
        <x:f>IFERROR(INDEX(Customers!$C$2:$C$451,MATCH(A2119,Customers!$A$2:$A$451,0)),"Unknown")</x:f>
        <x:v>Standard</x:v>
      </x:c>
    </x:row>
    <x:row r="2120">
      <x:c r="A2120" t="n">
        <x:v>389</x:v>
      </x:c>
      <x:c r="B2120" s="16" t="n">
        <x:v>46235</x:v>
      </x:c>
      <x:c r="C2120" t="n">
        <x:v>0</x:v>
      </x:c>
      <x:c r="D2120" t="n">
        <x:v>0</x:v>
      </x:c>
      <x:c r="E2120" s="18" t="n">
        <x:v>0</x:v>
      </x:c>
      <x:c r="F2120" s="18" t="n">
        <x:v>0</x:v>
      </x:c>
      <x:c r="G2120" s="18" t="n">
        <x:v>0</x:v>
      </x:c>
      <x:c r="H2120" s="18" t="n">
        <x:v>0</x:v>
      </x:c>
      <x:c r="I2120" s="18" t="n">
        <x:v>0</x:v>
      </x:c>
      <x:c r="J2120" t="n">
        <x:f>IF(A2120=A2119,IFERROR(IF(B2120=EDATE(B2119,1),C2119,0),0),0)</x:f>
        <x:v>1</x:v>
      </x:c>
      <x:c r="K2120" t="n">
        <x:f>IF(AND(J2120=1,C2120=0),1,0)</x:f>
        <x:v>1</x:v>
      </x:c>
      <x:c r="L2120" t="str">
        <x:f>IFERROR(INDEX(Customers!$C$2:$C$451,MATCH(A2120,Customers!$A$2:$A$451,0)),"Unknown")</x:f>
        <x:v>Standard</x:v>
      </x:c>
    </x:row>
    <x:row r="2121">
      <x:c r="A2121" t="n">
        <x:v>389</x:v>
      </x:c>
      <x:c r="B2121" s="16" t="n">
        <x:v>46266</x:v>
      </x:c>
      <x:c r="C2121" t="n">
        <x:v>0</x:v>
      </x:c>
      <x:c r="D2121" t="n">
        <x:v>0</x:v>
      </x:c>
      <x:c r="E2121" s="18" t="n">
        <x:v>0</x:v>
      </x:c>
      <x:c r="F2121" s="18" t="n">
        <x:v>0</x:v>
      </x:c>
      <x:c r="G2121" s="18" t="n">
        <x:v>0</x:v>
      </x:c>
      <x:c r="H2121" s="18" t="n">
        <x:v>0</x:v>
      </x:c>
      <x:c r="I2121" s="18" t="n">
        <x:v>0</x:v>
      </x:c>
      <x:c r="J2121" t="n">
        <x:f>IF(A2121=A2120,IFERROR(IF(B2121=EDATE(B2120,1),C2120,0),0),0)</x:f>
        <x:v>0</x:v>
      </x:c>
      <x:c r="K2121" t="n">
        <x:f>IF(AND(J2121=1,C2121=0),1,0)</x:f>
        <x:v>0</x:v>
      </x:c>
      <x:c r="L2121" t="str">
        <x:f>IFERROR(INDEX(Customers!$C$2:$C$451,MATCH(A2121,Customers!$A$2:$A$451,0)),"Unknown")</x:f>
        <x:v>Standard</x:v>
      </x:c>
    </x:row>
    <x:row r="2122">
      <x:c r="A2122" t="n">
        <x:v>390</x:v>
      </x:c>
      <x:c r="B2122" s="16" t="n">
        <x:v>46143</x:v>
      </x:c>
      <x:c r="C2122" t="n">
        <x:v>1</x:v>
      </x:c>
      <x:c r="D2122" t="n">
        <x:v>18</x:v>
      </x:c>
      <x:c r="E2122" s="18" t="n">
        <x:v>1737.03</x:v>
      </x:c>
      <x:c r="F2122" s="18" t="n">
        <x:v>0</x:v>
      </x:c>
      <x:c r="G2122" s="18" t="n">
        <x:v>7.82</x:v>
      </x:c>
      <x:c r="H2122" s="18" t="n">
        <x:v>5.31</x:v>
      </x:c>
      <x:c r="I2122" s="18" t="n">
        <x:v>13.13</x:v>
      </x:c>
      <x:c r="J2122" t="n">
        <x:f>IF(A2122=A2121,IFERROR(IF(B2122=EDATE(B2121,1),C2121,0),0),0)</x:f>
        <x:v>0</x:v>
      </x:c>
      <x:c r="K2122" t="n">
        <x:f>IF(AND(J2122=1,C2122=0),1,0)</x:f>
        <x:v>0</x:v>
      </x:c>
      <x:c r="L2122" t="str">
        <x:f>IFERROR(INDEX(Customers!$C$2:$C$451,MATCH(A2122,Customers!$A$2:$A$451,0)),"Unknown")</x:f>
        <x:v>Standard</x:v>
      </x:c>
    </x:row>
    <x:row r="2123">
      <x:c r="A2123" t="n">
        <x:v>390</x:v>
      </x:c>
      <x:c r="B2123" s="16" t="n">
        <x:v>46174</x:v>
      </x:c>
      <x:c r="C2123" t="n">
        <x:v>0</x:v>
      </x:c>
      <x:c r="D2123" t="n">
        <x:v>0</x:v>
      </x:c>
      <x:c r="E2123" s="18" t="n">
        <x:v>0</x:v>
      </x:c>
      <x:c r="F2123" s="18" t="n">
        <x:v>0</x:v>
      </x:c>
      <x:c r="G2123" s="18" t="n">
        <x:v>0</x:v>
      </x:c>
      <x:c r="H2123" s="18" t="n">
        <x:v>0</x:v>
      </x:c>
      <x:c r="I2123" s="18" t="n">
        <x:v>0</x:v>
      </x:c>
      <x:c r="J2123" t="n">
        <x:f>IF(A2123=A2122,IFERROR(IF(B2123=EDATE(B2122,1),C2122,0),0),0)</x:f>
        <x:v>1</x:v>
      </x:c>
      <x:c r="K2123" t="n">
        <x:f>IF(AND(J2123=1,C2123=0),1,0)</x:f>
        <x:v>1</x:v>
      </x:c>
      <x:c r="L2123" t="str">
        <x:f>IFERROR(INDEX(Customers!$C$2:$C$451,MATCH(A2123,Customers!$A$2:$A$451,0)),"Unknown")</x:f>
        <x:v>Standard</x:v>
      </x:c>
    </x:row>
    <x:row r="2124">
      <x:c r="A2124" t="n">
        <x:v>390</x:v>
      </x:c>
      <x:c r="B2124" s="16" t="n">
        <x:v>46204</x:v>
      </x:c>
      <x:c r="C2124" t="n">
        <x:v>1</x:v>
      </x:c>
      <x:c r="D2124" t="n">
        <x:v>11</x:v>
      </x:c>
      <x:c r="E2124" s="18" t="n">
        <x:v>1304.99</x:v>
      </x:c>
      <x:c r="F2124" s="18" t="n">
        <x:v>0</x:v>
      </x:c>
      <x:c r="G2124" s="18" t="n">
        <x:v>5.87</x:v>
      </x:c>
      <x:c r="H2124" s="18" t="n">
        <x:v>2.24</x:v>
      </x:c>
      <x:c r="I2124" s="18" t="n">
        <x:v>8.11</x:v>
      </x:c>
      <x:c r="J2124" t="n">
        <x:f>IF(A2124=A2123,IFERROR(IF(B2124=EDATE(B2123,1),C2123,0),0),0)</x:f>
        <x:v>0</x:v>
      </x:c>
      <x:c r="K2124" t="n">
        <x:f>IF(AND(J2124=1,C2124=0),1,0)</x:f>
        <x:v>0</x:v>
      </x:c>
      <x:c r="L2124" t="str">
        <x:f>IFERROR(INDEX(Customers!$C$2:$C$451,MATCH(A2124,Customers!$A$2:$A$451,0)),"Unknown")</x:f>
        <x:v>Standard</x:v>
      </x:c>
    </x:row>
    <x:row r="2125">
      <x:c r="A2125" t="n">
        <x:v>390</x:v>
      </x:c>
      <x:c r="B2125" s="16" t="n">
        <x:v>46235</x:v>
      </x:c>
      <x:c r="C2125" t="n">
        <x:v>1</x:v>
      </x:c>
      <x:c r="D2125" t="n">
        <x:v>19</x:v>
      </x:c>
      <x:c r="E2125" s="18" t="n">
        <x:v>2613.41</x:v>
      </x:c>
      <x:c r="F2125" s="18" t="n">
        <x:v>0</x:v>
      </x:c>
      <x:c r="G2125" s="18" t="n">
        <x:v>11.76</x:v>
      </x:c>
      <x:c r="H2125" s="18" t="n">
        <x:v>9.68</x:v>
      </x:c>
      <x:c r="I2125" s="18" t="n">
        <x:v>21.44</x:v>
      </x:c>
      <x:c r="J2125" t="n">
        <x:f>IF(A2125=A2124,IFERROR(IF(B2125=EDATE(B2124,1),C2124,0),0),0)</x:f>
        <x:v>1</x:v>
      </x:c>
      <x:c r="K2125" t="n">
        <x:f>IF(AND(J2125=1,C2125=0),1,0)</x:f>
        <x:v>0</x:v>
      </x:c>
      <x:c r="L2125" t="str">
        <x:f>IFERROR(INDEX(Customers!$C$2:$C$451,MATCH(A2125,Customers!$A$2:$A$451,0)),"Unknown")</x:f>
        <x:v>Standard</x:v>
      </x:c>
    </x:row>
    <x:row r="2126">
      <x:c r="A2126" t="n">
        <x:v>390</x:v>
      </x:c>
      <x:c r="B2126" s="16" t="n">
        <x:v>46266</x:v>
      </x:c>
      <x:c r="C2126" t="n">
        <x:v>1</x:v>
      </x:c>
      <x:c r="D2126" t="n">
        <x:v>6</x:v>
      </x:c>
      <x:c r="E2126" s="18" t="n">
        <x:v>534.12</x:v>
      </x:c>
      <x:c r="F2126" s="18" t="n">
        <x:v>0</x:v>
      </x:c>
      <x:c r="G2126" s="18" t="n">
        <x:v>2.4</x:v>
      </x:c>
      <x:c r="H2126" s="18" t="n">
        <x:v>1.38</x:v>
      </x:c>
      <x:c r="I2126" s="18" t="n">
        <x:v>3.78</x:v>
      </x:c>
      <x:c r="J2126" t="n">
        <x:f>IF(A2126=A2125,IFERROR(IF(B2126=EDATE(B2125,1),C2125,0),0),0)</x:f>
        <x:v>1</x:v>
      </x:c>
      <x:c r="K2126" t="n">
        <x:f>IF(AND(J2126=1,C2126=0),1,0)</x:f>
        <x:v>0</x:v>
      </x:c>
      <x:c r="L2126" t="str">
        <x:f>IFERROR(INDEX(Customers!$C$2:$C$451,MATCH(A2126,Customers!$A$2:$A$451,0)),"Unknown")</x:f>
        <x:v>Standard</x:v>
      </x:c>
    </x:row>
    <x:row r="2127">
      <x:c r="A2127" t="n">
        <x:v>391</x:v>
      </x:c>
      <x:c r="B2127" s="16" t="n">
        <x:v>46113</x:v>
      </x:c>
      <x:c r="C2127" t="n">
        <x:v>1</x:v>
      </x:c>
      <x:c r="D2127" t="n">
        <x:v>14</x:v>
      </x:c>
      <x:c r="E2127" s="18" t="n">
        <x:v>1659.93</x:v>
      </x:c>
      <x:c r="F2127" s="18" t="n">
        <x:v>17</x:v>
      </x:c>
      <x:c r="G2127" s="18" t="n">
        <x:v>7.47</x:v>
      </x:c>
      <x:c r="H2127" s="18" t="n">
        <x:v>5.07</x:v>
      </x:c>
      <x:c r="I2127" s="18" t="n">
        <x:v>29.54</x:v>
      </x:c>
      <x:c r="J2127" t="n">
        <x:f>IF(A2127=A2126,IFERROR(IF(B2127=EDATE(B2126,1),C2126,0),0),0)</x:f>
        <x:v>0</x:v>
      </x:c>
      <x:c r="K2127" t="n">
        <x:f>IF(AND(J2127=1,C2127=0),1,0)</x:f>
        <x:v>0</x:v>
      </x:c>
      <x:c r="L2127" t="str">
        <x:f>IFERROR(INDEX(Customers!$C$2:$C$451,MATCH(A2127,Customers!$A$2:$A$451,0)),"Unknown")</x:f>
        <x:v>Premium</x:v>
      </x:c>
    </x:row>
    <x:row r="2128">
      <x:c r="A2128" t="n">
        <x:v>391</x:v>
      </x:c>
      <x:c r="B2128" s="16" t="n">
        <x:v>46143</x:v>
      </x:c>
      <x:c r="C2128" t="n">
        <x:v>1</x:v>
      </x:c>
      <x:c r="D2128" t="n">
        <x:v>13</x:v>
      </x:c>
      <x:c r="E2128" s="18" t="n">
        <x:v>1574.82</x:v>
      </x:c>
      <x:c r="F2128" s="18" t="n">
        <x:v>17</x:v>
      </x:c>
      <x:c r="G2128" s="18" t="n">
        <x:v>7.09</x:v>
      </x:c>
      <x:c r="H2128" s="18" t="n">
        <x:v>1.75</x:v>
      </x:c>
      <x:c r="I2128" s="18" t="n">
        <x:v>25.84</x:v>
      </x:c>
      <x:c r="J2128" t="n">
        <x:f>IF(A2128=A2127,IFERROR(IF(B2128=EDATE(B2127,1),C2127,0),0),0)</x:f>
        <x:v>1</x:v>
      </x:c>
      <x:c r="K2128" t="n">
        <x:f>IF(AND(J2128=1,C2128=0),1,0)</x:f>
        <x:v>0</x:v>
      </x:c>
      <x:c r="L2128" t="str">
        <x:f>IFERROR(INDEX(Customers!$C$2:$C$451,MATCH(A2128,Customers!$A$2:$A$451,0)),"Unknown")</x:f>
        <x:v>Premium</x:v>
      </x:c>
    </x:row>
    <x:row r="2129">
      <x:c r="A2129" t="n">
        <x:v>391</x:v>
      </x:c>
      <x:c r="B2129" s="16" t="n">
        <x:v>46174</x:v>
      </x:c>
      <x:c r="C2129" t="n">
        <x:v>1</x:v>
      </x:c>
      <x:c r="D2129" t="n">
        <x:v>22</x:v>
      </x:c>
      <x:c r="E2129" s="18" t="n">
        <x:v>3021.48</x:v>
      </x:c>
      <x:c r="F2129" s="18" t="n">
        <x:v>17</x:v>
      </x:c>
      <x:c r="G2129" s="18" t="n">
        <x:v>13.6</x:v>
      </x:c>
      <x:c r="H2129" s="18" t="n">
        <x:v>4.65</x:v>
      </x:c>
      <x:c r="I2129" s="18" t="n">
        <x:v>35.25</x:v>
      </x:c>
      <x:c r="J2129" t="n">
        <x:f>IF(A2129=A2128,IFERROR(IF(B2129=EDATE(B2128,1),C2128,0),0),0)</x:f>
        <x:v>1</x:v>
      </x:c>
      <x:c r="K2129" t="n">
        <x:f>IF(AND(J2129=1,C2129=0),1,0)</x:f>
        <x:v>0</x:v>
      </x:c>
      <x:c r="L2129" t="str">
        <x:f>IFERROR(INDEX(Customers!$C$2:$C$451,MATCH(A2129,Customers!$A$2:$A$451,0)),"Unknown")</x:f>
        <x:v>Premium</x:v>
      </x:c>
    </x:row>
    <x:row r="2130">
      <x:c r="A2130" t="n">
        <x:v>391</x:v>
      </x:c>
      <x:c r="B2130" s="16" t="n">
        <x:v>46204</x:v>
      </x:c>
      <x:c r="C2130" t="n">
        <x:v>1</x:v>
      </x:c>
      <x:c r="D2130" t="n">
        <x:v>29</x:v>
      </x:c>
      <x:c r="E2130" s="18" t="n">
        <x:v>3295.75</x:v>
      </x:c>
      <x:c r="F2130" s="18" t="n">
        <x:v>17</x:v>
      </x:c>
      <x:c r="G2130" s="18" t="n">
        <x:v>14.83</x:v>
      </x:c>
      <x:c r="H2130" s="18" t="n">
        <x:v>8.88</x:v>
      </x:c>
      <x:c r="I2130" s="18" t="n">
        <x:v>40.71</x:v>
      </x:c>
      <x:c r="J2130" t="n">
        <x:f>IF(A2130=A2129,IFERROR(IF(B2130=EDATE(B2129,1),C2129,0),0),0)</x:f>
        <x:v>1</x:v>
      </x:c>
      <x:c r="K2130" t="n">
        <x:f>IF(AND(J2130=1,C2130=0),1,0)</x:f>
        <x:v>0</x:v>
      </x:c>
      <x:c r="L2130" t="str">
        <x:f>IFERROR(INDEX(Customers!$C$2:$C$451,MATCH(A2130,Customers!$A$2:$A$451,0)),"Unknown")</x:f>
        <x:v>Premium</x:v>
      </x:c>
    </x:row>
    <x:row r="2131">
      <x:c r="A2131" t="n">
        <x:v>391</x:v>
      </x:c>
      <x:c r="B2131" s="16" t="n">
        <x:v>46235</x:v>
      </x:c>
      <x:c r="C2131" t="n">
        <x:v>1</x:v>
      </x:c>
      <x:c r="D2131" t="n">
        <x:v>20</x:v>
      </x:c>
      <x:c r="E2131" s="18" t="n">
        <x:v>2629.7</x:v>
      </x:c>
      <x:c r="F2131" s="18" t="n">
        <x:v>17</x:v>
      </x:c>
      <x:c r="G2131" s="18" t="n">
        <x:v>11.83</x:v>
      </x:c>
      <x:c r="H2131" s="18" t="n">
        <x:v>8.2</x:v>
      </x:c>
      <x:c r="I2131" s="18" t="n">
        <x:v>37.03</x:v>
      </x:c>
      <x:c r="J2131" t="n">
        <x:f>IF(A2131=A2130,IFERROR(IF(B2131=EDATE(B2130,1),C2130,0),0),0)</x:f>
        <x:v>1</x:v>
      </x:c>
      <x:c r="K2131" t="n">
        <x:f>IF(AND(J2131=1,C2131=0),1,0)</x:f>
        <x:v>0</x:v>
      </x:c>
      <x:c r="L2131" t="str">
        <x:f>IFERROR(INDEX(Customers!$C$2:$C$451,MATCH(A2131,Customers!$A$2:$A$451,0)),"Unknown")</x:f>
        <x:v>Premium</x:v>
      </x:c>
    </x:row>
    <x:row r="2132">
      <x:c r="A2132" t="n">
        <x:v>391</x:v>
      </x:c>
      <x:c r="B2132" s="16" t="n">
        <x:v>46266</x:v>
      </x:c>
      <x:c r="C2132" t="n">
        <x:v>1</x:v>
      </x:c>
      <x:c r="D2132" t="n">
        <x:v>30</x:v>
      </x:c>
      <x:c r="E2132" s="18" t="n">
        <x:v>3966.19</x:v>
      </x:c>
      <x:c r="F2132" s="18" t="n">
        <x:v>17</x:v>
      </x:c>
      <x:c r="G2132" s="18" t="n">
        <x:v>17.85</x:v>
      </x:c>
      <x:c r="H2132" s="18" t="n">
        <x:v>14.23</x:v>
      </x:c>
      <x:c r="I2132" s="18" t="n">
        <x:v>49.08</x:v>
      </x:c>
      <x:c r="J2132" t="n">
        <x:f>IF(A2132=A2131,IFERROR(IF(B2132=EDATE(B2131,1),C2131,0),0),0)</x:f>
        <x:v>1</x:v>
      </x:c>
      <x:c r="K2132" t="n">
        <x:f>IF(AND(J2132=1,C2132=0),1,0)</x:f>
        <x:v>0</x:v>
      </x:c>
      <x:c r="L2132" t="str">
        <x:f>IFERROR(INDEX(Customers!$C$2:$C$451,MATCH(A2132,Customers!$A$2:$A$451,0)),"Unknown")</x:f>
        <x:v>Premium</x:v>
      </x:c>
    </x:row>
    <x:row r="2133">
      <x:c r="A2133" t="n">
        <x:v>392</x:v>
      </x:c>
      <x:c r="B2133" s="16" t="n">
        <x:v>46174</x:v>
      </x:c>
      <x:c r="C2133" t="n">
        <x:v>1</x:v>
      </x:c>
      <x:c r="D2133" t="n">
        <x:v>7</x:v>
      </x:c>
      <x:c r="E2133" s="18" t="n">
        <x:v>424.34</x:v>
      </x:c>
      <x:c r="F2133" s="18" t="n">
        <x:v>0</x:v>
      </x:c>
      <x:c r="G2133" s="18" t="n">
        <x:v>1.91</x:v>
      </x:c>
      <x:c r="H2133" s="18" t="n">
        <x:v>0.65</x:v>
      </x:c>
      <x:c r="I2133" s="18" t="n">
        <x:v>2.56</x:v>
      </x:c>
      <x:c r="J2133" t="n">
        <x:f>IF(A2133=A2132,IFERROR(IF(B2133=EDATE(B2132,1),C2132,0),0),0)</x:f>
        <x:v>0</x:v>
      </x:c>
      <x:c r="K2133" t="n">
        <x:f>IF(AND(J2133=1,C2133=0),1,0)</x:f>
        <x:v>0</x:v>
      </x:c>
      <x:c r="L2133" t="str">
        <x:f>IFERROR(INDEX(Customers!$C$2:$C$451,MATCH(A2133,Customers!$A$2:$A$451,0)),"Unknown")</x:f>
        <x:v>Standard</x:v>
      </x:c>
    </x:row>
    <x:row r="2134">
      <x:c r="A2134" t="n">
        <x:v>392</x:v>
      </x:c>
      <x:c r="B2134" s="16" t="n">
        <x:v>46204</x:v>
      </x:c>
      <x:c r="C2134" t="n">
        <x:v>1</x:v>
      </x:c>
      <x:c r="D2134" t="n">
        <x:v>6</x:v>
      </x:c>
      <x:c r="E2134" s="18" t="n">
        <x:v>289.84</x:v>
      </x:c>
      <x:c r="F2134" s="18" t="n">
        <x:v>0</x:v>
      </x:c>
      <x:c r="G2134" s="18" t="n">
        <x:v>1.3</x:v>
      </x:c>
      <x:c r="H2134" s="18" t="n">
        <x:v>0.83</x:v>
      </x:c>
      <x:c r="I2134" s="18" t="n">
        <x:v>2.13</x:v>
      </x:c>
      <x:c r="J2134" t="n">
        <x:f>IF(A2134=A2133,IFERROR(IF(B2134=EDATE(B2133,1),C2133,0),0),0)</x:f>
        <x:v>1</x:v>
      </x:c>
      <x:c r="K2134" t="n">
        <x:f>IF(AND(J2134=1,C2134=0),1,0)</x:f>
        <x:v>0</x:v>
      </x:c>
      <x:c r="L2134" t="str">
        <x:f>IFERROR(INDEX(Customers!$C$2:$C$451,MATCH(A2134,Customers!$A$2:$A$451,0)),"Unknown")</x:f>
        <x:v>Standard</x:v>
      </x:c>
    </x:row>
    <x:row r="2135">
      <x:c r="A2135" t="n">
        <x:v>392</x:v>
      </x:c>
      <x:c r="B2135" s="16" t="n">
        <x:v>46235</x:v>
      </x:c>
      <x:c r="C2135" t="n">
        <x:v>1</x:v>
      </x:c>
      <x:c r="D2135" t="n">
        <x:v>24</x:v>
      </x:c>
      <x:c r="E2135" s="18" t="n">
        <x:v>933.68</x:v>
      </x:c>
      <x:c r="F2135" s="18" t="n">
        <x:v>0</x:v>
      </x:c>
      <x:c r="G2135" s="18" t="n">
        <x:v>4.2</x:v>
      </x:c>
      <x:c r="H2135" s="18" t="n">
        <x:v>1.25</x:v>
      </x:c>
      <x:c r="I2135" s="18" t="n">
        <x:v>5.45</x:v>
      </x:c>
      <x:c r="J2135" t="n">
        <x:f>IF(A2135=A2134,IFERROR(IF(B2135=EDATE(B2134,1),C2134,0),0),0)</x:f>
        <x:v>1</x:v>
      </x:c>
      <x:c r="K2135" t="n">
        <x:f>IF(AND(J2135=1,C2135=0),1,0)</x:f>
        <x:v>0</x:v>
      </x:c>
      <x:c r="L2135" t="str">
        <x:f>IFERROR(INDEX(Customers!$C$2:$C$451,MATCH(A2135,Customers!$A$2:$A$451,0)),"Unknown")</x:f>
        <x:v>Standard</x:v>
      </x:c>
    </x:row>
    <x:row r="2136">
      <x:c r="A2136" t="n">
        <x:v>392</x:v>
      </x:c>
      <x:c r="B2136" s="16" t="n">
        <x:v>46266</x:v>
      </x:c>
      <x:c r="C2136" t="n">
        <x:v>1</x:v>
      </x:c>
      <x:c r="D2136" t="n">
        <x:v>4</x:v>
      </x:c>
      <x:c r="E2136" s="18" t="n">
        <x:v>552.68</x:v>
      </x:c>
      <x:c r="F2136" s="18" t="n">
        <x:v>0</x:v>
      </x:c>
      <x:c r="G2136" s="18" t="n">
        <x:v>2.49</x:v>
      </x:c>
      <x:c r="H2136" s="18" t="n">
        <x:v>1.64</x:v>
      </x:c>
      <x:c r="I2136" s="18" t="n">
        <x:v>4.13</x:v>
      </x:c>
      <x:c r="J2136" t="n">
        <x:f>IF(A2136=A2135,IFERROR(IF(B2136=EDATE(B2135,1),C2135,0),0),0)</x:f>
        <x:v>1</x:v>
      </x:c>
      <x:c r="K2136" t="n">
        <x:f>IF(AND(J2136=1,C2136=0),1,0)</x:f>
        <x:v>0</x:v>
      </x:c>
      <x:c r="L2136" t="str">
        <x:f>IFERROR(INDEX(Customers!$C$2:$C$451,MATCH(A2136,Customers!$A$2:$A$451,0)),"Unknown")</x:f>
        <x:v>Standard</x:v>
      </x:c>
    </x:row>
    <x:row r="2137">
      <x:c r="A2137" t="n">
        <x:v>393</x:v>
      </x:c>
      <x:c r="B2137" s="16" t="n">
        <x:v>46113</x:v>
      </x:c>
      <x:c r="C2137" t="n">
        <x:v>1</x:v>
      </x:c>
      <x:c r="D2137" t="n">
        <x:v>36</x:v>
      </x:c>
      <x:c r="E2137" s="18" t="n">
        <x:v>3908.85</x:v>
      </x:c>
      <x:c r="F2137" s="18" t="n">
        <x:v>0</x:v>
      </x:c>
      <x:c r="G2137" s="18" t="n">
        <x:v>17.59</x:v>
      </x:c>
      <x:c r="H2137" s="18" t="n">
        <x:v>12.71</x:v>
      </x:c>
      <x:c r="I2137" s="18" t="n">
        <x:v>30.3</x:v>
      </x:c>
      <x:c r="J2137" t="n">
        <x:f>IF(A2137=A2136,IFERROR(IF(B2137=EDATE(B2136,1),C2136,0),0),0)</x:f>
        <x:v>0</x:v>
      </x:c>
      <x:c r="K2137" t="n">
        <x:f>IF(AND(J2137=1,C2137=0),1,0)</x:f>
        <x:v>0</x:v>
      </x:c>
      <x:c r="L2137" t="str">
        <x:f>IFERROR(INDEX(Customers!$C$2:$C$451,MATCH(A2137,Customers!$A$2:$A$451,0)),"Unknown")</x:f>
        <x:v>Standard</x:v>
      </x:c>
    </x:row>
    <x:row r="2138">
      <x:c r="A2138" t="n">
        <x:v>393</x:v>
      </x:c>
      <x:c r="B2138" s="16" t="n">
        <x:v>46143</x:v>
      </x:c>
      <x:c r="C2138" t="n">
        <x:v>0</x:v>
      </x:c>
      <x:c r="D2138" t="n">
        <x:v>0</x:v>
      </x:c>
      <x:c r="E2138" s="18" t="n">
        <x:v>0</x:v>
      </x:c>
      <x:c r="F2138" s="18" t="n">
        <x:v>0</x:v>
      </x:c>
      <x:c r="G2138" s="18" t="n">
        <x:v>0</x:v>
      </x:c>
      <x:c r="H2138" s="18" t="n">
        <x:v>0</x:v>
      </x:c>
      <x:c r="I2138" s="18" t="n">
        <x:v>0</x:v>
      </x:c>
      <x:c r="J2138" t="n">
        <x:f>IF(A2138=A2137,IFERROR(IF(B2138=EDATE(B2137,1),C2137,0),0),0)</x:f>
        <x:v>1</x:v>
      </x:c>
      <x:c r="K2138" t="n">
        <x:f>IF(AND(J2138=1,C2138=0),1,0)</x:f>
        <x:v>1</x:v>
      </x:c>
      <x:c r="L2138" t="str">
        <x:f>IFERROR(INDEX(Customers!$C$2:$C$451,MATCH(A2138,Customers!$A$2:$A$451,0)),"Unknown")</x:f>
        <x:v>Standard</x:v>
      </x:c>
    </x:row>
    <x:row r="2139">
      <x:c r="A2139" t="n">
        <x:v>393</x:v>
      </x:c>
      <x:c r="B2139" s="16" t="n">
        <x:v>46174</x:v>
      </x:c>
      <x:c r="C2139" t="n">
        <x:v>1</x:v>
      </x:c>
      <x:c r="D2139" t="n">
        <x:v>26</x:v>
      </x:c>
      <x:c r="E2139" s="18" t="n">
        <x:v>2817.58</x:v>
      </x:c>
      <x:c r="F2139" s="18" t="n">
        <x:v>0</x:v>
      </x:c>
      <x:c r="G2139" s="18" t="n">
        <x:v>12.68</x:v>
      </x:c>
      <x:c r="H2139" s="18" t="n">
        <x:v>7.45</x:v>
      </x:c>
      <x:c r="I2139" s="18" t="n">
        <x:v>20.13</x:v>
      </x:c>
      <x:c r="J2139" t="n">
        <x:f>IF(A2139=A2138,IFERROR(IF(B2139=EDATE(B2138,1),C2138,0),0),0)</x:f>
        <x:v>0</x:v>
      </x:c>
      <x:c r="K2139" t="n">
        <x:f>IF(AND(J2139=1,C2139=0),1,0)</x:f>
        <x:v>0</x:v>
      </x:c>
      <x:c r="L2139" t="str">
        <x:f>IFERROR(INDEX(Customers!$C$2:$C$451,MATCH(A2139,Customers!$A$2:$A$451,0)),"Unknown")</x:f>
        <x:v>Standard</x:v>
      </x:c>
    </x:row>
    <x:row r="2140">
      <x:c r="A2140" t="n">
        <x:v>393</x:v>
      </x:c>
      <x:c r="B2140" s="16" t="n">
        <x:v>46204</x:v>
      </x:c>
      <x:c r="C2140" t="n">
        <x:v>0</x:v>
      </x:c>
      <x:c r="D2140" t="n">
        <x:v>0</x:v>
      </x:c>
      <x:c r="E2140" s="18" t="n">
        <x:v>0</x:v>
      </x:c>
      <x:c r="F2140" s="18" t="n">
        <x:v>0</x:v>
      </x:c>
      <x:c r="G2140" s="18" t="n">
        <x:v>0</x:v>
      </x:c>
      <x:c r="H2140" s="18" t="n">
        <x:v>0</x:v>
      </x:c>
      <x:c r="I2140" s="18" t="n">
        <x:v>0</x:v>
      </x:c>
      <x:c r="J2140" t="n">
        <x:f>IF(A2140=A2139,IFERROR(IF(B2140=EDATE(B2139,1),C2139,0),0),0)</x:f>
        <x:v>1</x:v>
      </x:c>
      <x:c r="K2140" t="n">
        <x:f>IF(AND(J2140=1,C2140=0),1,0)</x:f>
        <x:v>1</x:v>
      </x:c>
      <x:c r="L2140" t="str">
        <x:f>IFERROR(INDEX(Customers!$C$2:$C$451,MATCH(A2140,Customers!$A$2:$A$451,0)),"Unknown")</x:f>
        <x:v>Standard</x:v>
      </x:c>
    </x:row>
    <x:row r="2141">
      <x:c r="A2141" t="n">
        <x:v>393</x:v>
      </x:c>
      <x:c r="B2141" s="16" t="n">
        <x:v>46235</x:v>
      </x:c>
      <x:c r="C2141" t="n">
        <x:v>1</x:v>
      </x:c>
      <x:c r="D2141" t="n">
        <x:v>24</x:v>
      </x:c>
      <x:c r="E2141" s="18" t="n">
        <x:v>1137.11</x:v>
      </x:c>
      <x:c r="F2141" s="18" t="n">
        <x:v>0</x:v>
      </x:c>
      <x:c r="G2141" s="18" t="n">
        <x:v>5.12</x:v>
      </x:c>
      <x:c r="H2141" s="18" t="n">
        <x:v>2.02</x:v>
      </x:c>
      <x:c r="I2141" s="18" t="n">
        <x:v>7.14</x:v>
      </x:c>
      <x:c r="J2141" t="n">
        <x:f>IF(A2141=A2140,IFERROR(IF(B2141=EDATE(B2140,1),C2140,0),0),0)</x:f>
        <x:v>0</x:v>
      </x:c>
      <x:c r="K2141" t="n">
        <x:f>IF(AND(J2141=1,C2141=0),1,0)</x:f>
        <x:v>0</x:v>
      </x:c>
      <x:c r="L2141" t="str">
        <x:f>IFERROR(INDEX(Customers!$C$2:$C$451,MATCH(A2141,Customers!$A$2:$A$451,0)),"Unknown")</x:f>
        <x:v>Standard</x:v>
      </x:c>
    </x:row>
    <x:row r="2142">
      <x:c r="A2142" t="n">
        <x:v>393</x:v>
      </x:c>
      <x:c r="B2142" s="16" t="n">
        <x:v>46266</x:v>
      </x:c>
      <x:c r="C2142" t="n">
        <x:v>1</x:v>
      </x:c>
      <x:c r="D2142" t="n">
        <x:v>27</x:v>
      </x:c>
      <x:c r="E2142" s="18" t="n">
        <x:v>1780.09</x:v>
      </x:c>
      <x:c r="F2142" s="18" t="n">
        <x:v>0</x:v>
      </x:c>
      <x:c r="G2142" s="18" t="n">
        <x:v>8.01</x:v>
      </x:c>
      <x:c r="H2142" s="18" t="n">
        <x:v>4.14</x:v>
      </x:c>
      <x:c r="I2142" s="18" t="n">
        <x:v>12.15</x:v>
      </x:c>
      <x:c r="J2142" t="n">
        <x:f>IF(A2142=A2141,IFERROR(IF(B2142=EDATE(B2141,1),C2141,0),0),0)</x:f>
        <x:v>1</x:v>
      </x:c>
      <x:c r="K2142" t="n">
        <x:f>IF(AND(J2142=1,C2142=0),1,0)</x:f>
        <x:v>0</x:v>
      </x:c>
      <x:c r="L2142" t="str">
        <x:f>IFERROR(INDEX(Customers!$C$2:$C$451,MATCH(A2142,Customers!$A$2:$A$451,0)),"Unknown")</x:f>
        <x:v>Standard</x:v>
      </x:c>
    </x:row>
    <x:row r="2143">
      <x:c r="A2143" t="n">
        <x:v>394</x:v>
      </x:c>
      <x:c r="B2143" s="16" t="n">
        <x:v>46174</x:v>
      </x:c>
      <x:c r="C2143" t="n">
        <x:v>0</x:v>
      </x:c>
      <x:c r="D2143" t="n">
        <x:v>0</x:v>
      </x:c>
      <x:c r="E2143" s="18" t="n">
        <x:v>0</x:v>
      </x:c>
      <x:c r="F2143" s="18" t="n">
        <x:v>0</x:v>
      </x:c>
      <x:c r="G2143" s="18" t="n">
        <x:v>0</x:v>
      </x:c>
      <x:c r="H2143" s="18" t="n">
        <x:v>0</x:v>
      </x:c>
      <x:c r="I2143" s="18" t="n">
        <x:v>0</x:v>
      </x:c>
      <x:c r="J2143" t="n">
        <x:f>IF(A2143=A2142,IFERROR(IF(B2143=EDATE(B2142,1),C2142,0),0),0)</x:f>
        <x:v>0</x:v>
      </x:c>
      <x:c r="K2143" t="n">
        <x:f>IF(AND(J2143=1,C2143=0),1,0)</x:f>
        <x:v>0</x:v>
      </x:c>
      <x:c r="L2143" t="str">
        <x:f>IFERROR(INDEX(Customers!$C$2:$C$451,MATCH(A2143,Customers!$A$2:$A$451,0)),"Unknown")</x:f>
        <x:v>Standard</x:v>
      </x:c>
    </x:row>
    <x:row r="2144">
      <x:c r="A2144" t="n">
        <x:v>394</x:v>
      </x:c>
      <x:c r="B2144" s="16" t="n">
        <x:v>46204</x:v>
      </x:c>
      <x:c r="C2144" t="n">
        <x:v>1</x:v>
      </x:c>
      <x:c r="D2144" t="n">
        <x:v>35</x:v>
      </x:c>
      <x:c r="E2144" s="18" t="n">
        <x:v>4067.86</x:v>
      </x:c>
      <x:c r="F2144" s="18" t="n">
        <x:v>0</x:v>
      </x:c>
      <x:c r="G2144" s="18" t="n">
        <x:v>18.31</x:v>
      </x:c>
      <x:c r="H2144" s="18" t="n">
        <x:v>7.38</x:v>
      </x:c>
      <x:c r="I2144" s="18" t="n">
        <x:v>25.69</x:v>
      </x:c>
      <x:c r="J2144" t="n">
        <x:f>IF(A2144=A2143,IFERROR(IF(B2144=EDATE(B2143,1),C2143,0),0),0)</x:f>
        <x:v>0</x:v>
      </x:c>
      <x:c r="K2144" t="n">
        <x:f>IF(AND(J2144=1,C2144=0),1,0)</x:f>
        <x:v>0</x:v>
      </x:c>
      <x:c r="L2144" t="str">
        <x:f>IFERROR(INDEX(Customers!$C$2:$C$451,MATCH(A2144,Customers!$A$2:$A$451,0)),"Unknown")</x:f>
        <x:v>Standard</x:v>
      </x:c>
    </x:row>
    <x:row r="2145">
      <x:c r="A2145" t="n">
        <x:v>394</x:v>
      </x:c>
      <x:c r="B2145" s="16" t="n">
        <x:v>46235</x:v>
      </x:c>
      <x:c r="C2145" t="n">
        <x:v>0</x:v>
      </x:c>
      <x:c r="D2145" t="n">
        <x:v>0</x:v>
      </x:c>
      <x:c r="E2145" s="18" t="n">
        <x:v>0</x:v>
      </x:c>
      <x:c r="F2145" s="18" t="n">
        <x:v>0</x:v>
      </x:c>
      <x:c r="G2145" s="18" t="n">
        <x:v>0</x:v>
      </x:c>
      <x:c r="H2145" s="18" t="n">
        <x:v>0</x:v>
      </x:c>
      <x:c r="I2145" s="18" t="n">
        <x:v>0</x:v>
      </x:c>
      <x:c r="J2145" t="n">
        <x:f>IF(A2145=A2144,IFERROR(IF(B2145=EDATE(B2144,1),C2144,0),0),0)</x:f>
        <x:v>1</x:v>
      </x:c>
      <x:c r="K2145" t="n">
        <x:f>IF(AND(J2145=1,C2145=0),1,0)</x:f>
        <x:v>1</x:v>
      </x:c>
      <x:c r="L2145" t="str">
        <x:f>IFERROR(INDEX(Customers!$C$2:$C$451,MATCH(A2145,Customers!$A$2:$A$451,0)),"Unknown")</x:f>
        <x:v>Standard</x:v>
      </x:c>
    </x:row>
    <x:row r="2146">
      <x:c r="A2146" t="n">
        <x:v>394</x:v>
      </x:c>
      <x:c r="B2146" s="16" t="n">
        <x:v>46266</x:v>
      </x:c>
      <x:c r="C2146" t="n">
        <x:v>1</x:v>
      </x:c>
      <x:c r="D2146" t="n">
        <x:v>5</x:v>
      </x:c>
      <x:c r="E2146" s="18" t="n">
        <x:v>531.03</x:v>
      </x:c>
      <x:c r="F2146" s="18" t="n">
        <x:v>0</x:v>
      </x:c>
      <x:c r="G2146" s="18" t="n">
        <x:v>2.39</x:v>
      </x:c>
      <x:c r="H2146" s="18" t="n">
        <x:v>1.41</x:v>
      </x:c>
      <x:c r="I2146" s="18" t="n">
        <x:v>3.8</x:v>
      </x:c>
      <x:c r="J2146" t="n">
        <x:f>IF(A2146=A2145,IFERROR(IF(B2146=EDATE(B2145,1),C2145,0),0),0)</x:f>
        <x:v>0</x:v>
      </x:c>
      <x:c r="K2146" t="n">
        <x:f>IF(AND(J2146=1,C2146=0),1,0)</x:f>
        <x:v>0</x:v>
      </x:c>
      <x:c r="L2146" t="str">
        <x:f>IFERROR(INDEX(Customers!$C$2:$C$451,MATCH(A2146,Customers!$A$2:$A$451,0)),"Unknown")</x:f>
        <x:v>Standard</x:v>
      </x:c>
    </x:row>
    <x:row r="2147">
      <x:c r="A2147" t="n">
        <x:v>395</x:v>
      </x:c>
      <x:c r="B2147" s="16" t="n">
        <x:v>46113</x:v>
      </x:c>
      <x:c r="C2147" t="n">
        <x:v>1</x:v>
      </x:c>
      <x:c r="D2147" t="n">
        <x:v>6</x:v>
      </x:c>
      <x:c r="E2147" s="18" t="n">
        <x:v>213.69</x:v>
      </x:c>
      <x:c r="F2147" s="18" t="n">
        <x:v>0</x:v>
      </x:c>
      <x:c r="G2147" s="18" t="n">
        <x:v>0.96</x:v>
      </x:c>
      <x:c r="H2147" s="18" t="n">
        <x:v>0.65</x:v>
      </x:c>
      <x:c r="I2147" s="18" t="n">
        <x:v>1.61</x:v>
      </x:c>
      <x:c r="J2147" t="n">
        <x:f>IF(A2147=A2146,IFERROR(IF(B2147=EDATE(B2146,1),C2146,0),0),0)</x:f>
        <x:v>0</x:v>
      </x:c>
      <x:c r="K2147" t="n">
        <x:f>IF(AND(J2147=1,C2147=0),1,0)</x:f>
        <x:v>0</x:v>
      </x:c>
      <x:c r="L2147" t="str">
        <x:f>IFERROR(INDEX(Customers!$C$2:$C$451,MATCH(A2147,Customers!$A$2:$A$451,0)),"Unknown")</x:f>
        <x:v>Standard</x:v>
      </x:c>
    </x:row>
    <x:row r="2148">
      <x:c r="A2148" t="n">
        <x:v>395</x:v>
      </x:c>
      <x:c r="B2148" s="16" t="n">
        <x:v>46143</x:v>
      </x:c>
      <x:c r="C2148" t="n">
        <x:v>1</x:v>
      </x:c>
      <x:c r="D2148" t="n">
        <x:v>29</x:v>
      </x:c>
      <x:c r="E2148" s="18" t="n">
        <x:v>3152.61</x:v>
      </x:c>
      <x:c r="F2148" s="18" t="n">
        <x:v>0</x:v>
      </x:c>
      <x:c r="G2148" s="18" t="n">
        <x:v>14.19</x:v>
      </x:c>
      <x:c r="H2148" s="18" t="n">
        <x:v>7.44</x:v>
      </x:c>
      <x:c r="I2148" s="18" t="n">
        <x:v>21.63</x:v>
      </x:c>
      <x:c r="J2148" t="n">
        <x:f>IF(A2148=A2147,IFERROR(IF(B2148=EDATE(B2147,1),C2147,0),0),0)</x:f>
        <x:v>1</x:v>
      </x:c>
      <x:c r="K2148" t="n">
        <x:f>IF(AND(J2148=1,C2148=0),1,0)</x:f>
        <x:v>0</x:v>
      </x:c>
      <x:c r="L2148" t="str">
        <x:f>IFERROR(INDEX(Customers!$C$2:$C$451,MATCH(A2148,Customers!$A$2:$A$451,0)),"Unknown")</x:f>
        <x:v>Standard</x:v>
      </x:c>
    </x:row>
    <x:row r="2149">
      <x:c r="A2149" t="n">
        <x:v>395</x:v>
      </x:c>
      <x:c r="B2149" s="16" t="n">
        <x:v>46174</x:v>
      </x:c>
      <x:c r="C2149" t="n">
        <x:v>1</x:v>
      </x:c>
      <x:c r="D2149" t="n">
        <x:v>17</x:v>
      </x:c>
      <x:c r="E2149" s="18" t="n">
        <x:v>2337.51</x:v>
      </x:c>
      <x:c r="F2149" s="18" t="n">
        <x:v>0</x:v>
      </x:c>
      <x:c r="G2149" s="18" t="n">
        <x:v>10.52</x:v>
      </x:c>
      <x:c r="H2149" s="18" t="n">
        <x:v>8.01</x:v>
      </x:c>
      <x:c r="I2149" s="18" t="n">
        <x:v>18.53</x:v>
      </x:c>
      <x:c r="J2149" t="n">
        <x:f>IF(A2149=A2148,IFERROR(IF(B2149=EDATE(B2148,1),C2148,0),0),0)</x:f>
        <x:v>1</x:v>
      </x:c>
      <x:c r="K2149" t="n">
        <x:f>IF(AND(J2149=1,C2149=0),1,0)</x:f>
        <x:v>0</x:v>
      </x:c>
      <x:c r="L2149" t="str">
        <x:f>IFERROR(INDEX(Customers!$C$2:$C$451,MATCH(A2149,Customers!$A$2:$A$451,0)),"Unknown")</x:f>
        <x:v>Standard</x:v>
      </x:c>
    </x:row>
    <x:row r="2150">
      <x:c r="A2150" t="n">
        <x:v>395</x:v>
      </x:c>
      <x:c r="B2150" s="16" t="n">
        <x:v>46204</x:v>
      </x:c>
      <x:c r="C2150" t="n">
        <x:v>1</x:v>
      </x:c>
      <x:c r="D2150" t="n">
        <x:v>4</x:v>
      </x:c>
      <x:c r="E2150" s="18" t="n">
        <x:v>151.07</x:v>
      </x:c>
      <x:c r="F2150" s="18" t="n">
        <x:v>0</x:v>
      </x:c>
      <x:c r="G2150" s="18" t="n">
        <x:v>0.68</x:v>
      </x:c>
      <x:c r="H2150" s="18" t="n">
        <x:v>0.32</x:v>
      </x:c>
      <x:c r="I2150" s="18" t="n">
        <x:v>1</x:v>
      </x:c>
      <x:c r="J2150" t="n">
        <x:f>IF(A2150=A2149,IFERROR(IF(B2150=EDATE(B2149,1),C2149,0),0),0)</x:f>
        <x:v>1</x:v>
      </x:c>
      <x:c r="K2150" t="n">
        <x:f>IF(AND(J2150=1,C2150=0),1,0)</x:f>
        <x:v>0</x:v>
      </x:c>
      <x:c r="L2150" t="str">
        <x:f>IFERROR(INDEX(Customers!$C$2:$C$451,MATCH(A2150,Customers!$A$2:$A$451,0)),"Unknown")</x:f>
        <x:v>Standard</x:v>
      </x:c>
    </x:row>
    <x:row r="2151">
      <x:c r="A2151" t="n">
        <x:v>395</x:v>
      </x:c>
      <x:c r="B2151" s="16" t="n">
        <x:v>46235</x:v>
      </x:c>
      <x:c r="C2151" t="n">
        <x:v>1</x:v>
      </x:c>
      <x:c r="D2151" t="n">
        <x:v>24</x:v>
      </x:c>
      <x:c r="E2151" s="18" t="n">
        <x:v>1330.34</x:v>
      </x:c>
      <x:c r="F2151" s="18" t="n">
        <x:v>0</x:v>
      </x:c>
      <x:c r="G2151" s="18" t="n">
        <x:v>5.99</x:v>
      </x:c>
      <x:c r="H2151" s="18" t="n">
        <x:v>1.7</x:v>
      </x:c>
      <x:c r="I2151" s="18" t="n">
        <x:v>7.69</x:v>
      </x:c>
      <x:c r="J2151" t="n">
        <x:f>IF(A2151=A2150,IFERROR(IF(B2151=EDATE(B2150,1),C2150,0),0),0)</x:f>
        <x:v>1</x:v>
      </x:c>
      <x:c r="K2151" t="n">
        <x:f>IF(AND(J2151=1,C2151=0),1,0)</x:f>
        <x:v>0</x:v>
      </x:c>
      <x:c r="L2151" t="str">
        <x:f>IFERROR(INDEX(Customers!$C$2:$C$451,MATCH(A2151,Customers!$A$2:$A$451,0)),"Unknown")</x:f>
        <x:v>Standard</x:v>
      </x:c>
    </x:row>
    <x:row r="2152">
      <x:c r="A2152" t="n">
        <x:v>395</x:v>
      </x:c>
      <x:c r="B2152" s="16" t="n">
        <x:v>46266</x:v>
      </x:c>
      <x:c r="C2152" t="n">
        <x:v>1</x:v>
      </x:c>
      <x:c r="D2152" t="n">
        <x:v>27</x:v>
      </x:c>
      <x:c r="E2152" s="18" t="n">
        <x:v>1758.33</x:v>
      </x:c>
      <x:c r="F2152" s="18" t="n">
        <x:v>0</x:v>
      </x:c>
      <x:c r="G2152" s="18" t="n">
        <x:v>7.91</x:v>
      </x:c>
      <x:c r="H2152" s="18" t="n">
        <x:v>4.81</x:v>
      </x:c>
      <x:c r="I2152" s="18" t="n">
        <x:v>12.72</x:v>
      </x:c>
      <x:c r="J2152" t="n">
        <x:f>IF(A2152=A2151,IFERROR(IF(B2152=EDATE(B2151,1),C2151,0),0),0)</x:f>
        <x:v>1</x:v>
      </x:c>
      <x:c r="K2152" t="n">
        <x:f>IF(AND(J2152=1,C2152=0),1,0)</x:f>
        <x:v>0</x:v>
      </x:c>
      <x:c r="L2152" t="str">
        <x:f>IFERROR(INDEX(Customers!$C$2:$C$451,MATCH(A2152,Customers!$A$2:$A$451,0)),"Unknown")</x:f>
        <x:v>Standard</x:v>
      </x:c>
    </x:row>
    <x:row r="2153">
      <x:c r="A2153" t="n">
        <x:v>396</x:v>
      </x:c>
      <x:c r="B2153" s="16" t="n">
        <x:v>46113</x:v>
      </x:c>
      <x:c r="C2153" t="n">
        <x:v>1</x:v>
      </x:c>
      <x:c r="D2153" t="n">
        <x:v>26</x:v>
      </x:c>
      <x:c r="E2153" s="18" t="n">
        <x:v>2999.46</x:v>
      </x:c>
      <x:c r="F2153" s="18" t="n">
        <x:v>0</x:v>
      </x:c>
      <x:c r="G2153" s="18" t="n">
        <x:v>13.5</x:v>
      </x:c>
      <x:c r="H2153" s="18" t="n">
        <x:v>9.79</x:v>
      </x:c>
      <x:c r="I2153" s="18" t="n">
        <x:v>23.29</x:v>
      </x:c>
      <x:c r="J2153" t="n">
        <x:f>IF(A2153=A2152,IFERROR(IF(B2153=EDATE(B2152,1),C2152,0),0),0)</x:f>
        <x:v>0</x:v>
      </x:c>
      <x:c r="K2153" t="n">
        <x:f>IF(AND(J2153=1,C2153=0),1,0)</x:f>
        <x:v>0</x:v>
      </x:c>
      <x:c r="L2153" t="str">
        <x:f>IFERROR(INDEX(Customers!$C$2:$C$451,MATCH(A2153,Customers!$A$2:$A$451,0)),"Unknown")</x:f>
        <x:v>Standard</x:v>
      </x:c>
    </x:row>
    <x:row r="2154">
      <x:c r="A2154" t="n">
        <x:v>396</x:v>
      </x:c>
      <x:c r="B2154" s="16" t="n">
        <x:v>46143</x:v>
      </x:c>
      <x:c r="C2154" t="n">
        <x:v>1</x:v>
      </x:c>
      <x:c r="D2154" t="n">
        <x:v>35</x:v>
      </x:c>
      <x:c r="E2154" s="18" t="n">
        <x:v>4646.24</x:v>
      </x:c>
      <x:c r="F2154" s="18" t="n">
        <x:v>0</x:v>
      </x:c>
      <x:c r="G2154" s="18" t="n">
        <x:v>20.91</x:v>
      </x:c>
      <x:c r="H2154" s="18" t="n">
        <x:v>6.13</x:v>
      </x:c>
      <x:c r="I2154" s="18" t="n">
        <x:v>27.04</x:v>
      </x:c>
      <x:c r="J2154" t="n">
        <x:f>IF(A2154=A2153,IFERROR(IF(B2154=EDATE(B2153,1),C2153,0),0),0)</x:f>
        <x:v>1</x:v>
      </x:c>
      <x:c r="K2154" t="n">
        <x:f>IF(AND(J2154=1,C2154=0),1,0)</x:f>
        <x:v>0</x:v>
      </x:c>
      <x:c r="L2154" t="str">
        <x:f>IFERROR(INDEX(Customers!$C$2:$C$451,MATCH(A2154,Customers!$A$2:$A$451,0)),"Unknown")</x:f>
        <x:v>Standard</x:v>
      </x:c>
    </x:row>
    <x:row r="2155">
      <x:c r="A2155" t="n">
        <x:v>396</x:v>
      </x:c>
      <x:c r="B2155" s="16" t="n">
        <x:v>46174</x:v>
      </x:c>
      <x:c r="C2155" t="n">
        <x:v>1</x:v>
      </x:c>
      <x:c r="D2155" t="n">
        <x:v>19</x:v>
      </x:c>
      <x:c r="E2155" s="18" t="n">
        <x:v>2309.1</x:v>
      </x:c>
      <x:c r="F2155" s="18" t="n">
        <x:v>0</x:v>
      </x:c>
      <x:c r="G2155" s="18" t="n">
        <x:v>10.39</x:v>
      </x:c>
      <x:c r="H2155" s="18" t="n">
        <x:v>2.23</x:v>
      </x:c>
      <x:c r="I2155" s="18" t="n">
        <x:v>12.62</x:v>
      </x:c>
      <x:c r="J2155" t="n">
        <x:f>IF(A2155=A2154,IFERROR(IF(B2155=EDATE(B2154,1),C2154,0),0),0)</x:f>
        <x:v>1</x:v>
      </x:c>
      <x:c r="K2155" t="n">
        <x:f>IF(AND(J2155=1,C2155=0),1,0)</x:f>
        <x:v>0</x:v>
      </x:c>
      <x:c r="L2155" t="str">
        <x:f>IFERROR(INDEX(Customers!$C$2:$C$451,MATCH(A2155,Customers!$A$2:$A$451,0)),"Unknown")</x:f>
        <x:v>Standard</x:v>
      </x:c>
    </x:row>
    <x:row r="2156">
      <x:c r="A2156" t="n">
        <x:v>396</x:v>
      </x:c>
      <x:c r="B2156" s="16" t="n">
        <x:v>46204</x:v>
      </x:c>
      <x:c r="C2156" t="n">
        <x:v>1</x:v>
      </x:c>
      <x:c r="D2156" t="n">
        <x:v>21</x:v>
      </x:c>
      <x:c r="E2156" s="18" t="n">
        <x:v>1513.56</x:v>
      </x:c>
      <x:c r="F2156" s="18" t="n">
        <x:v>0</x:v>
      </x:c>
      <x:c r="G2156" s="18" t="n">
        <x:v>6.81</x:v>
      </x:c>
      <x:c r="H2156" s="18" t="n">
        <x:v>4.02</x:v>
      </x:c>
      <x:c r="I2156" s="18" t="n">
        <x:v>10.83</x:v>
      </x:c>
      <x:c r="J2156" t="n">
        <x:f>IF(A2156=A2155,IFERROR(IF(B2156=EDATE(B2155,1),C2155,0),0),0)</x:f>
        <x:v>1</x:v>
      </x:c>
      <x:c r="K2156" t="n">
        <x:f>IF(AND(J2156=1,C2156=0),1,0)</x:f>
        <x:v>0</x:v>
      </x:c>
      <x:c r="L2156" t="str">
        <x:f>IFERROR(INDEX(Customers!$C$2:$C$451,MATCH(A2156,Customers!$A$2:$A$451,0)),"Unknown")</x:f>
        <x:v>Standard</x:v>
      </x:c>
    </x:row>
    <x:row r="2157">
      <x:c r="A2157" t="n">
        <x:v>396</x:v>
      </x:c>
      <x:c r="B2157" s="16" t="n">
        <x:v>46235</x:v>
      </x:c>
      <x:c r="C2157" t="n">
        <x:v>1</x:v>
      </x:c>
      <x:c r="D2157" t="n">
        <x:v>22</x:v>
      </x:c>
      <x:c r="E2157" s="18" t="n">
        <x:v>2023.38</x:v>
      </x:c>
      <x:c r="F2157" s="18" t="n">
        <x:v>0</x:v>
      </x:c>
      <x:c r="G2157" s="18" t="n">
        <x:v>9.11</x:v>
      </x:c>
      <x:c r="H2157" s="18" t="n">
        <x:v>3.44</x:v>
      </x:c>
      <x:c r="I2157" s="18" t="n">
        <x:v>12.55</x:v>
      </x:c>
      <x:c r="J2157" t="n">
        <x:f>IF(A2157=A2156,IFERROR(IF(B2157=EDATE(B2156,1),C2156,0),0),0)</x:f>
        <x:v>1</x:v>
      </x:c>
      <x:c r="K2157" t="n">
        <x:f>IF(AND(J2157=1,C2157=0),1,0)</x:f>
        <x:v>0</x:v>
      </x:c>
      <x:c r="L2157" t="str">
        <x:f>IFERROR(INDEX(Customers!$C$2:$C$451,MATCH(A2157,Customers!$A$2:$A$451,0)),"Unknown")</x:f>
        <x:v>Standard</x:v>
      </x:c>
    </x:row>
    <x:row r="2158">
      <x:c r="A2158" t="n">
        <x:v>396</x:v>
      </x:c>
      <x:c r="B2158" s="16" t="n">
        <x:v>46266</x:v>
      </x:c>
      <x:c r="C2158" t="n">
        <x:v>0</x:v>
      </x:c>
      <x:c r="D2158" t="n">
        <x:v>0</x:v>
      </x:c>
      <x:c r="E2158" s="18" t="n">
        <x:v>0</x:v>
      </x:c>
      <x:c r="F2158" s="18" t="n">
        <x:v>0</x:v>
      </x:c>
      <x:c r="G2158" s="18" t="n">
        <x:v>0</x:v>
      </x:c>
      <x:c r="H2158" s="18" t="n">
        <x:v>0</x:v>
      </x:c>
      <x:c r="I2158" s="18" t="n">
        <x:v>0</x:v>
      </x:c>
      <x:c r="J2158" t="n">
        <x:f>IF(A2158=A2157,IFERROR(IF(B2158=EDATE(B2157,1),C2157,0),0),0)</x:f>
        <x:v>1</x:v>
      </x:c>
      <x:c r="K2158" t="n">
        <x:f>IF(AND(J2158=1,C2158=0),1,0)</x:f>
        <x:v>1</x:v>
      </x:c>
      <x:c r="L2158" t="str">
        <x:f>IFERROR(INDEX(Customers!$C$2:$C$451,MATCH(A2158,Customers!$A$2:$A$451,0)),"Unknown")</x:f>
        <x:v>Standard</x:v>
      </x:c>
    </x:row>
    <x:row r="2159">
      <x:c r="A2159" t="n">
        <x:v>397</x:v>
      </x:c>
      <x:c r="B2159" s="16" t="n">
        <x:v>46113</x:v>
      </x:c>
      <x:c r="C2159" t="n">
        <x:v>1</x:v>
      </x:c>
      <x:c r="D2159" t="n">
        <x:v>26</x:v>
      </x:c>
      <x:c r="E2159" s="18" t="n">
        <x:v>3024.75</x:v>
      </x:c>
      <x:c r="F2159" s="18" t="n">
        <x:v>34</x:v>
      </x:c>
      <x:c r="G2159" s="18" t="n">
        <x:v>13.61</x:v>
      </x:c>
      <x:c r="H2159" s="18" t="n">
        <x:v>3.32</x:v>
      </x:c>
      <x:c r="I2159" s="18" t="n">
        <x:v>50.93</x:v>
      </x:c>
      <x:c r="J2159" t="n">
        <x:f>IF(A2159=A2158,IFERROR(IF(B2159=EDATE(B2158,1),C2158,0),0),0)</x:f>
        <x:v>0</x:v>
      </x:c>
      <x:c r="K2159" t="n">
        <x:f>IF(AND(J2159=1,C2159=0),1,0)</x:f>
        <x:v>0</x:v>
      </x:c>
      <x:c r="L2159" t="str">
        <x:f>IFERROR(INDEX(Customers!$C$2:$C$451,MATCH(A2159,Customers!$A$2:$A$451,0)),"Unknown")</x:f>
        <x:v>Metal</x:v>
      </x:c>
    </x:row>
    <x:row r="2160">
      <x:c r="A2160" t="n">
        <x:v>397</x:v>
      </x:c>
      <x:c r="B2160" s="16" t="n">
        <x:v>46143</x:v>
      </x:c>
      <x:c r="C2160" t="n">
        <x:v>1</x:v>
      </x:c>
      <x:c r="D2160" t="n">
        <x:v>16</x:v>
      </x:c>
      <x:c r="E2160" s="18" t="n">
        <x:v>1225.8</x:v>
      </x:c>
      <x:c r="F2160" s="18" t="n">
        <x:v>34</x:v>
      </x:c>
      <x:c r="G2160" s="18" t="n">
        <x:v>5.52</x:v>
      </x:c>
      <x:c r="H2160" s="18" t="n">
        <x:v>3.2</x:v>
      </x:c>
      <x:c r="I2160" s="18" t="n">
        <x:v>42.72</x:v>
      </x:c>
      <x:c r="J2160" t="n">
        <x:f>IF(A2160=A2159,IFERROR(IF(B2160=EDATE(B2159,1),C2159,0),0),0)</x:f>
        <x:v>1</x:v>
      </x:c>
      <x:c r="K2160" t="n">
        <x:f>IF(AND(J2160=1,C2160=0),1,0)</x:f>
        <x:v>0</x:v>
      </x:c>
      <x:c r="L2160" t="str">
        <x:f>IFERROR(INDEX(Customers!$C$2:$C$451,MATCH(A2160,Customers!$A$2:$A$451,0)),"Unknown")</x:f>
        <x:v>Metal</x:v>
      </x:c>
    </x:row>
    <x:row r="2161">
      <x:c r="A2161" t="n">
        <x:v>397</x:v>
      </x:c>
      <x:c r="B2161" s="16" t="n">
        <x:v>46174</x:v>
      </x:c>
      <x:c r="C2161" t="n">
        <x:v>1</x:v>
      </x:c>
      <x:c r="D2161" t="n">
        <x:v>22</x:v>
      </x:c>
      <x:c r="E2161" s="18" t="n">
        <x:v>2396.96</x:v>
      </x:c>
      <x:c r="F2161" s="18" t="n">
        <x:v>34</x:v>
      </x:c>
      <x:c r="G2161" s="18" t="n">
        <x:v>10.79</x:v>
      </x:c>
      <x:c r="H2161" s="18" t="n">
        <x:v>2.3</x:v>
      </x:c>
      <x:c r="I2161" s="18" t="n">
        <x:v>47.09</x:v>
      </x:c>
      <x:c r="J2161" t="n">
        <x:f>IF(A2161=A2160,IFERROR(IF(B2161=EDATE(B2160,1),C2160,0),0),0)</x:f>
        <x:v>1</x:v>
      </x:c>
      <x:c r="K2161" t="n">
        <x:f>IF(AND(J2161=1,C2161=0),1,0)</x:f>
        <x:v>0</x:v>
      </x:c>
      <x:c r="L2161" t="str">
        <x:f>IFERROR(INDEX(Customers!$C$2:$C$451,MATCH(A2161,Customers!$A$2:$A$451,0)),"Unknown")</x:f>
        <x:v>Metal</x:v>
      </x:c>
    </x:row>
    <x:row r="2162">
      <x:c r="A2162" t="n">
        <x:v>397</x:v>
      </x:c>
      <x:c r="B2162" s="16" t="n">
        <x:v>46204</x:v>
      </x:c>
      <x:c r="C2162" t="n">
        <x:v>1</x:v>
      </x:c>
      <x:c r="D2162" t="n">
        <x:v>12</x:v>
      </x:c>
      <x:c r="E2162" s="18" t="n">
        <x:v>1335.08</x:v>
      </x:c>
      <x:c r="F2162" s="18" t="n">
        <x:v>34</x:v>
      </x:c>
      <x:c r="G2162" s="18" t="n">
        <x:v>6.01</x:v>
      </x:c>
      <x:c r="H2162" s="18" t="n">
        <x:v>3.07</x:v>
      </x:c>
      <x:c r="I2162" s="18" t="n">
        <x:v>43.08</x:v>
      </x:c>
      <x:c r="J2162" t="n">
        <x:f>IF(A2162=A2161,IFERROR(IF(B2162=EDATE(B2161,1),C2161,0),0),0)</x:f>
        <x:v>1</x:v>
      </x:c>
      <x:c r="K2162" t="n">
        <x:f>IF(AND(J2162=1,C2162=0),1,0)</x:f>
        <x:v>0</x:v>
      </x:c>
      <x:c r="L2162" t="str">
        <x:f>IFERROR(INDEX(Customers!$C$2:$C$451,MATCH(A2162,Customers!$A$2:$A$451,0)),"Unknown")</x:f>
        <x:v>Metal</x:v>
      </x:c>
    </x:row>
    <x:row r="2163">
      <x:c r="A2163" t="n">
        <x:v>397</x:v>
      </x:c>
      <x:c r="B2163" s="16" t="n">
        <x:v>46235</x:v>
      </x:c>
      <x:c r="C2163" t="n">
        <x:v>1</x:v>
      </x:c>
      <x:c r="D2163" t="n">
        <x:v>23</x:v>
      </x:c>
      <x:c r="E2163" s="18" t="n">
        <x:v>1232.69</x:v>
      </x:c>
      <x:c r="F2163" s="18" t="n">
        <x:v>34</x:v>
      </x:c>
      <x:c r="G2163" s="18" t="n">
        <x:v>5.55</x:v>
      </x:c>
      <x:c r="H2163" s="18" t="n">
        <x:v>2.54</x:v>
      </x:c>
      <x:c r="I2163" s="18" t="n">
        <x:v>42.09</x:v>
      </x:c>
      <x:c r="J2163" t="n">
        <x:f>IF(A2163=A2162,IFERROR(IF(B2163=EDATE(B2162,1),C2162,0),0),0)</x:f>
        <x:v>1</x:v>
      </x:c>
      <x:c r="K2163" t="n">
        <x:f>IF(AND(J2163=1,C2163=0),1,0)</x:f>
        <x:v>0</x:v>
      </x:c>
      <x:c r="L2163" t="str">
        <x:f>IFERROR(INDEX(Customers!$C$2:$C$451,MATCH(A2163,Customers!$A$2:$A$451,0)),"Unknown")</x:f>
        <x:v>Metal</x:v>
      </x:c>
    </x:row>
    <x:row r="2164">
      <x:c r="A2164" t="n">
        <x:v>397</x:v>
      </x:c>
      <x:c r="B2164" s="16" t="n">
        <x:v>46266</x:v>
      </x:c>
      <x:c r="C2164" t="n">
        <x:v>1</x:v>
      </x:c>
      <x:c r="D2164" t="n">
        <x:v>32</x:v>
      </x:c>
      <x:c r="E2164" s="18" t="n">
        <x:v>1389.64</x:v>
      </x:c>
      <x:c r="F2164" s="18" t="n">
        <x:v>34</x:v>
      </x:c>
      <x:c r="G2164" s="18" t="n">
        <x:v>6.25</x:v>
      </x:c>
      <x:c r="H2164" s="18" t="n">
        <x:v>3.91</x:v>
      </x:c>
      <x:c r="I2164" s="18" t="n">
        <x:v>44.16</x:v>
      </x:c>
      <x:c r="J2164" t="n">
        <x:f>IF(A2164=A2163,IFERROR(IF(B2164=EDATE(B2163,1),C2163,0),0),0)</x:f>
        <x:v>1</x:v>
      </x:c>
      <x:c r="K2164" t="n">
        <x:f>IF(AND(J2164=1,C2164=0),1,0)</x:f>
        <x:v>0</x:v>
      </x:c>
      <x:c r="L2164" t="str">
        <x:f>IFERROR(INDEX(Customers!$C$2:$C$451,MATCH(A2164,Customers!$A$2:$A$451,0)),"Unknown")</x:f>
        <x:v>Metal</x:v>
      </x:c>
    </x:row>
    <x:row r="2165">
      <x:c r="A2165" t="n">
        <x:v>398</x:v>
      </x:c>
      <x:c r="B2165" s="16" t="n">
        <x:v>46174</x:v>
      </x:c>
      <x:c r="C2165" t="n">
        <x:v>1</x:v>
      </x:c>
      <x:c r="D2165" t="n">
        <x:v>33</x:v>
      </x:c>
      <x:c r="E2165" s="18" t="n">
        <x:v>2188.86</x:v>
      </x:c>
      <x:c r="F2165" s="18" t="n">
        <x:v>0</x:v>
      </x:c>
      <x:c r="G2165" s="18" t="n">
        <x:v>9.85</x:v>
      </x:c>
      <x:c r="H2165" s="18" t="n">
        <x:v>8.27</x:v>
      </x:c>
      <x:c r="I2165" s="18" t="n">
        <x:v>18.12</x:v>
      </x:c>
      <x:c r="J2165" t="n">
        <x:f>IF(A2165=A2164,IFERROR(IF(B2165=EDATE(B2164,1),C2164,0),0),0)</x:f>
        <x:v>0</x:v>
      </x:c>
      <x:c r="K2165" t="n">
        <x:f>IF(AND(J2165=1,C2165=0),1,0)</x:f>
        <x:v>0</x:v>
      </x:c>
      <x:c r="L2165" t="str">
        <x:f>IFERROR(INDEX(Customers!$C$2:$C$451,MATCH(A2165,Customers!$A$2:$A$451,0)),"Unknown")</x:f>
        <x:v>Standard</x:v>
      </x:c>
    </x:row>
    <x:row r="2166">
      <x:c r="A2166" t="n">
        <x:v>398</x:v>
      </x:c>
      <x:c r="B2166" s="16" t="n">
        <x:v>46204</x:v>
      </x:c>
      <x:c r="C2166" t="n">
        <x:v>0</x:v>
      </x:c>
      <x:c r="D2166" t="n">
        <x:v>0</x:v>
      </x:c>
      <x:c r="E2166" s="18" t="n">
        <x:v>0</x:v>
      </x:c>
      <x:c r="F2166" s="18" t="n">
        <x:v>0</x:v>
      </x:c>
      <x:c r="G2166" s="18" t="n">
        <x:v>0</x:v>
      </x:c>
      <x:c r="H2166" s="18" t="n">
        <x:v>0</x:v>
      </x:c>
      <x:c r="I2166" s="18" t="n">
        <x:v>0</x:v>
      </x:c>
      <x:c r="J2166" t="n">
        <x:f>IF(A2166=A2165,IFERROR(IF(B2166=EDATE(B2165,1),C2165,0),0),0)</x:f>
        <x:v>1</x:v>
      </x:c>
      <x:c r="K2166" t="n">
        <x:f>IF(AND(J2166=1,C2166=0),1,0)</x:f>
        <x:v>1</x:v>
      </x:c>
      <x:c r="L2166" t="str">
        <x:f>IFERROR(INDEX(Customers!$C$2:$C$451,MATCH(A2166,Customers!$A$2:$A$451,0)),"Unknown")</x:f>
        <x:v>Standard</x:v>
      </x:c>
    </x:row>
    <x:row r="2167">
      <x:c r="A2167" t="n">
        <x:v>398</x:v>
      </x:c>
      <x:c r="B2167" s="16" t="n">
        <x:v>46235</x:v>
      </x:c>
      <x:c r="C2167" t="n">
        <x:v>1</x:v>
      </x:c>
      <x:c r="D2167" t="n">
        <x:v>25</x:v>
      </x:c>
      <x:c r="E2167" s="18" t="n">
        <x:v>1477.97</x:v>
      </x:c>
      <x:c r="F2167" s="18" t="n">
        <x:v>0</x:v>
      </x:c>
      <x:c r="G2167" s="18" t="n">
        <x:v>6.65</x:v>
      </x:c>
      <x:c r="H2167" s="18" t="n">
        <x:v>4.81</x:v>
      </x:c>
      <x:c r="I2167" s="18" t="n">
        <x:v>11.46</x:v>
      </x:c>
      <x:c r="J2167" t="n">
        <x:f>IF(A2167=A2166,IFERROR(IF(B2167=EDATE(B2166,1),C2166,0),0),0)</x:f>
        <x:v>0</x:v>
      </x:c>
      <x:c r="K2167" t="n">
        <x:f>IF(AND(J2167=1,C2167=0),1,0)</x:f>
        <x:v>0</x:v>
      </x:c>
      <x:c r="L2167" t="str">
        <x:f>IFERROR(INDEX(Customers!$C$2:$C$451,MATCH(A2167,Customers!$A$2:$A$451,0)),"Unknown")</x:f>
        <x:v>Standard</x:v>
      </x:c>
    </x:row>
    <x:row r="2168">
      <x:c r="A2168" t="n">
        <x:v>398</x:v>
      </x:c>
      <x:c r="B2168" s="16" t="n">
        <x:v>46266</x:v>
      </x:c>
      <x:c r="C2168" t="n">
        <x:v>0</x:v>
      </x:c>
      <x:c r="D2168" t="n">
        <x:v>0</x:v>
      </x:c>
      <x:c r="E2168" s="18" t="n">
        <x:v>0</x:v>
      </x:c>
      <x:c r="F2168" s="18" t="n">
        <x:v>0</x:v>
      </x:c>
      <x:c r="G2168" s="18" t="n">
        <x:v>0</x:v>
      </x:c>
      <x:c r="H2168" s="18" t="n">
        <x:v>0</x:v>
      </x:c>
      <x:c r="I2168" s="18" t="n">
        <x:v>0</x:v>
      </x:c>
      <x:c r="J2168" t="n">
        <x:f>IF(A2168=A2167,IFERROR(IF(B2168=EDATE(B2167,1),C2167,0),0),0)</x:f>
        <x:v>1</x:v>
      </x:c>
      <x:c r="K2168" t="n">
        <x:f>IF(AND(J2168=1,C2168=0),1,0)</x:f>
        <x:v>1</x:v>
      </x:c>
      <x:c r="L2168" t="str">
        <x:f>IFERROR(INDEX(Customers!$C$2:$C$451,MATCH(A2168,Customers!$A$2:$A$451,0)),"Unknown")</x:f>
        <x:v>Standard</x:v>
      </x:c>
    </x:row>
    <x:row r="2169">
      <x:c r="A2169" t="n">
        <x:v>399</x:v>
      </x:c>
      <x:c r="B2169" s="16" t="n">
        <x:v>46113</x:v>
      </x:c>
      <x:c r="C2169" t="n">
        <x:v>1</x:v>
      </x:c>
      <x:c r="D2169" t="n">
        <x:v>22</x:v>
      </x:c>
      <x:c r="E2169" s="18" t="n">
        <x:v>2621.17</x:v>
      </x:c>
      <x:c r="F2169" s="18" t="n">
        <x:v>8</x:v>
      </x:c>
      <x:c r="G2169" s="18" t="n">
        <x:v>11.8</x:v>
      </x:c>
      <x:c r="H2169" s="18" t="n">
        <x:v>9.29</x:v>
      </x:c>
      <x:c r="I2169" s="18" t="n">
        <x:v>29.09</x:v>
      </x:c>
      <x:c r="J2169" t="n">
        <x:f>IF(A2169=A2168,IFERROR(IF(B2169=EDATE(B2168,1),C2168,0),0),0)</x:f>
        <x:v>0</x:v>
      </x:c>
      <x:c r="K2169" t="n">
        <x:f>IF(AND(J2169=1,C2169=0),1,0)</x:f>
        <x:v>0</x:v>
      </x:c>
      <x:c r="L2169" t="str">
        <x:f>IFERROR(INDEX(Customers!$C$2:$C$451,MATCH(A2169,Customers!$A$2:$A$451,0)),"Unknown")</x:f>
        <x:v>Plus</x:v>
      </x:c>
    </x:row>
    <x:row r="2170">
      <x:c r="A2170" t="n">
        <x:v>399</x:v>
      </x:c>
      <x:c r="B2170" s="16" t="n">
        <x:v>46143</x:v>
      </x:c>
      <x:c r="C2170" t="n">
        <x:v>0</x:v>
      </x:c>
      <x:c r="D2170" t="n">
        <x:v>0</x:v>
      </x:c>
      <x:c r="E2170" s="18" t="n">
        <x:v>0</x:v>
      </x:c>
      <x:c r="F2170" s="18" t="n">
        <x:v>0</x:v>
      </x:c>
      <x:c r="G2170" s="18" t="n">
        <x:v>0</x:v>
      </x:c>
      <x:c r="H2170" s="18" t="n">
        <x:v>0</x:v>
      </x:c>
      <x:c r="I2170" s="18" t="n">
        <x:v>0</x:v>
      </x:c>
      <x:c r="J2170" t="n">
        <x:f>IF(A2170=A2169,IFERROR(IF(B2170=EDATE(B2169,1),C2169,0),0),0)</x:f>
        <x:v>1</x:v>
      </x:c>
      <x:c r="K2170" t="n">
        <x:f>IF(AND(J2170=1,C2170=0),1,0)</x:f>
        <x:v>1</x:v>
      </x:c>
      <x:c r="L2170" t="str">
        <x:f>IFERROR(INDEX(Customers!$C$2:$C$451,MATCH(A2170,Customers!$A$2:$A$451,0)),"Unknown")</x:f>
        <x:v>Plus</x:v>
      </x:c>
    </x:row>
    <x:row r="2171">
      <x:c r="A2171" t="n">
        <x:v>399</x:v>
      </x:c>
      <x:c r="B2171" s="16" t="n">
        <x:v>46174</x:v>
      </x:c>
      <x:c r="C2171" t="n">
        <x:v>1</x:v>
      </x:c>
      <x:c r="D2171" t="n">
        <x:v>11</x:v>
      </x:c>
      <x:c r="E2171" s="18" t="n">
        <x:v>712.71</x:v>
      </x:c>
      <x:c r="F2171" s="18" t="n">
        <x:v>8</x:v>
      </x:c>
      <x:c r="G2171" s="18" t="n">
        <x:v>3.21</x:v>
      </x:c>
      <x:c r="H2171" s="18" t="n">
        <x:v>0.58</x:v>
      </x:c>
      <x:c r="I2171" s="18" t="n">
        <x:v>11.79</x:v>
      </x:c>
      <x:c r="J2171" t="n">
        <x:f>IF(A2171=A2170,IFERROR(IF(B2171=EDATE(B2170,1),C2170,0),0),0)</x:f>
        <x:v>0</x:v>
      </x:c>
      <x:c r="K2171" t="n">
        <x:f>IF(AND(J2171=1,C2171=0),1,0)</x:f>
        <x:v>0</x:v>
      </x:c>
      <x:c r="L2171" t="str">
        <x:f>IFERROR(INDEX(Customers!$C$2:$C$451,MATCH(A2171,Customers!$A$2:$A$451,0)),"Unknown")</x:f>
        <x:v>Plus</x:v>
      </x:c>
    </x:row>
    <x:row r="2172">
      <x:c r="A2172" t="n">
        <x:v>399</x:v>
      </x:c>
      <x:c r="B2172" s="16" t="n">
        <x:v>46204</x:v>
      </x:c>
      <x:c r="C2172" t="n">
        <x:v>1</x:v>
      </x:c>
      <x:c r="D2172" t="n">
        <x:v>30</x:v>
      </x:c>
      <x:c r="E2172" s="18" t="n">
        <x:v>1166.66</x:v>
      </x:c>
      <x:c r="F2172" s="18" t="n">
        <x:v>8</x:v>
      </x:c>
      <x:c r="G2172" s="18" t="n">
        <x:v>5.25</x:v>
      </x:c>
      <x:c r="H2172" s="18" t="n">
        <x:v>1.22</x:v>
      </x:c>
      <x:c r="I2172" s="18" t="n">
        <x:v>14.47</x:v>
      </x:c>
      <x:c r="J2172" t="n">
        <x:f>IF(A2172=A2171,IFERROR(IF(B2172=EDATE(B2171,1),C2171,0),0),0)</x:f>
        <x:v>1</x:v>
      </x:c>
      <x:c r="K2172" t="n">
        <x:f>IF(AND(J2172=1,C2172=0),1,0)</x:f>
        <x:v>0</x:v>
      </x:c>
      <x:c r="L2172" t="str">
        <x:f>IFERROR(INDEX(Customers!$C$2:$C$451,MATCH(A2172,Customers!$A$2:$A$451,0)),"Unknown")</x:f>
        <x:v>Plus</x:v>
      </x:c>
    </x:row>
    <x:row r="2173">
      <x:c r="A2173" t="n">
        <x:v>399</x:v>
      </x:c>
      <x:c r="B2173" s="16" t="n">
        <x:v>46235</x:v>
      </x:c>
      <x:c r="C2173" t="n">
        <x:v>1</x:v>
      </x:c>
      <x:c r="D2173" t="n">
        <x:v>27</x:v>
      </x:c>
      <x:c r="E2173" s="18" t="n">
        <x:v>1778.97</x:v>
      </x:c>
      <x:c r="F2173" s="18" t="n">
        <x:v>8</x:v>
      </x:c>
      <x:c r="G2173" s="18" t="n">
        <x:v>8.01</x:v>
      </x:c>
      <x:c r="H2173" s="18" t="n">
        <x:v>5.59</x:v>
      </x:c>
      <x:c r="I2173" s="18" t="n">
        <x:v>21.6</x:v>
      </x:c>
      <x:c r="J2173" t="n">
        <x:f>IF(A2173=A2172,IFERROR(IF(B2173=EDATE(B2172,1),C2172,0),0),0)</x:f>
        <x:v>1</x:v>
      </x:c>
      <x:c r="K2173" t="n">
        <x:f>IF(AND(J2173=1,C2173=0),1,0)</x:f>
        <x:v>0</x:v>
      </x:c>
      <x:c r="L2173" t="str">
        <x:f>IFERROR(INDEX(Customers!$C$2:$C$451,MATCH(A2173,Customers!$A$2:$A$451,0)),"Unknown")</x:f>
        <x:v>Plus</x:v>
      </x:c>
    </x:row>
    <x:row r="2174">
      <x:c r="A2174" t="n">
        <x:v>399</x:v>
      </x:c>
      <x:c r="B2174" s="16" t="n">
        <x:v>46266</x:v>
      </x:c>
      <x:c r="C2174" t="n">
        <x:v>1</x:v>
      </x:c>
      <x:c r="D2174" t="n">
        <x:v>15</x:v>
      </x:c>
      <x:c r="E2174" s="18" t="n">
        <x:v>2002.23</x:v>
      </x:c>
      <x:c r="F2174" s="18" t="n">
        <x:v>8</x:v>
      </x:c>
      <x:c r="G2174" s="18" t="n">
        <x:v>9.01</x:v>
      </x:c>
      <x:c r="H2174" s="18" t="n">
        <x:v>4.03</x:v>
      </x:c>
      <x:c r="I2174" s="18" t="n">
        <x:v>21.04</x:v>
      </x:c>
      <x:c r="J2174" t="n">
        <x:f>IF(A2174=A2173,IFERROR(IF(B2174=EDATE(B2173,1),C2173,0),0),0)</x:f>
        <x:v>1</x:v>
      </x:c>
      <x:c r="K2174" t="n">
        <x:f>IF(AND(J2174=1,C2174=0),1,0)</x:f>
        <x:v>0</x:v>
      </x:c>
      <x:c r="L2174" t="str">
        <x:f>IFERROR(INDEX(Customers!$C$2:$C$451,MATCH(A2174,Customers!$A$2:$A$451,0)),"Unknown")</x:f>
        <x:v>Plus</x:v>
      </x:c>
    </x:row>
    <x:row r="2175">
      <x:c r="A2175" t="n">
        <x:v>400</x:v>
      </x:c>
      <x:c r="B2175" s="16" t="n">
        <x:v>46113</x:v>
      </x:c>
      <x:c r="C2175" t="n">
        <x:v>1</x:v>
      </x:c>
      <x:c r="D2175" t="n">
        <x:v>13</x:v>
      </x:c>
      <x:c r="E2175" s="18" t="n">
        <x:v>1068.78</x:v>
      </x:c>
      <x:c r="F2175" s="18" t="n">
        <x:v>0</x:v>
      </x:c>
      <x:c r="G2175" s="18" t="n">
        <x:v>4.81</x:v>
      </x:c>
      <x:c r="H2175" s="18" t="n">
        <x:v>2.74</x:v>
      </x:c>
      <x:c r="I2175" s="18" t="n">
        <x:v>7.55</x:v>
      </x:c>
      <x:c r="J2175" t="n">
        <x:f>IF(A2175=A2174,IFERROR(IF(B2175=EDATE(B2174,1),C2174,0),0),0)</x:f>
        <x:v>0</x:v>
      </x:c>
      <x:c r="K2175" t="n">
        <x:f>IF(AND(J2175=1,C2175=0),1,0)</x:f>
        <x:v>0</x:v>
      </x:c>
      <x:c r="L2175" t="str">
        <x:f>IFERROR(INDEX(Customers!$C$2:$C$451,MATCH(A2175,Customers!$A$2:$A$451,0)),"Unknown")</x:f>
        <x:v>Standard</x:v>
      </x:c>
    </x:row>
    <x:row r="2176">
      <x:c r="A2176" t="n">
        <x:v>400</x:v>
      </x:c>
      <x:c r="B2176" s="16" t="n">
        <x:v>46143</x:v>
      </x:c>
      <x:c r="C2176" t="n">
        <x:v>1</x:v>
      </x:c>
      <x:c r="D2176" t="n">
        <x:v>12</x:v>
      </x:c>
      <x:c r="E2176" s="18" t="n">
        <x:v>660.19</x:v>
      </x:c>
      <x:c r="F2176" s="18" t="n">
        <x:v>0</x:v>
      </x:c>
      <x:c r="G2176" s="18" t="n">
        <x:v>2.97</x:v>
      </x:c>
      <x:c r="H2176" s="18" t="n">
        <x:v>1.16</x:v>
      </x:c>
      <x:c r="I2176" s="18" t="n">
        <x:v>4.13</x:v>
      </x:c>
      <x:c r="J2176" t="n">
        <x:f>IF(A2176=A2175,IFERROR(IF(B2176=EDATE(B2175,1),C2175,0),0),0)</x:f>
        <x:v>1</x:v>
      </x:c>
      <x:c r="K2176" t="n">
        <x:f>IF(AND(J2176=1,C2176=0),1,0)</x:f>
        <x:v>0</x:v>
      </x:c>
      <x:c r="L2176" t="str">
        <x:f>IFERROR(INDEX(Customers!$C$2:$C$451,MATCH(A2176,Customers!$A$2:$A$451,0)),"Unknown")</x:f>
        <x:v>Standard</x:v>
      </x:c>
    </x:row>
    <x:row r="2177">
      <x:c r="A2177" t="n">
        <x:v>400</x:v>
      </x:c>
      <x:c r="B2177" s="16" t="n">
        <x:v>46174</x:v>
      </x:c>
      <x:c r="C2177" t="n">
        <x:v>1</x:v>
      </x:c>
      <x:c r="D2177" t="n">
        <x:v>24</x:v>
      </x:c>
      <x:c r="E2177" s="18" t="n">
        <x:v>2360.02</x:v>
      </x:c>
      <x:c r="F2177" s="18" t="n">
        <x:v>0</x:v>
      </x:c>
      <x:c r="G2177" s="18" t="n">
        <x:v>10.62</x:v>
      </x:c>
      <x:c r="H2177" s="18" t="n">
        <x:v>7.88</x:v>
      </x:c>
      <x:c r="I2177" s="18" t="n">
        <x:v>18.5</x:v>
      </x:c>
      <x:c r="J2177" t="n">
        <x:f>IF(A2177=A2176,IFERROR(IF(B2177=EDATE(B2176,1),C2176,0),0),0)</x:f>
        <x:v>1</x:v>
      </x:c>
      <x:c r="K2177" t="n">
        <x:f>IF(AND(J2177=1,C2177=0),1,0)</x:f>
        <x:v>0</x:v>
      </x:c>
      <x:c r="L2177" t="str">
        <x:f>IFERROR(INDEX(Customers!$C$2:$C$451,MATCH(A2177,Customers!$A$2:$A$451,0)),"Unknown")</x:f>
        <x:v>Standard</x:v>
      </x:c>
    </x:row>
    <x:row r="2178">
      <x:c r="A2178" t="n">
        <x:v>400</x:v>
      </x:c>
      <x:c r="B2178" s="16" t="n">
        <x:v>46204</x:v>
      </x:c>
      <x:c r="C2178" t="n">
        <x:v>1</x:v>
      </x:c>
      <x:c r="D2178" t="n">
        <x:v>14</x:v>
      </x:c>
      <x:c r="E2178" s="18" t="n">
        <x:v>1600.73</x:v>
      </x:c>
      <x:c r="F2178" s="18" t="n">
        <x:v>0</x:v>
      </x:c>
      <x:c r="G2178" s="18" t="n">
        <x:v>7.2</x:v>
      </x:c>
      <x:c r="H2178" s="18" t="n">
        <x:v>1.9</x:v>
      </x:c>
      <x:c r="I2178" s="18" t="n">
        <x:v>9.1</x:v>
      </x:c>
      <x:c r="J2178" t="n">
        <x:f>IF(A2178=A2177,IFERROR(IF(B2178=EDATE(B2177,1),C2177,0),0),0)</x:f>
        <x:v>1</x:v>
      </x:c>
      <x:c r="K2178" t="n">
        <x:f>IF(AND(J2178=1,C2178=0),1,0)</x:f>
        <x:v>0</x:v>
      </x:c>
      <x:c r="L2178" t="str">
        <x:f>IFERROR(INDEX(Customers!$C$2:$C$451,MATCH(A2178,Customers!$A$2:$A$451,0)),"Unknown")</x:f>
        <x:v>Standard</x:v>
      </x:c>
    </x:row>
    <x:row r="2179">
      <x:c r="A2179" t="n">
        <x:v>400</x:v>
      </x:c>
      <x:c r="B2179" s="16" t="n">
        <x:v>46235</x:v>
      </x:c>
      <x:c r="C2179" t="n">
        <x:v>1</x:v>
      </x:c>
      <x:c r="D2179" t="n">
        <x:v>6</x:v>
      </x:c>
      <x:c r="E2179" s="18" t="n">
        <x:v>225.99</x:v>
      </x:c>
      <x:c r="F2179" s="18" t="n">
        <x:v>0</x:v>
      </x:c>
      <x:c r="G2179" s="18" t="n">
        <x:v>1.02</x:v>
      </x:c>
      <x:c r="H2179" s="18" t="n">
        <x:v>0.55</x:v>
      </x:c>
      <x:c r="I2179" s="18" t="n">
        <x:v>1.57</x:v>
      </x:c>
      <x:c r="J2179" t="n">
        <x:f>IF(A2179=A2178,IFERROR(IF(B2179=EDATE(B2178,1),C2178,0),0),0)</x:f>
        <x:v>1</x:v>
      </x:c>
      <x:c r="K2179" t="n">
        <x:f>IF(AND(J2179=1,C2179=0),1,0)</x:f>
        <x:v>0</x:v>
      </x:c>
      <x:c r="L2179" t="str">
        <x:f>IFERROR(INDEX(Customers!$C$2:$C$451,MATCH(A2179,Customers!$A$2:$A$451,0)),"Unknown")</x:f>
        <x:v>Standard</x:v>
      </x:c>
    </x:row>
    <x:row r="2180">
      <x:c r="A2180" t="n">
        <x:v>400</x:v>
      </x:c>
      <x:c r="B2180" s="16" t="n">
        <x:v>46266</x:v>
      </x:c>
      <x:c r="C2180" t="n">
        <x:v>0</x:v>
      </x:c>
      <x:c r="D2180" t="n">
        <x:v>0</x:v>
      </x:c>
      <x:c r="E2180" s="18" t="n">
        <x:v>0</x:v>
      </x:c>
      <x:c r="F2180" s="18" t="n">
        <x:v>0</x:v>
      </x:c>
      <x:c r="G2180" s="18" t="n">
        <x:v>0</x:v>
      </x:c>
      <x:c r="H2180" s="18" t="n">
        <x:v>0</x:v>
      </x:c>
      <x:c r="I2180" s="18" t="n">
        <x:v>0</x:v>
      </x:c>
      <x:c r="J2180" t="n">
        <x:f>IF(A2180=A2179,IFERROR(IF(B2180=EDATE(B2179,1),C2179,0),0),0)</x:f>
        <x:v>1</x:v>
      </x:c>
      <x:c r="K2180" t="n">
        <x:f>IF(AND(J2180=1,C2180=0),1,0)</x:f>
        <x:v>1</x:v>
      </x:c>
      <x:c r="L2180" t="str">
        <x:f>IFERROR(INDEX(Customers!$C$2:$C$451,MATCH(A2180,Customers!$A$2:$A$451,0)),"Unknown")</x:f>
        <x:v>Standard</x:v>
      </x:c>
    </x:row>
    <x:row r="2181">
      <x:c r="A2181" t="n">
        <x:v>401</x:v>
      </x:c>
      <x:c r="B2181" s="16" t="n">
        <x:v>46113</x:v>
      </x:c>
      <x:c r="C2181" t="n">
        <x:v>1</x:v>
      </x:c>
      <x:c r="D2181" t="n">
        <x:v>28</x:v>
      </x:c>
      <x:c r="E2181" s="18" t="n">
        <x:v>2564.21</x:v>
      </x:c>
      <x:c r="F2181" s="18" t="n">
        <x:v>0</x:v>
      </x:c>
      <x:c r="G2181" s="18" t="n">
        <x:v>11.54</x:v>
      </x:c>
      <x:c r="H2181" s="18" t="n">
        <x:v>8.49</x:v>
      </x:c>
      <x:c r="I2181" s="18" t="n">
        <x:v>20.03</x:v>
      </x:c>
      <x:c r="J2181" t="n">
        <x:f>IF(A2181=A2180,IFERROR(IF(B2181=EDATE(B2180,1),C2180,0),0),0)</x:f>
        <x:v>0</x:v>
      </x:c>
      <x:c r="K2181" t="n">
        <x:f>IF(AND(J2181=1,C2181=0),1,0)</x:f>
        <x:v>0</x:v>
      </x:c>
      <x:c r="L2181" t="str">
        <x:f>IFERROR(INDEX(Customers!$C$2:$C$451,MATCH(A2181,Customers!$A$2:$A$451,0)),"Unknown")</x:f>
        <x:v>Standard</x:v>
      </x:c>
    </x:row>
    <x:row r="2182">
      <x:c r="A2182" t="n">
        <x:v>401</x:v>
      </x:c>
      <x:c r="B2182" s="16" t="n">
        <x:v>46143</x:v>
      </x:c>
      <x:c r="C2182" t="n">
        <x:v>1</x:v>
      </x:c>
      <x:c r="D2182" t="n">
        <x:v>35</x:v>
      </x:c>
      <x:c r="E2182" s="18" t="n">
        <x:v>3733.01</x:v>
      </x:c>
      <x:c r="F2182" s="18" t="n">
        <x:v>0</x:v>
      </x:c>
      <x:c r="G2182" s="18" t="n">
        <x:v>16.8</x:v>
      </x:c>
      <x:c r="H2182" s="18" t="n">
        <x:v>7.4</x:v>
      </x:c>
      <x:c r="I2182" s="18" t="n">
        <x:v>24.2</x:v>
      </x:c>
      <x:c r="J2182" t="n">
        <x:f>IF(A2182=A2181,IFERROR(IF(B2182=EDATE(B2181,1),C2181,0),0),0)</x:f>
        <x:v>1</x:v>
      </x:c>
      <x:c r="K2182" t="n">
        <x:f>IF(AND(J2182=1,C2182=0),1,0)</x:f>
        <x:v>0</x:v>
      </x:c>
      <x:c r="L2182" t="str">
        <x:f>IFERROR(INDEX(Customers!$C$2:$C$451,MATCH(A2182,Customers!$A$2:$A$451,0)),"Unknown")</x:f>
        <x:v>Standard</x:v>
      </x:c>
    </x:row>
    <x:row r="2183">
      <x:c r="A2183" t="n">
        <x:v>401</x:v>
      </x:c>
      <x:c r="B2183" s="16" t="n">
        <x:v>46174</x:v>
      </x:c>
      <x:c r="C2183" t="n">
        <x:v>1</x:v>
      </x:c>
      <x:c r="D2183" t="n">
        <x:v>24</x:v>
      </x:c>
      <x:c r="E2183" s="18" t="n">
        <x:v>2229.07</x:v>
      </x:c>
      <x:c r="F2183" s="18" t="n">
        <x:v>0</x:v>
      </x:c>
      <x:c r="G2183" s="18" t="n">
        <x:v>10.03</x:v>
      </x:c>
      <x:c r="H2183" s="18" t="n">
        <x:v>4.5</x:v>
      </x:c>
      <x:c r="I2183" s="18" t="n">
        <x:v>14.53</x:v>
      </x:c>
      <x:c r="J2183" t="n">
        <x:f>IF(A2183=A2182,IFERROR(IF(B2183=EDATE(B2182,1),C2182,0),0),0)</x:f>
        <x:v>1</x:v>
      </x:c>
      <x:c r="K2183" t="n">
        <x:f>IF(AND(J2183=1,C2183=0),1,0)</x:f>
        <x:v>0</x:v>
      </x:c>
      <x:c r="L2183" t="str">
        <x:f>IFERROR(INDEX(Customers!$C$2:$C$451,MATCH(A2183,Customers!$A$2:$A$451,0)),"Unknown")</x:f>
        <x:v>Standard</x:v>
      </x:c>
    </x:row>
    <x:row r="2184">
      <x:c r="A2184" t="n">
        <x:v>401</x:v>
      </x:c>
      <x:c r="B2184" s="16" t="n">
        <x:v>46204</x:v>
      </x:c>
      <x:c r="C2184" t="n">
        <x:v>0</x:v>
      </x:c>
      <x:c r="D2184" t="n">
        <x:v>0</x:v>
      </x:c>
      <x:c r="E2184" s="18" t="n">
        <x:v>0</x:v>
      </x:c>
      <x:c r="F2184" s="18" t="n">
        <x:v>0</x:v>
      </x:c>
      <x:c r="G2184" s="18" t="n">
        <x:v>0</x:v>
      </x:c>
      <x:c r="H2184" s="18" t="n">
        <x:v>0</x:v>
      </x:c>
      <x:c r="I2184" s="18" t="n">
        <x:v>0</x:v>
      </x:c>
      <x:c r="J2184" t="n">
        <x:f>IF(A2184=A2183,IFERROR(IF(B2184=EDATE(B2183,1),C2183,0),0),0)</x:f>
        <x:v>1</x:v>
      </x:c>
      <x:c r="K2184" t="n">
        <x:f>IF(AND(J2184=1,C2184=0),1,0)</x:f>
        <x:v>1</x:v>
      </x:c>
      <x:c r="L2184" t="str">
        <x:f>IFERROR(INDEX(Customers!$C$2:$C$451,MATCH(A2184,Customers!$A$2:$A$451,0)),"Unknown")</x:f>
        <x:v>Standard</x:v>
      </x:c>
    </x:row>
    <x:row r="2185">
      <x:c r="A2185" t="n">
        <x:v>401</x:v>
      </x:c>
      <x:c r="B2185" s="16" t="n">
        <x:v>46235</x:v>
      </x:c>
      <x:c r="C2185" t="n">
        <x:v>0</x:v>
      </x:c>
      <x:c r="D2185" t="n">
        <x:v>0</x:v>
      </x:c>
      <x:c r="E2185" s="18" t="n">
        <x:v>0</x:v>
      </x:c>
      <x:c r="F2185" s="18" t="n">
        <x:v>0</x:v>
      </x:c>
      <x:c r="G2185" s="18" t="n">
        <x:v>0</x:v>
      </x:c>
      <x:c r="H2185" s="18" t="n">
        <x:v>0</x:v>
      </x:c>
      <x:c r="I2185" s="18" t="n">
        <x:v>0</x:v>
      </x:c>
      <x:c r="J2185" t="n">
        <x:f>IF(A2185=A2184,IFERROR(IF(B2185=EDATE(B2184,1),C2184,0),0),0)</x:f>
        <x:v>0</x:v>
      </x:c>
      <x:c r="K2185" t="n">
        <x:f>IF(AND(J2185=1,C2185=0),1,0)</x:f>
        <x:v>0</x:v>
      </x:c>
      <x:c r="L2185" t="str">
        <x:f>IFERROR(INDEX(Customers!$C$2:$C$451,MATCH(A2185,Customers!$A$2:$A$451,0)),"Unknown")</x:f>
        <x:v>Standard</x:v>
      </x:c>
    </x:row>
    <x:row r="2186">
      <x:c r="A2186" t="n">
        <x:v>401</x:v>
      </x:c>
      <x:c r="B2186" s="16" t="n">
        <x:v>46266</x:v>
      </x:c>
      <x:c r="C2186" t="n">
        <x:v>1</x:v>
      </x:c>
      <x:c r="D2186" t="n">
        <x:v>35</x:v>
      </x:c>
      <x:c r="E2186" s="18" t="n">
        <x:v>3922.53</x:v>
      </x:c>
      <x:c r="F2186" s="18" t="n">
        <x:v>0</x:v>
      </x:c>
      <x:c r="G2186" s="18" t="n">
        <x:v>17.65</x:v>
      </x:c>
      <x:c r="H2186" s="18" t="n">
        <x:v>4.93</x:v>
      </x:c>
      <x:c r="I2186" s="18" t="n">
        <x:v>22.58</x:v>
      </x:c>
      <x:c r="J2186" t="n">
        <x:f>IF(A2186=A2185,IFERROR(IF(B2186=EDATE(B2185,1),C2185,0),0),0)</x:f>
        <x:v>0</x:v>
      </x:c>
      <x:c r="K2186" t="n">
        <x:f>IF(AND(J2186=1,C2186=0),1,0)</x:f>
        <x:v>0</x:v>
      </x:c>
      <x:c r="L2186" t="str">
        <x:f>IFERROR(INDEX(Customers!$C$2:$C$451,MATCH(A2186,Customers!$A$2:$A$451,0)),"Unknown")</x:f>
        <x:v>Standard</x:v>
      </x:c>
    </x:row>
    <x:row r="2187">
      <x:c r="A2187" t="n">
        <x:v>402</x:v>
      </x:c>
      <x:c r="B2187" s="16" t="n">
        <x:v>46143</x:v>
      </x:c>
      <x:c r="C2187" t="n">
        <x:v>1</x:v>
      </x:c>
      <x:c r="D2187" t="n">
        <x:v>27</x:v>
      </x:c>
      <x:c r="E2187" s="18" t="n">
        <x:v>1949.81</x:v>
      </x:c>
      <x:c r="F2187" s="18" t="n">
        <x:v>34</x:v>
      </x:c>
      <x:c r="G2187" s="18" t="n">
        <x:v>8.77</x:v>
      </x:c>
      <x:c r="H2187" s="18" t="n">
        <x:v>2.31</x:v>
      </x:c>
      <x:c r="I2187" s="18" t="n">
        <x:v>45.08</x:v>
      </x:c>
      <x:c r="J2187" t="n">
        <x:f>IF(A2187=A2186,IFERROR(IF(B2187=EDATE(B2186,1),C2186,0),0),0)</x:f>
        <x:v>0</x:v>
      </x:c>
      <x:c r="K2187" t="n">
        <x:f>IF(AND(J2187=1,C2187=0),1,0)</x:f>
        <x:v>0</x:v>
      </x:c>
      <x:c r="L2187" t="str">
        <x:f>IFERROR(INDEX(Customers!$C$2:$C$451,MATCH(A2187,Customers!$A$2:$A$451,0)),"Unknown")</x:f>
        <x:v>Metal</x:v>
      </x:c>
    </x:row>
    <x:row r="2188">
      <x:c r="A2188" t="n">
        <x:v>402</x:v>
      </x:c>
      <x:c r="B2188" s="16" t="n">
        <x:v>46174</x:v>
      </x:c>
      <x:c r="C2188" t="n">
        <x:v>1</x:v>
      </x:c>
      <x:c r="D2188" t="n">
        <x:v>21</x:v>
      </x:c>
      <x:c r="E2188" s="18" t="n">
        <x:v>891.16</x:v>
      </x:c>
      <x:c r="F2188" s="18" t="n">
        <x:v>34</x:v>
      </x:c>
      <x:c r="G2188" s="18" t="n">
        <x:v>4.01</x:v>
      </x:c>
      <x:c r="H2188" s="18" t="n">
        <x:v>2.37</x:v>
      </x:c>
      <x:c r="I2188" s="18" t="n">
        <x:v>40.38</x:v>
      </x:c>
      <x:c r="J2188" t="n">
        <x:f>IF(A2188=A2187,IFERROR(IF(B2188=EDATE(B2187,1),C2187,0),0),0)</x:f>
        <x:v>1</x:v>
      </x:c>
      <x:c r="K2188" t="n">
        <x:f>IF(AND(J2188=1,C2188=0),1,0)</x:f>
        <x:v>0</x:v>
      </x:c>
      <x:c r="L2188" t="str">
        <x:f>IFERROR(INDEX(Customers!$C$2:$C$451,MATCH(A2188,Customers!$A$2:$A$451,0)),"Unknown")</x:f>
        <x:v>Metal</x:v>
      </x:c>
    </x:row>
    <x:row r="2189">
      <x:c r="A2189" t="n">
        <x:v>402</x:v>
      </x:c>
      <x:c r="B2189" s="16" t="n">
        <x:v>46204</x:v>
      </x:c>
      <x:c r="C2189" t="n">
        <x:v>1</x:v>
      </x:c>
      <x:c r="D2189" t="n">
        <x:v>35</x:v>
      </x:c>
      <x:c r="E2189" s="18" t="n">
        <x:v>1284.02</x:v>
      </x:c>
      <x:c r="F2189" s="18" t="n">
        <x:v>34</x:v>
      </x:c>
      <x:c r="G2189" s="18" t="n">
        <x:v>5.78</x:v>
      </x:c>
      <x:c r="H2189" s="18" t="n">
        <x:v>1.53</x:v>
      </x:c>
      <x:c r="I2189" s="18" t="n">
        <x:v>41.31</x:v>
      </x:c>
      <x:c r="J2189" t="n">
        <x:f>IF(A2189=A2188,IFERROR(IF(B2189=EDATE(B2188,1),C2188,0),0),0)</x:f>
        <x:v>1</x:v>
      </x:c>
      <x:c r="K2189" t="n">
        <x:f>IF(AND(J2189=1,C2189=0),1,0)</x:f>
        <x:v>0</x:v>
      </x:c>
      <x:c r="L2189" t="str">
        <x:f>IFERROR(INDEX(Customers!$C$2:$C$451,MATCH(A2189,Customers!$A$2:$A$451,0)),"Unknown")</x:f>
        <x:v>Metal</x:v>
      </x:c>
    </x:row>
    <x:row r="2190">
      <x:c r="A2190" t="n">
        <x:v>402</x:v>
      </x:c>
      <x:c r="B2190" s="16" t="n">
        <x:v>46235</x:v>
      </x:c>
      <x:c r="C2190" t="n">
        <x:v>1</x:v>
      </x:c>
      <x:c r="D2190" t="n">
        <x:v>13</x:v>
      </x:c>
      <x:c r="E2190" s="18" t="n">
        <x:v>1296.43</x:v>
      </x:c>
      <x:c r="F2190" s="18" t="n">
        <x:v>34</x:v>
      </x:c>
      <x:c r="G2190" s="18" t="n">
        <x:v>5.83</x:v>
      </x:c>
      <x:c r="H2190" s="18" t="n">
        <x:v>2.99</x:v>
      </x:c>
      <x:c r="I2190" s="18" t="n">
        <x:v>42.82</x:v>
      </x:c>
      <x:c r="J2190" t="n">
        <x:f>IF(A2190=A2189,IFERROR(IF(B2190=EDATE(B2189,1),C2189,0),0),0)</x:f>
        <x:v>1</x:v>
      </x:c>
      <x:c r="K2190" t="n">
        <x:f>IF(AND(J2190=1,C2190=0),1,0)</x:f>
        <x:v>0</x:v>
      </x:c>
      <x:c r="L2190" t="str">
        <x:f>IFERROR(INDEX(Customers!$C$2:$C$451,MATCH(A2190,Customers!$A$2:$A$451,0)),"Unknown")</x:f>
        <x:v>Metal</x:v>
      </x:c>
    </x:row>
    <x:row r="2191">
      <x:c r="A2191" t="n">
        <x:v>402</x:v>
      </x:c>
      <x:c r="B2191" s="16" t="n">
        <x:v>46266</x:v>
      </x:c>
      <x:c r="C2191" t="n">
        <x:v>0</x:v>
      </x:c>
      <x:c r="D2191" t="n">
        <x:v>0</x:v>
      </x:c>
      <x:c r="E2191" s="18" t="n">
        <x:v>0</x:v>
      </x:c>
      <x:c r="F2191" s="18" t="n">
        <x:v>0</x:v>
      </x:c>
      <x:c r="G2191" s="18" t="n">
        <x:v>0</x:v>
      </x:c>
      <x:c r="H2191" s="18" t="n">
        <x:v>0</x:v>
      </x:c>
      <x:c r="I2191" s="18" t="n">
        <x:v>0</x:v>
      </x:c>
      <x:c r="J2191" t="n">
        <x:f>IF(A2191=A2190,IFERROR(IF(B2191=EDATE(B2190,1),C2190,0),0),0)</x:f>
        <x:v>1</x:v>
      </x:c>
      <x:c r="K2191" t="n">
        <x:f>IF(AND(J2191=1,C2191=0),1,0)</x:f>
        <x:v>1</x:v>
      </x:c>
      <x:c r="L2191" t="str">
        <x:f>IFERROR(INDEX(Customers!$C$2:$C$451,MATCH(A2191,Customers!$A$2:$A$451,0)),"Unknown")</x:f>
        <x:v>Metal</x:v>
      </x:c>
    </x:row>
    <x:row r="2192">
      <x:c r="A2192" t="n">
        <x:v>403</x:v>
      </x:c>
      <x:c r="B2192" s="16" t="n">
        <x:v>46113</x:v>
      </x:c>
      <x:c r="C2192" t="n">
        <x:v>0</x:v>
      </x:c>
      <x:c r="D2192" t="n">
        <x:v>0</x:v>
      </x:c>
      <x:c r="E2192" s="18" t="n">
        <x:v>0</x:v>
      </x:c>
      <x:c r="F2192" s="18" t="n">
        <x:v>0</x:v>
      </x:c>
      <x:c r="G2192" s="18" t="n">
        <x:v>0</x:v>
      </x:c>
      <x:c r="H2192" s="18" t="n">
        <x:v>0</x:v>
      </x:c>
      <x:c r="I2192" s="18" t="n">
        <x:v>0</x:v>
      </x:c>
      <x:c r="J2192" t="n">
        <x:f>IF(A2192=A2191,IFERROR(IF(B2192=EDATE(B2191,1),C2191,0),0),0)</x:f>
        <x:v>0</x:v>
      </x:c>
      <x:c r="K2192" t="n">
        <x:f>IF(AND(J2192=1,C2192=0),1,0)</x:f>
        <x:v>0</x:v>
      </x:c>
      <x:c r="L2192" t="str">
        <x:f>IFERROR(INDEX(Customers!$C$2:$C$451,MATCH(A2192,Customers!$A$2:$A$451,0)),"Unknown")</x:f>
        <x:v>Premium</x:v>
      </x:c>
    </x:row>
    <x:row r="2193">
      <x:c r="A2193" t="n">
        <x:v>403</x:v>
      </x:c>
      <x:c r="B2193" s="16" t="n">
        <x:v>46143</x:v>
      </x:c>
      <x:c r="C2193" t="n">
        <x:v>1</x:v>
      </x:c>
      <x:c r="D2193" t="n">
        <x:v>23</x:v>
      </x:c>
      <x:c r="E2193" s="18" t="n">
        <x:v>3018.88</x:v>
      </x:c>
      <x:c r="F2193" s="18" t="n">
        <x:v>17</x:v>
      </x:c>
      <x:c r="G2193" s="18" t="n">
        <x:v>13.58</x:v>
      </x:c>
      <x:c r="H2193" s="18" t="n">
        <x:v>8.26</x:v>
      </x:c>
      <x:c r="I2193" s="18" t="n">
        <x:v>38.84</x:v>
      </x:c>
      <x:c r="J2193" t="n">
        <x:f>IF(A2193=A2192,IFERROR(IF(B2193=EDATE(B2192,1),C2192,0),0),0)</x:f>
        <x:v>0</x:v>
      </x:c>
      <x:c r="K2193" t="n">
        <x:f>IF(AND(J2193=1,C2193=0),1,0)</x:f>
        <x:v>0</x:v>
      </x:c>
      <x:c r="L2193" t="str">
        <x:f>IFERROR(INDEX(Customers!$C$2:$C$451,MATCH(A2193,Customers!$A$2:$A$451,0)),"Unknown")</x:f>
        <x:v>Premium</x:v>
      </x:c>
    </x:row>
    <x:row r="2194">
      <x:c r="A2194" t="n">
        <x:v>403</x:v>
      </x:c>
      <x:c r="B2194" s="16" t="n">
        <x:v>46174</x:v>
      </x:c>
      <x:c r="C2194" t="n">
        <x:v>0</x:v>
      </x:c>
      <x:c r="D2194" t="n">
        <x:v>0</x:v>
      </x:c>
      <x:c r="E2194" s="18" t="n">
        <x:v>0</x:v>
      </x:c>
      <x:c r="F2194" s="18" t="n">
        <x:v>0</x:v>
      </x:c>
      <x:c r="G2194" s="18" t="n">
        <x:v>0</x:v>
      </x:c>
      <x:c r="H2194" s="18" t="n">
        <x:v>0</x:v>
      </x:c>
      <x:c r="I2194" s="18" t="n">
        <x:v>0</x:v>
      </x:c>
      <x:c r="J2194" t="n">
        <x:f>IF(A2194=A2193,IFERROR(IF(B2194=EDATE(B2193,1),C2193,0),0),0)</x:f>
        <x:v>1</x:v>
      </x:c>
      <x:c r="K2194" t="n">
        <x:f>IF(AND(J2194=1,C2194=0),1,0)</x:f>
        <x:v>1</x:v>
      </x:c>
      <x:c r="L2194" t="str">
        <x:f>IFERROR(INDEX(Customers!$C$2:$C$451,MATCH(A2194,Customers!$A$2:$A$451,0)),"Unknown")</x:f>
        <x:v>Premium</x:v>
      </x:c>
    </x:row>
    <x:row r="2195">
      <x:c r="A2195" t="n">
        <x:v>403</x:v>
      </x:c>
      <x:c r="B2195" s="16" t="n">
        <x:v>46204</x:v>
      </x:c>
      <x:c r="C2195" t="n">
        <x:v>1</x:v>
      </x:c>
      <x:c r="D2195" t="n">
        <x:v>22</x:v>
      </x:c>
      <x:c r="E2195" s="18" t="n">
        <x:v>2973.66</x:v>
      </x:c>
      <x:c r="F2195" s="18" t="n">
        <x:v>17</x:v>
      </x:c>
      <x:c r="G2195" s="18" t="n">
        <x:v>13.38</x:v>
      </x:c>
      <x:c r="H2195" s="18" t="n">
        <x:v>5.72</x:v>
      </x:c>
      <x:c r="I2195" s="18" t="n">
        <x:v>36.1</x:v>
      </x:c>
      <x:c r="J2195" t="n">
        <x:f>IF(A2195=A2194,IFERROR(IF(B2195=EDATE(B2194,1),C2194,0),0),0)</x:f>
        <x:v>0</x:v>
      </x:c>
      <x:c r="K2195" t="n">
        <x:f>IF(AND(J2195=1,C2195=0),1,0)</x:f>
        <x:v>0</x:v>
      </x:c>
      <x:c r="L2195" t="str">
        <x:f>IFERROR(INDEX(Customers!$C$2:$C$451,MATCH(A2195,Customers!$A$2:$A$451,0)),"Unknown")</x:f>
        <x:v>Premium</x:v>
      </x:c>
    </x:row>
    <x:row r="2196">
      <x:c r="A2196" t="n">
        <x:v>403</x:v>
      </x:c>
      <x:c r="B2196" s="16" t="n">
        <x:v>46235</x:v>
      </x:c>
      <x:c r="C2196" t="n">
        <x:v>1</x:v>
      </x:c>
      <x:c r="D2196" t="n">
        <x:v>27</x:v>
      </x:c>
      <x:c r="E2196" s="18" t="n">
        <x:v>1358.44</x:v>
      </x:c>
      <x:c r="F2196" s="18" t="n">
        <x:v>17</x:v>
      </x:c>
      <x:c r="G2196" s="18" t="n">
        <x:v>6.11</x:v>
      </x:c>
      <x:c r="H2196" s="18" t="n">
        <x:v>3.8</x:v>
      </x:c>
      <x:c r="I2196" s="18" t="n">
        <x:v>26.91</x:v>
      </x:c>
      <x:c r="J2196" t="n">
        <x:f>IF(A2196=A2195,IFERROR(IF(B2196=EDATE(B2195,1),C2195,0),0),0)</x:f>
        <x:v>1</x:v>
      </x:c>
      <x:c r="K2196" t="n">
        <x:f>IF(AND(J2196=1,C2196=0),1,0)</x:f>
        <x:v>0</x:v>
      </x:c>
      <x:c r="L2196" t="str">
        <x:f>IFERROR(INDEX(Customers!$C$2:$C$451,MATCH(A2196,Customers!$A$2:$A$451,0)),"Unknown")</x:f>
        <x:v>Premium</x:v>
      </x:c>
    </x:row>
    <x:row r="2197">
      <x:c r="A2197" t="n">
        <x:v>403</x:v>
      </x:c>
      <x:c r="B2197" s="16" t="n">
        <x:v>46266</x:v>
      </x:c>
      <x:c r="C2197" t="n">
        <x:v>1</x:v>
      </x:c>
      <x:c r="D2197" t="n">
        <x:v>22</x:v>
      </x:c>
      <x:c r="E2197" s="18" t="n">
        <x:v>1133.89</x:v>
      </x:c>
      <x:c r="F2197" s="18" t="n">
        <x:v>17</x:v>
      </x:c>
      <x:c r="G2197" s="18" t="n">
        <x:v>5.1</x:v>
      </x:c>
      <x:c r="H2197" s="18" t="n">
        <x:v>1.95</x:v>
      </x:c>
      <x:c r="I2197" s="18" t="n">
        <x:v>24.05</x:v>
      </x:c>
      <x:c r="J2197" t="n">
        <x:f>IF(A2197=A2196,IFERROR(IF(B2197=EDATE(B2196,1),C2196,0),0),0)</x:f>
        <x:v>1</x:v>
      </x:c>
      <x:c r="K2197" t="n">
        <x:f>IF(AND(J2197=1,C2197=0),1,0)</x:f>
        <x:v>0</x:v>
      </x:c>
      <x:c r="L2197" t="str">
        <x:f>IFERROR(INDEX(Customers!$C$2:$C$451,MATCH(A2197,Customers!$A$2:$A$451,0)),"Unknown")</x:f>
        <x:v>Premium</x:v>
      </x:c>
    </x:row>
    <x:row r="2198">
      <x:c r="A2198" t="n">
        <x:v>404</x:v>
      </x:c>
      <x:c r="B2198" s="16" t="n">
        <x:v>46113</x:v>
      </x:c>
      <x:c r="C2198" t="n">
        <x:v>1</x:v>
      </x:c>
      <x:c r="D2198" t="n">
        <x:v>13</x:v>
      </x:c>
      <x:c r="E2198" s="18" t="n">
        <x:v>576.26</x:v>
      </x:c>
      <x:c r="F2198" s="18" t="n">
        <x:v>8</x:v>
      </x:c>
      <x:c r="G2198" s="18" t="n">
        <x:v>2.59</x:v>
      </x:c>
      <x:c r="H2198" s="18" t="n">
        <x:v>2.06</x:v>
      </x:c>
      <x:c r="I2198" s="18" t="n">
        <x:v>12.65</x:v>
      </x:c>
      <x:c r="J2198" t="n">
        <x:f>IF(A2198=A2197,IFERROR(IF(B2198=EDATE(B2197,1),C2197,0),0),0)</x:f>
        <x:v>0</x:v>
      </x:c>
      <x:c r="K2198" t="n">
        <x:f>IF(AND(J2198=1,C2198=0),1,0)</x:f>
        <x:v>0</x:v>
      </x:c>
      <x:c r="L2198" t="str">
        <x:f>IFERROR(INDEX(Customers!$C$2:$C$451,MATCH(A2198,Customers!$A$2:$A$451,0)),"Unknown")</x:f>
        <x:v>Plus</x:v>
      </x:c>
    </x:row>
    <x:row r="2199">
      <x:c r="A2199" t="n">
        <x:v>404</x:v>
      </x:c>
      <x:c r="B2199" s="16" t="n">
        <x:v>46143</x:v>
      </x:c>
      <x:c r="C2199" t="n">
        <x:v>1</x:v>
      </x:c>
      <x:c r="D2199" t="n">
        <x:v>36</x:v>
      </x:c>
      <x:c r="E2199" s="18" t="n">
        <x:v>4682.41</x:v>
      </x:c>
      <x:c r="F2199" s="18" t="n">
        <x:v>8</x:v>
      </x:c>
      <x:c r="G2199" s="18" t="n">
        <x:v>21.07</x:v>
      </x:c>
      <x:c r="H2199" s="18" t="n">
        <x:v>6.06</x:v>
      </x:c>
      <x:c r="I2199" s="18" t="n">
        <x:v>35.13</x:v>
      </x:c>
      <x:c r="J2199" t="n">
        <x:f>IF(A2199=A2198,IFERROR(IF(B2199=EDATE(B2198,1),C2198,0),0),0)</x:f>
        <x:v>1</x:v>
      </x:c>
      <x:c r="K2199" t="n">
        <x:f>IF(AND(J2199=1,C2199=0),1,0)</x:f>
        <x:v>0</x:v>
      </x:c>
      <x:c r="L2199" t="str">
        <x:f>IFERROR(INDEX(Customers!$C$2:$C$451,MATCH(A2199,Customers!$A$2:$A$451,0)),"Unknown")</x:f>
        <x:v>Plus</x:v>
      </x:c>
    </x:row>
    <x:row r="2200">
      <x:c r="A2200" t="n">
        <x:v>404</x:v>
      </x:c>
      <x:c r="B2200" s="16" t="n">
        <x:v>46174</x:v>
      </x:c>
      <x:c r="C2200" t="n">
        <x:v>1</x:v>
      </x:c>
      <x:c r="D2200" t="n">
        <x:v>22</x:v>
      </x:c>
      <x:c r="E2200" s="18" t="n">
        <x:v>908.52</x:v>
      </x:c>
      <x:c r="F2200" s="18" t="n">
        <x:v>8</x:v>
      </x:c>
      <x:c r="G2200" s="18" t="n">
        <x:v>4.09</x:v>
      </x:c>
      <x:c r="H2200" s="18" t="n">
        <x:v>2.93</x:v>
      </x:c>
      <x:c r="I2200" s="18" t="n">
        <x:v>15.02</x:v>
      </x:c>
      <x:c r="J2200" t="n">
        <x:f>IF(A2200=A2199,IFERROR(IF(B2200=EDATE(B2199,1),C2199,0),0),0)</x:f>
        <x:v>1</x:v>
      </x:c>
      <x:c r="K2200" t="n">
        <x:f>IF(AND(J2200=1,C2200=0),1,0)</x:f>
        <x:v>0</x:v>
      </x:c>
      <x:c r="L2200" t="str">
        <x:f>IFERROR(INDEX(Customers!$C$2:$C$451,MATCH(A2200,Customers!$A$2:$A$451,0)),"Unknown")</x:f>
        <x:v>Plus</x:v>
      </x:c>
    </x:row>
    <x:row r="2201">
      <x:c r="A2201" t="n">
        <x:v>404</x:v>
      </x:c>
      <x:c r="B2201" s="16" t="n">
        <x:v>46204</x:v>
      </x:c>
      <x:c r="C2201" t="n">
        <x:v>1</x:v>
      </x:c>
      <x:c r="D2201" t="n">
        <x:v>36</x:v>
      </x:c>
      <x:c r="E2201" s="18" t="n">
        <x:v>3487.11</x:v>
      </x:c>
      <x:c r="F2201" s="18" t="n">
        <x:v>8</x:v>
      </x:c>
      <x:c r="G2201" s="18" t="n">
        <x:v>15.69</x:v>
      </x:c>
      <x:c r="H2201" s="18" t="n">
        <x:v>12.73</x:v>
      </x:c>
      <x:c r="I2201" s="18" t="n">
        <x:v>36.42</x:v>
      </x:c>
      <x:c r="J2201" t="n">
        <x:f>IF(A2201=A2200,IFERROR(IF(B2201=EDATE(B2200,1),C2200,0),0),0)</x:f>
        <x:v>1</x:v>
      </x:c>
      <x:c r="K2201" t="n">
        <x:f>IF(AND(J2201=1,C2201=0),1,0)</x:f>
        <x:v>0</x:v>
      </x:c>
      <x:c r="L2201" t="str">
        <x:f>IFERROR(INDEX(Customers!$C$2:$C$451,MATCH(A2201,Customers!$A$2:$A$451,0)),"Unknown")</x:f>
        <x:v>Plus</x:v>
      </x:c>
    </x:row>
    <x:row r="2202">
      <x:c r="A2202" t="n">
        <x:v>404</x:v>
      </x:c>
      <x:c r="B2202" s="16" t="n">
        <x:v>46235</x:v>
      </x:c>
      <x:c r="C2202" t="n">
        <x:v>1</x:v>
      </x:c>
      <x:c r="D2202" t="n">
        <x:v>10</x:v>
      </x:c>
      <x:c r="E2202" s="18" t="n">
        <x:v>677.06</x:v>
      </x:c>
      <x:c r="F2202" s="18" t="n">
        <x:v>8</x:v>
      </x:c>
      <x:c r="G2202" s="18" t="n">
        <x:v>3.05</x:v>
      </x:c>
      <x:c r="H2202" s="18" t="n">
        <x:v>0.82</x:v>
      </x:c>
      <x:c r="I2202" s="18" t="n">
        <x:v>11.87</x:v>
      </x:c>
      <x:c r="J2202" t="n">
        <x:f>IF(A2202=A2201,IFERROR(IF(B2202=EDATE(B2201,1),C2201,0),0),0)</x:f>
        <x:v>1</x:v>
      </x:c>
      <x:c r="K2202" t="n">
        <x:f>IF(AND(J2202=1,C2202=0),1,0)</x:f>
        <x:v>0</x:v>
      </x:c>
      <x:c r="L2202" t="str">
        <x:f>IFERROR(INDEX(Customers!$C$2:$C$451,MATCH(A2202,Customers!$A$2:$A$451,0)),"Unknown")</x:f>
        <x:v>Plus</x:v>
      </x:c>
    </x:row>
    <x:row r="2203">
      <x:c r="A2203" t="n">
        <x:v>404</x:v>
      </x:c>
      <x:c r="B2203" s="16" t="n">
        <x:v>46266</x:v>
      </x:c>
      <x:c r="C2203" t="n">
        <x:v>1</x:v>
      </x:c>
      <x:c r="D2203" t="n">
        <x:v>14</x:v>
      </x:c>
      <x:c r="E2203" s="18" t="n">
        <x:v>1695.28</x:v>
      </x:c>
      <x:c r="F2203" s="18" t="n">
        <x:v>8</x:v>
      </x:c>
      <x:c r="G2203" s="18" t="n">
        <x:v>7.63</x:v>
      </x:c>
      <x:c r="H2203" s="18" t="n">
        <x:v>3.75</x:v>
      </x:c>
      <x:c r="I2203" s="18" t="n">
        <x:v>19.38</x:v>
      </x:c>
      <x:c r="J2203" t="n">
        <x:f>IF(A2203=A2202,IFERROR(IF(B2203=EDATE(B2202,1),C2202,0),0),0)</x:f>
        <x:v>1</x:v>
      </x:c>
      <x:c r="K2203" t="n">
        <x:f>IF(AND(J2203=1,C2203=0),1,0)</x:f>
        <x:v>0</x:v>
      </x:c>
      <x:c r="L2203" t="str">
        <x:f>IFERROR(INDEX(Customers!$C$2:$C$451,MATCH(A2203,Customers!$A$2:$A$451,0)),"Unknown")</x:f>
        <x:v>Plus</x:v>
      </x:c>
    </x:row>
    <x:row r="2204">
      <x:c r="A2204" t="n">
        <x:v>405</x:v>
      </x:c>
      <x:c r="B2204" s="16" t="n">
        <x:v>46143</x:v>
      </x:c>
      <x:c r="C2204" t="n">
        <x:v>1</x:v>
      </x:c>
      <x:c r="D2204" t="n">
        <x:v>35</x:v>
      </x:c>
      <x:c r="E2204" s="18" t="n">
        <x:v>1964.3</x:v>
      </x:c>
      <x:c r="F2204" s="18" t="n">
        <x:v>0</x:v>
      </x:c>
      <x:c r="G2204" s="18" t="n">
        <x:v>8.84</x:v>
      </x:c>
      <x:c r="H2204" s="18" t="n">
        <x:v>5.73</x:v>
      </x:c>
      <x:c r="I2204" s="18" t="n">
        <x:v>14.57</x:v>
      </x:c>
      <x:c r="J2204" t="n">
        <x:f>IF(A2204=A2203,IFERROR(IF(B2204=EDATE(B2203,1),C2203,0),0),0)</x:f>
        <x:v>0</x:v>
      </x:c>
      <x:c r="K2204" t="n">
        <x:f>IF(AND(J2204=1,C2204=0),1,0)</x:f>
        <x:v>0</x:v>
      </x:c>
      <x:c r="L2204" t="str">
        <x:f>IFERROR(INDEX(Customers!$C$2:$C$451,MATCH(A2204,Customers!$A$2:$A$451,0)),"Unknown")</x:f>
        <x:v>Standard</x:v>
      </x:c>
    </x:row>
    <x:row r="2205">
      <x:c r="A2205" t="n">
        <x:v>405</x:v>
      </x:c>
      <x:c r="B2205" s="16" t="n">
        <x:v>46174</x:v>
      </x:c>
      <x:c r="C2205" t="n">
        <x:v>1</x:v>
      </x:c>
      <x:c r="D2205" t="n">
        <x:v>7</x:v>
      </x:c>
      <x:c r="E2205" s="18" t="n">
        <x:v>449.55</x:v>
      </x:c>
      <x:c r="F2205" s="18" t="n">
        <x:v>0</x:v>
      </x:c>
      <x:c r="G2205" s="18" t="n">
        <x:v>2.02</x:v>
      </x:c>
      <x:c r="H2205" s="18" t="n">
        <x:v>1.63</x:v>
      </x:c>
      <x:c r="I2205" s="18" t="n">
        <x:v>3.65</x:v>
      </x:c>
      <x:c r="J2205" t="n">
        <x:f>IF(A2205=A2204,IFERROR(IF(B2205=EDATE(B2204,1),C2204,0),0),0)</x:f>
        <x:v>1</x:v>
      </x:c>
      <x:c r="K2205" t="n">
        <x:f>IF(AND(J2205=1,C2205=0),1,0)</x:f>
        <x:v>0</x:v>
      </x:c>
      <x:c r="L2205" t="str">
        <x:f>IFERROR(INDEX(Customers!$C$2:$C$451,MATCH(A2205,Customers!$A$2:$A$451,0)),"Unknown")</x:f>
        <x:v>Standard</x:v>
      </x:c>
    </x:row>
    <x:row r="2206">
      <x:c r="A2206" t="n">
        <x:v>405</x:v>
      </x:c>
      <x:c r="B2206" s="16" t="n">
        <x:v>46204</x:v>
      </x:c>
      <x:c r="C2206" t="n">
        <x:v>1</x:v>
      </x:c>
      <x:c r="D2206" t="n">
        <x:v>5</x:v>
      </x:c>
      <x:c r="E2206" s="18" t="n">
        <x:v>511.52</x:v>
      </x:c>
      <x:c r="F2206" s="18" t="n">
        <x:v>0</x:v>
      </x:c>
      <x:c r="G2206" s="18" t="n">
        <x:v>2.3</x:v>
      </x:c>
      <x:c r="H2206" s="18" t="n">
        <x:v>1.45</x:v>
      </x:c>
      <x:c r="I2206" s="18" t="n">
        <x:v>3.75</x:v>
      </x:c>
      <x:c r="J2206" t="n">
        <x:f>IF(A2206=A2205,IFERROR(IF(B2206=EDATE(B2205,1),C2205,0),0),0)</x:f>
        <x:v>1</x:v>
      </x:c>
      <x:c r="K2206" t="n">
        <x:f>IF(AND(J2206=1,C2206=0),1,0)</x:f>
        <x:v>0</x:v>
      </x:c>
      <x:c r="L2206" t="str">
        <x:f>IFERROR(INDEX(Customers!$C$2:$C$451,MATCH(A2206,Customers!$A$2:$A$451,0)),"Unknown")</x:f>
        <x:v>Standard</x:v>
      </x:c>
    </x:row>
    <x:row r="2207">
      <x:c r="A2207" t="n">
        <x:v>405</x:v>
      </x:c>
      <x:c r="B2207" s="16" t="n">
        <x:v>46235</x:v>
      </x:c>
      <x:c r="C2207" t="n">
        <x:v>1</x:v>
      </x:c>
      <x:c r="D2207" t="n">
        <x:v>4</x:v>
      </x:c>
      <x:c r="E2207" s="18" t="n">
        <x:v>304.36</x:v>
      </x:c>
      <x:c r="F2207" s="18" t="n">
        <x:v>0</x:v>
      </x:c>
      <x:c r="G2207" s="18" t="n">
        <x:v>1.37</x:v>
      </x:c>
      <x:c r="H2207" s="18" t="n">
        <x:v>0.63</x:v>
      </x:c>
      <x:c r="I2207" s="18" t="n">
        <x:v>2</x:v>
      </x:c>
      <x:c r="J2207" t="n">
        <x:f>IF(A2207=A2206,IFERROR(IF(B2207=EDATE(B2206,1),C2206,0),0),0)</x:f>
        <x:v>1</x:v>
      </x:c>
      <x:c r="K2207" t="n">
        <x:f>IF(AND(J2207=1,C2207=0),1,0)</x:f>
        <x:v>0</x:v>
      </x:c>
      <x:c r="L2207" t="str">
        <x:f>IFERROR(INDEX(Customers!$C$2:$C$451,MATCH(A2207,Customers!$A$2:$A$451,0)),"Unknown")</x:f>
        <x:v>Standard</x:v>
      </x:c>
    </x:row>
    <x:row r="2208">
      <x:c r="A2208" t="n">
        <x:v>405</x:v>
      </x:c>
      <x:c r="B2208" s="16" t="n">
        <x:v>46266</x:v>
      </x:c>
      <x:c r="C2208" t="n">
        <x:v>0</x:v>
      </x:c>
      <x:c r="D2208" t="n">
        <x:v>0</x:v>
      </x:c>
      <x:c r="E2208" s="18" t="n">
        <x:v>0</x:v>
      </x:c>
      <x:c r="F2208" s="18" t="n">
        <x:v>0</x:v>
      </x:c>
      <x:c r="G2208" s="18" t="n">
        <x:v>0</x:v>
      </x:c>
      <x:c r="H2208" s="18" t="n">
        <x:v>0</x:v>
      </x:c>
      <x:c r="I2208" s="18" t="n">
        <x:v>0</x:v>
      </x:c>
      <x:c r="J2208" t="n">
        <x:f>IF(A2208=A2207,IFERROR(IF(B2208=EDATE(B2207,1),C2207,0),0),0)</x:f>
        <x:v>1</x:v>
      </x:c>
      <x:c r="K2208" t="n">
        <x:f>IF(AND(J2208=1,C2208=0),1,0)</x:f>
        <x:v>1</x:v>
      </x:c>
      <x:c r="L2208" t="str">
        <x:f>IFERROR(INDEX(Customers!$C$2:$C$451,MATCH(A2208,Customers!$A$2:$A$451,0)),"Unknown")</x:f>
        <x:v>Standard</x:v>
      </x:c>
    </x:row>
    <x:row r="2209">
      <x:c r="A2209" t="n">
        <x:v>406</x:v>
      </x:c>
      <x:c r="B2209" s="16" t="n">
        <x:v>46113</x:v>
      </x:c>
      <x:c r="C2209" t="n">
        <x:v>1</x:v>
      </x:c>
      <x:c r="D2209" t="n">
        <x:v>15</x:v>
      </x:c>
      <x:c r="E2209" s="18" t="n">
        <x:v>1172.15</x:v>
      </x:c>
      <x:c r="F2209" s="18" t="n">
        <x:v>17</x:v>
      </x:c>
      <x:c r="G2209" s="18" t="n">
        <x:v>5.27</x:v>
      </x:c>
      <x:c r="H2209" s="18" t="n">
        <x:v>1.64</x:v>
      </x:c>
      <x:c r="I2209" s="18" t="n">
        <x:v>23.91</x:v>
      </x:c>
      <x:c r="J2209" t="n">
        <x:f>IF(A2209=A2208,IFERROR(IF(B2209=EDATE(B2208,1),C2208,0),0),0)</x:f>
        <x:v>0</x:v>
      </x:c>
      <x:c r="K2209" t="n">
        <x:f>IF(AND(J2209=1,C2209=0),1,0)</x:f>
        <x:v>0</x:v>
      </x:c>
      <x:c r="L2209" t="str">
        <x:f>IFERROR(INDEX(Customers!$C$2:$C$451,MATCH(A2209,Customers!$A$2:$A$451,0)),"Unknown")</x:f>
        <x:v>Premium</x:v>
      </x:c>
    </x:row>
    <x:row r="2210">
      <x:c r="A2210" t="n">
        <x:v>406</x:v>
      </x:c>
      <x:c r="B2210" s="16" t="n">
        <x:v>46143</x:v>
      </x:c>
      <x:c r="C2210" t="n">
        <x:v>1</x:v>
      </x:c>
      <x:c r="D2210" t="n">
        <x:v>17</x:v>
      </x:c>
      <x:c r="E2210" s="18" t="n">
        <x:v>638.65</x:v>
      </x:c>
      <x:c r="F2210" s="18" t="n">
        <x:v>17</x:v>
      </x:c>
      <x:c r="G2210" s="18" t="n">
        <x:v>2.87</x:v>
      </x:c>
      <x:c r="H2210" s="18" t="n">
        <x:v>1.25</x:v>
      </x:c>
      <x:c r="I2210" s="18" t="n">
        <x:v>21.12</x:v>
      </x:c>
      <x:c r="J2210" t="n">
        <x:f>IF(A2210=A2209,IFERROR(IF(B2210=EDATE(B2209,1),C2209,0),0),0)</x:f>
        <x:v>1</x:v>
      </x:c>
      <x:c r="K2210" t="n">
        <x:f>IF(AND(J2210=1,C2210=0),1,0)</x:f>
        <x:v>0</x:v>
      </x:c>
      <x:c r="L2210" t="str">
        <x:f>IFERROR(INDEX(Customers!$C$2:$C$451,MATCH(A2210,Customers!$A$2:$A$451,0)),"Unknown")</x:f>
        <x:v>Premium</x:v>
      </x:c>
    </x:row>
    <x:row r="2211">
      <x:c r="A2211" t="n">
        <x:v>406</x:v>
      </x:c>
      <x:c r="B2211" s="16" t="n">
        <x:v>46174</x:v>
      </x:c>
      <x:c r="C2211" t="n">
        <x:v>0</x:v>
      </x:c>
      <x:c r="D2211" t="n">
        <x:v>0</x:v>
      </x:c>
      <x:c r="E2211" s="18" t="n">
        <x:v>0</x:v>
      </x:c>
      <x:c r="F2211" s="18" t="n">
        <x:v>0</x:v>
      </x:c>
      <x:c r="G2211" s="18" t="n">
        <x:v>0</x:v>
      </x:c>
      <x:c r="H2211" s="18" t="n">
        <x:v>0</x:v>
      </x:c>
      <x:c r="I2211" s="18" t="n">
        <x:v>0</x:v>
      </x:c>
      <x:c r="J2211" t="n">
        <x:f>IF(A2211=A2210,IFERROR(IF(B2211=EDATE(B2210,1),C2210,0),0),0)</x:f>
        <x:v>1</x:v>
      </x:c>
      <x:c r="K2211" t="n">
        <x:f>IF(AND(J2211=1,C2211=0),1,0)</x:f>
        <x:v>1</x:v>
      </x:c>
      <x:c r="L2211" t="str">
        <x:f>IFERROR(INDEX(Customers!$C$2:$C$451,MATCH(A2211,Customers!$A$2:$A$451,0)),"Unknown")</x:f>
        <x:v>Premium</x:v>
      </x:c>
    </x:row>
    <x:row r="2212">
      <x:c r="A2212" t="n">
        <x:v>406</x:v>
      </x:c>
      <x:c r="B2212" s="16" t="n">
        <x:v>46204</x:v>
      </x:c>
      <x:c r="C2212" t="n">
        <x:v>1</x:v>
      </x:c>
      <x:c r="D2212" t="n">
        <x:v>11</x:v>
      </x:c>
      <x:c r="E2212" s="18" t="n">
        <x:v>1056.24</x:v>
      </x:c>
      <x:c r="F2212" s="18" t="n">
        <x:v>17</x:v>
      </x:c>
      <x:c r="G2212" s="18" t="n">
        <x:v>4.75</x:v>
      </x:c>
      <x:c r="H2212" s="18" t="n">
        <x:v>3.47</x:v>
      </x:c>
      <x:c r="I2212" s="18" t="n">
        <x:v>25.22</x:v>
      </x:c>
      <x:c r="J2212" t="n">
        <x:f>IF(A2212=A2211,IFERROR(IF(B2212=EDATE(B2211,1),C2211,0),0),0)</x:f>
        <x:v>0</x:v>
      </x:c>
      <x:c r="K2212" t="n">
        <x:f>IF(AND(J2212=1,C2212=0),1,0)</x:f>
        <x:v>0</x:v>
      </x:c>
      <x:c r="L2212" t="str">
        <x:f>IFERROR(INDEX(Customers!$C$2:$C$451,MATCH(A2212,Customers!$A$2:$A$451,0)),"Unknown")</x:f>
        <x:v>Premium</x:v>
      </x:c>
    </x:row>
    <x:row r="2213">
      <x:c r="A2213" t="n">
        <x:v>406</x:v>
      </x:c>
      <x:c r="B2213" s="16" t="n">
        <x:v>46235</x:v>
      </x:c>
      <x:c r="C2213" t="n">
        <x:v>1</x:v>
      </x:c>
      <x:c r="D2213" t="n">
        <x:v>10</x:v>
      </x:c>
      <x:c r="E2213" s="18" t="n">
        <x:v>1011.03</x:v>
      </x:c>
      <x:c r="F2213" s="18" t="n">
        <x:v>17</x:v>
      </x:c>
      <x:c r="G2213" s="18" t="n">
        <x:v>4.55</x:v>
      </x:c>
      <x:c r="H2213" s="18" t="n">
        <x:v>3.8</x:v>
      </x:c>
      <x:c r="I2213" s="18" t="n">
        <x:v>25.35</x:v>
      </x:c>
      <x:c r="J2213" t="n">
        <x:f>IF(A2213=A2212,IFERROR(IF(B2213=EDATE(B2212,1),C2212,0),0),0)</x:f>
        <x:v>1</x:v>
      </x:c>
      <x:c r="K2213" t="n">
        <x:f>IF(AND(J2213=1,C2213=0),1,0)</x:f>
        <x:v>0</x:v>
      </x:c>
      <x:c r="L2213" t="str">
        <x:f>IFERROR(INDEX(Customers!$C$2:$C$451,MATCH(A2213,Customers!$A$2:$A$451,0)),"Unknown")</x:f>
        <x:v>Premium</x:v>
      </x:c>
    </x:row>
    <x:row r="2214">
      <x:c r="A2214" t="n">
        <x:v>406</x:v>
      </x:c>
      <x:c r="B2214" s="16" t="n">
        <x:v>46266</x:v>
      </x:c>
      <x:c r="C2214" t="n">
        <x:v>1</x:v>
      </x:c>
      <x:c r="D2214" t="n">
        <x:v>23</x:v>
      </x:c>
      <x:c r="E2214" s="18" t="n">
        <x:v>2109.57</x:v>
      </x:c>
      <x:c r="F2214" s="18" t="n">
        <x:v>17</x:v>
      </x:c>
      <x:c r="G2214" s="18" t="n">
        <x:v>9.49</x:v>
      </x:c>
      <x:c r="H2214" s="18" t="n">
        <x:v>4.06</x:v>
      </x:c>
      <x:c r="I2214" s="18" t="n">
        <x:v>30.55</x:v>
      </x:c>
      <x:c r="J2214" t="n">
        <x:f>IF(A2214=A2213,IFERROR(IF(B2214=EDATE(B2213,1),C2213,0),0),0)</x:f>
        <x:v>1</x:v>
      </x:c>
      <x:c r="K2214" t="n">
        <x:f>IF(AND(J2214=1,C2214=0),1,0)</x:f>
        <x:v>0</x:v>
      </x:c>
      <x:c r="L2214" t="str">
        <x:f>IFERROR(INDEX(Customers!$C$2:$C$451,MATCH(A2214,Customers!$A$2:$A$451,0)),"Unknown")</x:f>
        <x:v>Premium</x:v>
      </x:c>
    </x:row>
    <x:row r="2215">
      <x:c r="A2215" t="n">
        <x:v>407</x:v>
      </x:c>
      <x:c r="B2215" s="16" t="n">
        <x:v>46174</x:v>
      </x:c>
      <x:c r="C2215" t="n">
        <x:v>1</x:v>
      </x:c>
      <x:c r="D2215" t="n">
        <x:v>31</x:v>
      </x:c>
      <x:c r="E2215" s="18" t="n">
        <x:v>2392.61</x:v>
      </x:c>
      <x:c r="F2215" s="18" t="n">
        <x:v>0</x:v>
      </x:c>
      <x:c r="G2215" s="18" t="n">
        <x:v>10.77</x:v>
      </x:c>
      <x:c r="H2215" s="18" t="n">
        <x:v>2.99</x:v>
      </x:c>
      <x:c r="I2215" s="18" t="n">
        <x:v>13.76</x:v>
      </x:c>
      <x:c r="J2215" t="n">
        <x:f>IF(A2215=A2214,IFERROR(IF(B2215=EDATE(B2214,1),C2214,0),0),0)</x:f>
        <x:v>0</x:v>
      </x:c>
      <x:c r="K2215" t="n">
        <x:f>IF(AND(J2215=1,C2215=0),1,0)</x:f>
        <x:v>0</x:v>
      </x:c>
      <x:c r="L2215" t="str">
        <x:f>IFERROR(INDEX(Customers!$C$2:$C$451,MATCH(A2215,Customers!$A$2:$A$451,0)),"Unknown")</x:f>
        <x:v>Standard</x:v>
      </x:c>
    </x:row>
    <x:row r="2216">
      <x:c r="A2216" t="n">
        <x:v>407</x:v>
      </x:c>
      <x:c r="B2216" s="16" t="n">
        <x:v>46204</x:v>
      </x:c>
      <x:c r="C2216" t="n">
        <x:v>1</x:v>
      </x:c>
      <x:c r="D2216" t="n">
        <x:v>8</x:v>
      </x:c>
      <x:c r="E2216" s="18" t="n">
        <x:v>689.52</x:v>
      </x:c>
      <x:c r="F2216" s="18" t="n">
        <x:v>0</x:v>
      </x:c>
      <x:c r="G2216" s="18" t="n">
        <x:v>3.1</x:v>
      </x:c>
      <x:c r="H2216" s="18" t="n">
        <x:v>1.91</x:v>
      </x:c>
      <x:c r="I2216" s="18" t="n">
        <x:v>5.01</x:v>
      </x:c>
      <x:c r="J2216" t="n">
        <x:f>IF(A2216=A2215,IFERROR(IF(B2216=EDATE(B2215,1),C2215,0),0),0)</x:f>
        <x:v>1</x:v>
      </x:c>
      <x:c r="K2216" t="n">
        <x:f>IF(AND(J2216=1,C2216=0),1,0)</x:f>
        <x:v>0</x:v>
      </x:c>
      <x:c r="L2216" t="str">
        <x:f>IFERROR(INDEX(Customers!$C$2:$C$451,MATCH(A2216,Customers!$A$2:$A$451,0)),"Unknown")</x:f>
        <x:v>Standard</x:v>
      </x:c>
    </x:row>
    <x:row r="2217">
      <x:c r="A2217" t="n">
        <x:v>407</x:v>
      </x:c>
      <x:c r="B2217" s="16" t="n">
        <x:v>46235</x:v>
      </x:c>
      <x:c r="C2217" t="n">
        <x:v>1</x:v>
      </x:c>
      <x:c r="D2217" t="n">
        <x:v>29</x:v>
      </x:c>
      <x:c r="E2217" s="18" t="n">
        <x:v>3107.91</x:v>
      </x:c>
      <x:c r="F2217" s="18" t="n">
        <x:v>0</x:v>
      </x:c>
      <x:c r="G2217" s="18" t="n">
        <x:v>13.99</x:v>
      </x:c>
      <x:c r="H2217" s="18" t="n">
        <x:v>8.66</x:v>
      </x:c>
      <x:c r="I2217" s="18" t="n">
        <x:v>22.65</x:v>
      </x:c>
      <x:c r="J2217" t="n">
        <x:f>IF(A2217=A2216,IFERROR(IF(B2217=EDATE(B2216,1),C2216,0),0),0)</x:f>
        <x:v>1</x:v>
      </x:c>
      <x:c r="K2217" t="n">
        <x:f>IF(AND(J2217=1,C2217=0),1,0)</x:f>
        <x:v>0</x:v>
      </x:c>
      <x:c r="L2217" t="str">
        <x:f>IFERROR(INDEX(Customers!$C$2:$C$451,MATCH(A2217,Customers!$A$2:$A$451,0)),"Unknown")</x:f>
        <x:v>Standard</x:v>
      </x:c>
    </x:row>
    <x:row r="2218">
      <x:c r="A2218" t="n">
        <x:v>407</x:v>
      </x:c>
      <x:c r="B2218" s="16" t="n">
        <x:v>46266</x:v>
      </x:c>
      <x:c r="C2218" t="n">
        <x:v>1</x:v>
      </x:c>
      <x:c r="D2218" t="n">
        <x:v>9</x:v>
      </x:c>
      <x:c r="E2218" s="18" t="n">
        <x:v>1156.54</x:v>
      </x:c>
      <x:c r="F2218" s="18" t="n">
        <x:v>0</x:v>
      </x:c>
      <x:c r="G2218" s="18" t="n">
        <x:v>5.2</x:v>
      </x:c>
      <x:c r="H2218" s="18" t="n">
        <x:v>3.85</x:v>
      </x:c>
      <x:c r="I2218" s="18" t="n">
        <x:v>9.05</x:v>
      </x:c>
      <x:c r="J2218" t="n">
        <x:f>IF(A2218=A2217,IFERROR(IF(B2218=EDATE(B2217,1),C2217,0),0),0)</x:f>
        <x:v>1</x:v>
      </x:c>
      <x:c r="K2218" t="n">
        <x:f>IF(AND(J2218=1,C2218=0),1,0)</x:f>
        <x:v>0</x:v>
      </x:c>
      <x:c r="L2218" t="str">
        <x:f>IFERROR(INDEX(Customers!$C$2:$C$451,MATCH(A2218,Customers!$A$2:$A$451,0)),"Unknown")</x:f>
        <x:v>Standard</x:v>
      </x:c>
    </x:row>
    <x:row r="2219">
      <x:c r="A2219" t="n">
        <x:v>408</x:v>
      </x:c>
      <x:c r="B2219" s="16" t="n">
        <x:v>46113</x:v>
      </x:c>
      <x:c r="C2219" t="n">
        <x:v>1</x:v>
      </x:c>
      <x:c r="D2219" t="n">
        <x:v>33</x:v>
      </x:c>
      <x:c r="E2219" s="18" t="n">
        <x:v>3964.12</x:v>
      </x:c>
      <x:c r="F2219" s="18" t="n">
        <x:v>17</x:v>
      </x:c>
      <x:c r="G2219" s="18" t="n">
        <x:v>17.84</x:v>
      </x:c>
      <x:c r="H2219" s="18" t="n">
        <x:v>7.26</x:v>
      </x:c>
      <x:c r="I2219" s="18" t="n">
        <x:v>42.1</x:v>
      </x:c>
      <x:c r="J2219" t="n">
        <x:f>IF(A2219=A2218,IFERROR(IF(B2219=EDATE(B2218,1),C2218,0),0),0)</x:f>
        <x:v>0</x:v>
      </x:c>
      <x:c r="K2219" t="n">
        <x:f>IF(AND(J2219=1,C2219=0),1,0)</x:f>
        <x:v>0</x:v>
      </x:c>
      <x:c r="L2219" t="str">
        <x:f>IFERROR(INDEX(Customers!$C$2:$C$451,MATCH(A2219,Customers!$A$2:$A$451,0)),"Unknown")</x:f>
        <x:v>Premium</x:v>
      </x:c>
    </x:row>
    <x:row r="2220">
      <x:c r="A2220" t="n">
        <x:v>408</x:v>
      </x:c>
      <x:c r="B2220" s="16" t="n">
        <x:v>46143</x:v>
      </x:c>
      <x:c r="C2220" t="n">
        <x:v>1</x:v>
      </x:c>
      <x:c r="D2220" t="n">
        <x:v>28</x:v>
      </x:c>
      <x:c r="E2220" s="18" t="n">
        <x:v>1193.59</x:v>
      </x:c>
      <x:c r="F2220" s="18" t="n">
        <x:v>17</x:v>
      </x:c>
      <x:c r="G2220" s="18" t="n">
        <x:v>5.37</x:v>
      </x:c>
      <x:c r="H2220" s="18" t="n">
        <x:v>3.83</x:v>
      </x:c>
      <x:c r="I2220" s="18" t="n">
        <x:v>26.2</x:v>
      </x:c>
      <x:c r="J2220" t="n">
        <x:f>IF(A2220=A2219,IFERROR(IF(B2220=EDATE(B2219,1),C2219,0),0),0)</x:f>
        <x:v>1</x:v>
      </x:c>
      <x:c r="K2220" t="n">
        <x:f>IF(AND(J2220=1,C2220=0),1,0)</x:f>
        <x:v>0</x:v>
      </x:c>
      <x:c r="L2220" t="str">
        <x:f>IFERROR(INDEX(Customers!$C$2:$C$451,MATCH(A2220,Customers!$A$2:$A$451,0)),"Unknown")</x:f>
        <x:v>Premium</x:v>
      </x:c>
    </x:row>
    <x:row r="2221">
      <x:c r="A2221" t="n">
        <x:v>408</x:v>
      </x:c>
      <x:c r="B2221" s="16" t="n">
        <x:v>46174</x:v>
      </x:c>
      <x:c r="C2221" t="n">
        <x:v>1</x:v>
      </x:c>
      <x:c r="D2221" t="n">
        <x:v>16</x:v>
      </x:c>
      <x:c r="E2221" s="18" t="n">
        <x:v>1983.84</x:v>
      </x:c>
      <x:c r="F2221" s="18" t="n">
        <x:v>17</x:v>
      </x:c>
      <x:c r="G2221" s="18" t="n">
        <x:v>8.93</x:v>
      </x:c>
      <x:c r="H2221" s="18" t="n">
        <x:v>3.71</x:v>
      </x:c>
      <x:c r="I2221" s="18" t="n">
        <x:v>29.64</x:v>
      </x:c>
      <x:c r="J2221" t="n">
        <x:f>IF(A2221=A2220,IFERROR(IF(B2221=EDATE(B2220,1),C2220,0),0),0)</x:f>
        <x:v>1</x:v>
      </x:c>
      <x:c r="K2221" t="n">
        <x:f>IF(AND(J2221=1,C2221=0),1,0)</x:f>
        <x:v>0</x:v>
      </x:c>
      <x:c r="L2221" t="str">
        <x:f>IFERROR(INDEX(Customers!$C$2:$C$451,MATCH(A2221,Customers!$A$2:$A$451,0)),"Unknown")</x:f>
        <x:v>Premium</x:v>
      </x:c>
    </x:row>
    <x:row r="2222">
      <x:c r="A2222" t="n">
        <x:v>408</x:v>
      </x:c>
      <x:c r="B2222" s="16" t="n">
        <x:v>46204</x:v>
      </x:c>
      <x:c r="C2222" t="n">
        <x:v>0</x:v>
      </x:c>
      <x:c r="D2222" t="n">
        <x:v>0</x:v>
      </x:c>
      <x:c r="E2222" s="18" t="n">
        <x:v>0</x:v>
      </x:c>
      <x:c r="F2222" s="18" t="n">
        <x:v>0</x:v>
      </x:c>
      <x:c r="G2222" s="18" t="n">
        <x:v>0</x:v>
      </x:c>
      <x:c r="H2222" s="18" t="n">
        <x:v>0</x:v>
      </x:c>
      <x:c r="I2222" s="18" t="n">
        <x:v>0</x:v>
      </x:c>
      <x:c r="J2222" t="n">
        <x:f>IF(A2222=A2221,IFERROR(IF(B2222=EDATE(B2221,1),C2221,0),0),0)</x:f>
        <x:v>1</x:v>
      </x:c>
      <x:c r="K2222" t="n">
        <x:f>IF(AND(J2222=1,C2222=0),1,0)</x:f>
        <x:v>1</x:v>
      </x:c>
      <x:c r="L2222" t="str">
        <x:f>IFERROR(INDEX(Customers!$C$2:$C$451,MATCH(A2222,Customers!$A$2:$A$451,0)),"Unknown")</x:f>
        <x:v>Premium</x:v>
      </x:c>
    </x:row>
    <x:row r="2223">
      <x:c r="A2223" t="n">
        <x:v>408</x:v>
      </x:c>
      <x:c r="B2223" s="16" t="n">
        <x:v>46235</x:v>
      </x:c>
      <x:c r="C2223" t="n">
        <x:v>1</x:v>
      </x:c>
      <x:c r="D2223" t="n">
        <x:v>34</x:v>
      </x:c>
      <x:c r="E2223" s="18" t="n">
        <x:v>3416.74</x:v>
      </x:c>
      <x:c r="F2223" s="18" t="n">
        <x:v>17</x:v>
      </x:c>
      <x:c r="G2223" s="18" t="n">
        <x:v>15.38</x:v>
      </x:c>
      <x:c r="H2223" s="18" t="n">
        <x:v>10.26</x:v>
      </x:c>
      <x:c r="I2223" s="18" t="n">
        <x:v>42.64</x:v>
      </x:c>
      <x:c r="J2223" t="n">
        <x:f>IF(A2223=A2222,IFERROR(IF(B2223=EDATE(B2222,1),C2222,0),0),0)</x:f>
        <x:v>0</x:v>
      </x:c>
      <x:c r="K2223" t="n">
        <x:f>IF(AND(J2223=1,C2223=0),1,0)</x:f>
        <x:v>0</x:v>
      </x:c>
      <x:c r="L2223" t="str">
        <x:f>IFERROR(INDEX(Customers!$C$2:$C$451,MATCH(A2223,Customers!$A$2:$A$451,0)),"Unknown")</x:f>
        <x:v>Premium</x:v>
      </x:c>
    </x:row>
    <x:row r="2224">
      <x:c r="A2224" t="n">
        <x:v>408</x:v>
      </x:c>
      <x:c r="B2224" s="16" t="n">
        <x:v>46266</x:v>
      </x:c>
      <x:c r="C2224" t="n">
        <x:v>1</x:v>
      </x:c>
      <x:c r="D2224" t="n">
        <x:v>14</x:v>
      </x:c>
      <x:c r="E2224" s="18" t="n">
        <x:v>889.75</x:v>
      </x:c>
      <x:c r="F2224" s="18" t="n">
        <x:v>17</x:v>
      </x:c>
      <x:c r="G2224" s="18" t="n">
        <x:v>4</x:v>
      </x:c>
      <x:c r="H2224" s="18" t="n">
        <x:v>2.76</x:v>
      </x:c>
      <x:c r="I2224" s="18" t="n">
        <x:v>23.76</x:v>
      </x:c>
      <x:c r="J2224" t="n">
        <x:f>IF(A2224=A2223,IFERROR(IF(B2224=EDATE(B2223,1),C2223,0),0),0)</x:f>
        <x:v>1</x:v>
      </x:c>
      <x:c r="K2224" t="n">
        <x:f>IF(AND(J2224=1,C2224=0),1,0)</x:f>
        <x:v>0</x:v>
      </x:c>
      <x:c r="L2224" t="str">
        <x:f>IFERROR(INDEX(Customers!$C$2:$C$451,MATCH(A2224,Customers!$A$2:$A$451,0)),"Unknown")</x:f>
        <x:v>Premium</x:v>
      </x:c>
    </x:row>
    <x:row r="2225">
      <x:c r="A2225" t="n">
        <x:v>409</x:v>
      </x:c>
      <x:c r="B2225" s="16" t="n">
        <x:v>46143</x:v>
      </x:c>
      <x:c r="C2225" t="n">
        <x:v>1</x:v>
      </x:c>
      <x:c r="D2225" t="n">
        <x:v>23</x:v>
      </x:c>
      <x:c r="E2225" s="18" t="n">
        <x:v>1093.37</x:v>
      </x:c>
      <x:c r="F2225" s="18" t="n">
        <x:v>0</x:v>
      </x:c>
      <x:c r="G2225" s="18" t="n">
        <x:v>4.92</x:v>
      </x:c>
      <x:c r="H2225" s="18" t="n">
        <x:v>2.86</x:v>
      </x:c>
      <x:c r="I2225" s="18" t="n">
        <x:v>7.78</x:v>
      </x:c>
      <x:c r="J2225" t="n">
        <x:f>IF(A2225=A2224,IFERROR(IF(B2225=EDATE(B2224,1),C2224,0),0),0)</x:f>
        <x:v>0</x:v>
      </x:c>
      <x:c r="K2225" t="n">
        <x:f>IF(AND(J2225=1,C2225=0),1,0)</x:f>
        <x:v>0</x:v>
      </x:c>
      <x:c r="L2225" t="str">
        <x:f>IFERROR(INDEX(Customers!$C$2:$C$451,MATCH(A2225,Customers!$A$2:$A$451,0)),"Unknown")</x:f>
        <x:v>Standard</x:v>
      </x:c>
    </x:row>
    <x:row r="2226">
      <x:c r="A2226" t="n">
        <x:v>409</x:v>
      </x:c>
      <x:c r="B2226" s="16" t="n">
        <x:v>46174</x:v>
      </x:c>
      <x:c r="C2226" t="n">
        <x:v>1</x:v>
      </x:c>
      <x:c r="D2226" t="n">
        <x:v>15</x:v>
      </x:c>
      <x:c r="E2226" s="18" t="n">
        <x:v>701.63</x:v>
      </x:c>
      <x:c r="F2226" s="18" t="n">
        <x:v>0</x:v>
      </x:c>
      <x:c r="G2226" s="18" t="n">
        <x:v>3.16</x:v>
      </x:c>
      <x:c r="H2226" s="18" t="n">
        <x:v>1.9</x:v>
      </x:c>
      <x:c r="I2226" s="18" t="n">
        <x:v>5.06</x:v>
      </x:c>
      <x:c r="J2226" t="n">
        <x:f>IF(A2226=A2225,IFERROR(IF(B2226=EDATE(B2225,1),C2225,0),0),0)</x:f>
        <x:v>1</x:v>
      </x:c>
      <x:c r="K2226" t="n">
        <x:f>IF(AND(J2226=1,C2226=0),1,0)</x:f>
        <x:v>0</x:v>
      </x:c>
      <x:c r="L2226" t="str">
        <x:f>IFERROR(INDEX(Customers!$C$2:$C$451,MATCH(A2226,Customers!$A$2:$A$451,0)),"Unknown")</x:f>
        <x:v>Standard</x:v>
      </x:c>
    </x:row>
    <x:row r="2227">
      <x:c r="A2227" t="n">
        <x:v>409</x:v>
      </x:c>
      <x:c r="B2227" s="16" t="n">
        <x:v>46204</x:v>
      </x:c>
      <x:c r="C2227" t="n">
        <x:v>1</x:v>
      </x:c>
      <x:c r="D2227" t="n">
        <x:v>33</x:v>
      </x:c>
      <x:c r="E2227" s="18" t="n">
        <x:v>1652.04</x:v>
      </x:c>
      <x:c r="F2227" s="18" t="n">
        <x:v>0</x:v>
      </x:c>
      <x:c r="G2227" s="18" t="n">
        <x:v>7.43</x:v>
      </x:c>
      <x:c r="H2227" s="18" t="n">
        <x:v>5.94</x:v>
      </x:c>
      <x:c r="I2227" s="18" t="n">
        <x:v>13.37</x:v>
      </x:c>
      <x:c r="J2227" t="n">
        <x:f>IF(A2227=A2226,IFERROR(IF(B2227=EDATE(B2226,1),C2226,0),0),0)</x:f>
        <x:v>1</x:v>
      </x:c>
      <x:c r="K2227" t="n">
        <x:f>IF(AND(J2227=1,C2227=0),1,0)</x:f>
        <x:v>0</x:v>
      </x:c>
      <x:c r="L2227" t="str">
        <x:f>IFERROR(INDEX(Customers!$C$2:$C$451,MATCH(A2227,Customers!$A$2:$A$451,0)),"Unknown")</x:f>
        <x:v>Standard</x:v>
      </x:c>
    </x:row>
    <x:row r="2228">
      <x:c r="A2228" t="n">
        <x:v>409</x:v>
      </x:c>
      <x:c r="B2228" s="16" t="n">
        <x:v>46235</x:v>
      </x:c>
      <x:c r="C2228" t="n">
        <x:v>1</x:v>
      </x:c>
      <x:c r="D2228" t="n">
        <x:v>28</x:v>
      </x:c>
      <x:c r="E2228" s="18" t="n">
        <x:v>1025.95</x:v>
      </x:c>
      <x:c r="F2228" s="18" t="n">
        <x:v>0</x:v>
      </x:c>
      <x:c r="G2228" s="18" t="n">
        <x:v>4.62</x:v>
      </x:c>
      <x:c r="H2228" s="18" t="n">
        <x:v>2.86</x:v>
      </x:c>
      <x:c r="I2228" s="18" t="n">
        <x:v>7.48</x:v>
      </x:c>
      <x:c r="J2228" t="n">
        <x:f>IF(A2228=A2227,IFERROR(IF(B2228=EDATE(B2227,1),C2227,0),0),0)</x:f>
        <x:v>1</x:v>
      </x:c>
      <x:c r="K2228" t="n">
        <x:f>IF(AND(J2228=1,C2228=0),1,0)</x:f>
        <x:v>0</x:v>
      </x:c>
      <x:c r="L2228" t="str">
        <x:f>IFERROR(INDEX(Customers!$C$2:$C$451,MATCH(A2228,Customers!$A$2:$A$451,0)),"Unknown")</x:f>
        <x:v>Standard</x:v>
      </x:c>
    </x:row>
    <x:row r="2229">
      <x:c r="A2229" t="n">
        <x:v>409</x:v>
      </x:c>
      <x:c r="B2229" s="16" t="n">
        <x:v>46266</x:v>
      </x:c>
      <x:c r="C2229" t="n">
        <x:v>1</x:v>
      </x:c>
      <x:c r="D2229" t="n">
        <x:v>22</x:v>
      </x:c>
      <x:c r="E2229" s="18" t="n">
        <x:v>1533.75</x:v>
      </x:c>
      <x:c r="F2229" s="18" t="n">
        <x:v>0</x:v>
      </x:c>
      <x:c r="G2229" s="18" t="n">
        <x:v>6.9</x:v>
      </x:c>
      <x:c r="H2229" s="18" t="n">
        <x:v>2.05</x:v>
      </x:c>
      <x:c r="I2229" s="18" t="n">
        <x:v>8.95</x:v>
      </x:c>
      <x:c r="J2229" t="n">
        <x:f>IF(A2229=A2228,IFERROR(IF(B2229=EDATE(B2228,1),C2228,0),0),0)</x:f>
        <x:v>1</x:v>
      </x:c>
      <x:c r="K2229" t="n">
        <x:f>IF(AND(J2229=1,C2229=0),1,0)</x:f>
        <x:v>0</x:v>
      </x:c>
      <x:c r="L2229" t="str">
        <x:f>IFERROR(INDEX(Customers!$C$2:$C$451,MATCH(A2229,Customers!$A$2:$A$451,0)),"Unknown")</x:f>
        <x:v>Standard</x:v>
      </x:c>
    </x:row>
    <x:row r="2230">
      <x:c r="A2230" t="n">
        <x:v>410</x:v>
      </x:c>
      <x:c r="B2230" s="16" t="n">
        <x:v>46113</x:v>
      </x:c>
      <x:c r="C2230" t="n">
        <x:v>1</x:v>
      </x:c>
      <x:c r="D2230" t="n">
        <x:v>13</x:v>
      </x:c>
      <x:c r="E2230" s="18" t="n">
        <x:v>1430.89</x:v>
      </x:c>
      <x:c r="F2230" s="18" t="n">
        <x:v>17</x:v>
      </x:c>
      <x:c r="G2230" s="18" t="n">
        <x:v>6.44</x:v>
      </x:c>
      <x:c r="H2230" s="18" t="n">
        <x:v>1.54</x:v>
      </x:c>
      <x:c r="I2230" s="18" t="n">
        <x:v>24.98</x:v>
      </x:c>
      <x:c r="J2230" t="n">
        <x:f>IF(A2230=A2229,IFERROR(IF(B2230=EDATE(B2229,1),C2229,0),0),0)</x:f>
        <x:v>0</x:v>
      </x:c>
      <x:c r="K2230" t="n">
        <x:f>IF(AND(J2230=1,C2230=0),1,0)</x:f>
        <x:v>0</x:v>
      </x:c>
      <x:c r="L2230" t="str">
        <x:f>IFERROR(INDEX(Customers!$C$2:$C$451,MATCH(A2230,Customers!$A$2:$A$451,0)),"Unknown")</x:f>
        <x:v>Premium</x:v>
      </x:c>
    </x:row>
    <x:row r="2231">
      <x:c r="A2231" t="n">
        <x:v>410</x:v>
      </x:c>
      <x:c r="B2231" s="16" t="n">
        <x:v>46143</x:v>
      </x:c>
      <x:c r="C2231" t="n">
        <x:v>0</x:v>
      </x:c>
      <x:c r="D2231" t="n">
        <x:v>0</x:v>
      </x:c>
      <x:c r="E2231" s="18" t="n">
        <x:v>0</x:v>
      </x:c>
      <x:c r="F2231" s="18" t="n">
        <x:v>0</x:v>
      </x:c>
      <x:c r="G2231" s="18" t="n">
        <x:v>0</x:v>
      </x:c>
      <x:c r="H2231" s="18" t="n">
        <x:v>0</x:v>
      </x:c>
      <x:c r="I2231" s="18" t="n">
        <x:v>0</x:v>
      </x:c>
      <x:c r="J2231" t="n">
        <x:f>IF(A2231=A2230,IFERROR(IF(B2231=EDATE(B2230,1),C2230,0),0),0)</x:f>
        <x:v>1</x:v>
      </x:c>
      <x:c r="K2231" t="n">
        <x:f>IF(AND(J2231=1,C2231=0),1,0)</x:f>
        <x:v>1</x:v>
      </x:c>
      <x:c r="L2231" t="str">
        <x:f>IFERROR(INDEX(Customers!$C$2:$C$451,MATCH(A2231,Customers!$A$2:$A$451,0)),"Unknown")</x:f>
        <x:v>Premium</x:v>
      </x:c>
    </x:row>
    <x:row r="2232">
      <x:c r="A2232" t="n">
        <x:v>410</x:v>
      </x:c>
      <x:c r="B2232" s="16" t="n">
        <x:v>46174</x:v>
      </x:c>
      <x:c r="C2232" t="n">
        <x:v>1</x:v>
      </x:c>
      <x:c r="D2232" t="n">
        <x:v>36</x:v>
      </x:c>
      <x:c r="E2232" s="18" t="n">
        <x:v>3217.81</x:v>
      </x:c>
      <x:c r="F2232" s="18" t="n">
        <x:v>17</x:v>
      </x:c>
      <x:c r="G2232" s="18" t="n">
        <x:v>14.48</x:v>
      </x:c>
      <x:c r="H2232" s="18" t="n">
        <x:v>7.7</x:v>
      </x:c>
      <x:c r="I2232" s="18" t="n">
        <x:v>39.18</x:v>
      </x:c>
      <x:c r="J2232" t="n">
        <x:f>IF(A2232=A2231,IFERROR(IF(B2232=EDATE(B2231,1),C2231,0),0),0)</x:f>
        <x:v>0</x:v>
      </x:c>
      <x:c r="K2232" t="n">
        <x:f>IF(AND(J2232=1,C2232=0),1,0)</x:f>
        <x:v>0</x:v>
      </x:c>
      <x:c r="L2232" t="str">
        <x:f>IFERROR(INDEX(Customers!$C$2:$C$451,MATCH(A2232,Customers!$A$2:$A$451,0)),"Unknown")</x:f>
        <x:v>Premium</x:v>
      </x:c>
    </x:row>
    <x:row r="2233">
      <x:c r="A2233" t="n">
        <x:v>410</x:v>
      </x:c>
      <x:c r="B2233" s="16" t="n">
        <x:v>46204</x:v>
      </x:c>
      <x:c r="C2233" t="n">
        <x:v>1</x:v>
      </x:c>
      <x:c r="D2233" t="n">
        <x:v>9</x:v>
      </x:c>
      <x:c r="E2233" s="18" t="n">
        <x:v>550.91</x:v>
      </x:c>
      <x:c r="F2233" s="18" t="n">
        <x:v>17</x:v>
      </x:c>
      <x:c r="G2233" s="18" t="n">
        <x:v>2.48</x:v>
      </x:c>
      <x:c r="H2233" s="18" t="n">
        <x:v>0.83</x:v>
      </x:c>
      <x:c r="I2233" s="18" t="n">
        <x:v>20.31</x:v>
      </x:c>
      <x:c r="J2233" t="n">
        <x:f>IF(A2233=A2232,IFERROR(IF(B2233=EDATE(B2232,1),C2232,0),0),0)</x:f>
        <x:v>1</x:v>
      </x:c>
      <x:c r="K2233" t="n">
        <x:f>IF(AND(J2233=1,C2233=0),1,0)</x:f>
        <x:v>0</x:v>
      </x:c>
      <x:c r="L2233" t="str">
        <x:f>IFERROR(INDEX(Customers!$C$2:$C$451,MATCH(A2233,Customers!$A$2:$A$451,0)),"Unknown")</x:f>
        <x:v>Premium</x:v>
      </x:c>
    </x:row>
    <x:row r="2234">
      <x:c r="A2234" t="n">
        <x:v>410</x:v>
      </x:c>
      <x:c r="B2234" s="16" t="n">
        <x:v>46235</x:v>
      </x:c>
      <x:c r="C2234" t="n">
        <x:v>1</x:v>
      </x:c>
      <x:c r="D2234" t="n">
        <x:v>23</x:v>
      </x:c>
      <x:c r="E2234" s="18" t="n">
        <x:v>2631</x:v>
      </x:c>
      <x:c r="F2234" s="18" t="n">
        <x:v>17</x:v>
      </x:c>
      <x:c r="G2234" s="18" t="n">
        <x:v>11.84</x:v>
      </x:c>
      <x:c r="H2234" s="18" t="n">
        <x:v>2.74</x:v>
      </x:c>
      <x:c r="I2234" s="18" t="n">
        <x:v>31.58</x:v>
      </x:c>
      <x:c r="J2234" t="n">
        <x:f>IF(A2234=A2233,IFERROR(IF(B2234=EDATE(B2233,1),C2233,0),0),0)</x:f>
        <x:v>1</x:v>
      </x:c>
      <x:c r="K2234" t="n">
        <x:f>IF(AND(J2234=1,C2234=0),1,0)</x:f>
        <x:v>0</x:v>
      </x:c>
      <x:c r="L2234" t="str">
        <x:f>IFERROR(INDEX(Customers!$C$2:$C$451,MATCH(A2234,Customers!$A$2:$A$451,0)),"Unknown")</x:f>
        <x:v>Premium</x:v>
      </x:c>
    </x:row>
    <x:row r="2235">
      <x:c r="A2235" t="n">
        <x:v>410</x:v>
      </x:c>
      <x:c r="B2235" s="16" t="n">
        <x:v>46266</x:v>
      </x:c>
      <x:c r="C2235" t="n">
        <x:v>0</x:v>
      </x:c>
      <x:c r="D2235" t="n">
        <x:v>0</x:v>
      </x:c>
      <x:c r="E2235" s="18" t="n">
        <x:v>0</x:v>
      </x:c>
      <x:c r="F2235" s="18" t="n">
        <x:v>0</x:v>
      </x:c>
      <x:c r="G2235" s="18" t="n">
        <x:v>0</x:v>
      </x:c>
      <x:c r="H2235" s="18" t="n">
        <x:v>0</x:v>
      </x:c>
      <x:c r="I2235" s="18" t="n">
        <x:v>0</x:v>
      </x:c>
      <x:c r="J2235" t="n">
        <x:f>IF(A2235=A2234,IFERROR(IF(B2235=EDATE(B2234,1),C2234,0),0),0)</x:f>
        <x:v>1</x:v>
      </x:c>
      <x:c r="K2235" t="n">
        <x:f>IF(AND(J2235=1,C2235=0),1,0)</x:f>
        <x:v>1</x:v>
      </x:c>
      <x:c r="L2235" t="str">
        <x:f>IFERROR(INDEX(Customers!$C$2:$C$451,MATCH(A2235,Customers!$A$2:$A$451,0)),"Unknown")</x:f>
        <x:v>Premium</x:v>
      </x:c>
    </x:row>
    <x:row r="2236">
      <x:c r="A2236" t="n">
        <x:v>411</x:v>
      </x:c>
      <x:c r="B2236" s="16" t="n">
        <x:v>46113</x:v>
      </x:c>
      <x:c r="C2236" t="n">
        <x:v>0</x:v>
      </x:c>
      <x:c r="D2236" t="n">
        <x:v>0</x:v>
      </x:c>
      <x:c r="E2236" s="18" t="n">
        <x:v>0</x:v>
      </x:c>
      <x:c r="F2236" s="18" t="n">
        <x:v>0</x:v>
      </x:c>
      <x:c r="G2236" s="18" t="n">
        <x:v>0</x:v>
      </x:c>
      <x:c r="H2236" s="18" t="n">
        <x:v>0</x:v>
      </x:c>
      <x:c r="I2236" s="18" t="n">
        <x:v>0</x:v>
      </x:c>
      <x:c r="J2236" t="n">
        <x:f>IF(A2236=A2235,IFERROR(IF(B2236=EDATE(B2235,1),C2235,0),0),0)</x:f>
        <x:v>0</x:v>
      </x:c>
      <x:c r="K2236" t="n">
        <x:f>IF(AND(J2236=1,C2236=0),1,0)</x:f>
        <x:v>0</x:v>
      </x:c>
      <x:c r="L2236" t="str">
        <x:f>IFERROR(INDEX(Customers!$C$2:$C$451,MATCH(A2236,Customers!$A$2:$A$451,0)),"Unknown")</x:f>
        <x:v>Standard</x:v>
      </x:c>
    </x:row>
    <x:row r="2237">
      <x:c r="A2237" t="n">
        <x:v>411</x:v>
      </x:c>
      <x:c r="B2237" s="16" t="n">
        <x:v>46143</x:v>
      </x:c>
      <x:c r="C2237" t="n">
        <x:v>0</x:v>
      </x:c>
      <x:c r="D2237" t="n">
        <x:v>0</x:v>
      </x:c>
      <x:c r="E2237" s="18" t="n">
        <x:v>0</x:v>
      </x:c>
      <x:c r="F2237" s="18" t="n">
        <x:v>0</x:v>
      </x:c>
      <x:c r="G2237" s="18" t="n">
        <x:v>0</x:v>
      </x:c>
      <x:c r="H2237" s="18" t="n">
        <x:v>0</x:v>
      </x:c>
      <x:c r="I2237" s="18" t="n">
        <x:v>0</x:v>
      </x:c>
      <x:c r="J2237" t="n">
        <x:f>IF(A2237=A2236,IFERROR(IF(B2237=EDATE(B2236,1),C2236,0),0),0)</x:f>
        <x:v>0</x:v>
      </x:c>
      <x:c r="K2237" t="n">
        <x:f>IF(AND(J2237=1,C2237=0),1,0)</x:f>
        <x:v>0</x:v>
      </x:c>
      <x:c r="L2237" t="str">
        <x:f>IFERROR(INDEX(Customers!$C$2:$C$451,MATCH(A2237,Customers!$A$2:$A$451,0)),"Unknown")</x:f>
        <x:v>Standard</x:v>
      </x:c>
    </x:row>
    <x:row r="2238">
      <x:c r="A2238" t="n">
        <x:v>411</x:v>
      </x:c>
      <x:c r="B2238" s="16" t="n">
        <x:v>46174</x:v>
      </x:c>
      <x:c r="C2238" t="n">
        <x:v>1</x:v>
      </x:c>
      <x:c r="D2238" t="n">
        <x:v>33</x:v>
      </x:c>
      <x:c r="E2238" s="18" t="n">
        <x:v>3820.55</x:v>
      </x:c>
      <x:c r="F2238" s="18" t="n">
        <x:v>0</x:v>
      </x:c>
      <x:c r="G2238" s="18" t="n">
        <x:v>17.19</x:v>
      </x:c>
      <x:c r="H2238" s="18" t="n">
        <x:v>6.09</x:v>
      </x:c>
      <x:c r="I2238" s="18" t="n">
        <x:v>23.28</x:v>
      </x:c>
      <x:c r="J2238" t="n">
        <x:f>IF(A2238=A2237,IFERROR(IF(B2238=EDATE(B2237,1),C2237,0),0),0)</x:f>
        <x:v>0</x:v>
      </x:c>
      <x:c r="K2238" t="n">
        <x:f>IF(AND(J2238=1,C2238=0),1,0)</x:f>
        <x:v>0</x:v>
      </x:c>
      <x:c r="L2238" t="str">
        <x:f>IFERROR(INDEX(Customers!$C$2:$C$451,MATCH(A2238,Customers!$A$2:$A$451,0)),"Unknown")</x:f>
        <x:v>Standard</x:v>
      </x:c>
    </x:row>
    <x:row r="2239">
      <x:c r="A2239" t="n">
        <x:v>411</x:v>
      </x:c>
      <x:c r="B2239" s="16" t="n">
        <x:v>46204</x:v>
      </x:c>
      <x:c r="C2239" t="n">
        <x:v>1</x:v>
      </x:c>
      <x:c r="D2239" t="n">
        <x:v>32</x:v>
      </x:c>
      <x:c r="E2239" s="18" t="n">
        <x:v>3468.56</x:v>
      </x:c>
      <x:c r="F2239" s="18" t="n">
        <x:v>0</x:v>
      </x:c>
      <x:c r="G2239" s="18" t="n">
        <x:v>15.61</x:v>
      </x:c>
      <x:c r="H2239" s="18" t="n">
        <x:v>4.97</x:v>
      </x:c>
      <x:c r="I2239" s="18" t="n">
        <x:v>20.58</x:v>
      </x:c>
      <x:c r="J2239" t="n">
        <x:f>IF(A2239=A2238,IFERROR(IF(B2239=EDATE(B2238,1),C2238,0),0),0)</x:f>
        <x:v>1</x:v>
      </x:c>
      <x:c r="K2239" t="n">
        <x:f>IF(AND(J2239=1,C2239=0),1,0)</x:f>
        <x:v>0</x:v>
      </x:c>
      <x:c r="L2239" t="str">
        <x:f>IFERROR(INDEX(Customers!$C$2:$C$451,MATCH(A2239,Customers!$A$2:$A$451,0)),"Unknown")</x:f>
        <x:v>Standard</x:v>
      </x:c>
    </x:row>
    <x:row r="2240">
      <x:c r="A2240" t="n">
        <x:v>411</x:v>
      </x:c>
      <x:c r="B2240" s="16" t="n">
        <x:v>46235</x:v>
      </x:c>
      <x:c r="C2240" t="n">
        <x:v>1</x:v>
      </x:c>
      <x:c r="D2240" t="n">
        <x:v>15</x:v>
      </x:c>
      <x:c r="E2240" s="18" t="n">
        <x:v>1580.85</x:v>
      </x:c>
      <x:c r="F2240" s="18" t="n">
        <x:v>0</x:v>
      </x:c>
      <x:c r="G2240" s="18" t="n">
        <x:v>7.11</x:v>
      </x:c>
      <x:c r="H2240" s="18" t="n">
        <x:v>1.34</x:v>
      </x:c>
      <x:c r="I2240" s="18" t="n">
        <x:v>8.45</x:v>
      </x:c>
      <x:c r="J2240" t="n">
        <x:f>IF(A2240=A2239,IFERROR(IF(B2240=EDATE(B2239,1),C2239,0),0),0)</x:f>
        <x:v>1</x:v>
      </x:c>
      <x:c r="K2240" t="n">
        <x:f>IF(AND(J2240=1,C2240=0),1,0)</x:f>
        <x:v>0</x:v>
      </x:c>
      <x:c r="L2240" t="str">
        <x:f>IFERROR(INDEX(Customers!$C$2:$C$451,MATCH(A2240,Customers!$A$2:$A$451,0)),"Unknown")</x:f>
        <x:v>Standard</x:v>
      </x:c>
    </x:row>
    <x:row r="2241">
      <x:c r="A2241" t="n">
        <x:v>411</x:v>
      </x:c>
      <x:c r="B2241" s="16" t="n">
        <x:v>46266</x:v>
      </x:c>
      <x:c r="C2241" t="n">
        <x:v>1</x:v>
      </x:c>
      <x:c r="D2241" t="n">
        <x:v>33</x:v>
      </x:c>
      <x:c r="E2241" s="18" t="n">
        <x:v>1785.97</x:v>
      </x:c>
      <x:c r="F2241" s="18" t="n">
        <x:v>0</x:v>
      </x:c>
      <x:c r="G2241" s="18" t="n">
        <x:v>8.04</x:v>
      </x:c>
      <x:c r="H2241" s="18" t="n">
        <x:v>3.19</x:v>
      </x:c>
      <x:c r="I2241" s="18" t="n">
        <x:v>11.23</x:v>
      </x:c>
      <x:c r="J2241" t="n">
        <x:f>IF(A2241=A2240,IFERROR(IF(B2241=EDATE(B2240,1),C2240,0),0),0)</x:f>
        <x:v>1</x:v>
      </x:c>
      <x:c r="K2241" t="n">
        <x:f>IF(AND(J2241=1,C2241=0),1,0)</x:f>
        <x:v>0</x:v>
      </x:c>
      <x:c r="L2241" t="str">
        <x:f>IFERROR(INDEX(Customers!$C$2:$C$451,MATCH(A2241,Customers!$A$2:$A$451,0)),"Unknown")</x:f>
        <x:v>Standard</x:v>
      </x:c>
    </x:row>
    <x:row r="2242">
      <x:c r="A2242" t="n">
        <x:v>412</x:v>
      </x:c>
      <x:c r="B2242" s="16" t="n">
        <x:v>46113</x:v>
      </x:c>
      <x:c r="C2242" t="n">
        <x:v>1</x:v>
      </x:c>
      <x:c r="D2242" t="n">
        <x:v>25</x:v>
      </x:c>
      <x:c r="E2242" s="18" t="n">
        <x:v>1802.24</x:v>
      </x:c>
      <x:c r="F2242" s="18" t="n">
        <x:v>0</x:v>
      </x:c>
      <x:c r="G2242" s="18" t="n">
        <x:v>8.11</x:v>
      </x:c>
      <x:c r="H2242" s="18" t="n">
        <x:v>5.77</x:v>
      </x:c>
      <x:c r="I2242" s="18" t="n">
        <x:v>13.88</x:v>
      </x:c>
      <x:c r="J2242" t="n">
        <x:f>IF(A2242=A2241,IFERROR(IF(B2242=EDATE(B2241,1),C2241,0),0),0)</x:f>
        <x:v>0</x:v>
      </x:c>
      <x:c r="K2242" t="n">
        <x:f>IF(AND(J2242=1,C2242=0),1,0)</x:f>
        <x:v>0</x:v>
      </x:c>
      <x:c r="L2242" t="str">
        <x:f>IFERROR(INDEX(Customers!$C$2:$C$451,MATCH(A2242,Customers!$A$2:$A$451,0)),"Unknown")</x:f>
        <x:v>Standard</x:v>
      </x:c>
    </x:row>
    <x:row r="2243">
      <x:c r="A2243" t="n">
        <x:v>412</x:v>
      </x:c>
      <x:c r="B2243" s="16" t="n">
        <x:v>46143</x:v>
      </x:c>
      <x:c r="C2243" t="n">
        <x:v>1</x:v>
      </x:c>
      <x:c r="D2243" t="n">
        <x:v>31</x:v>
      </x:c>
      <x:c r="E2243" s="18" t="n">
        <x:v>1634.37</x:v>
      </x:c>
      <x:c r="F2243" s="18" t="n">
        <x:v>0</x:v>
      </x:c>
      <x:c r="G2243" s="18" t="n">
        <x:v>7.35</x:v>
      </x:c>
      <x:c r="H2243" s="18" t="n">
        <x:v>1.46</x:v>
      </x:c>
      <x:c r="I2243" s="18" t="n">
        <x:v>8.81</x:v>
      </x:c>
      <x:c r="J2243" t="n">
        <x:f>IF(A2243=A2242,IFERROR(IF(B2243=EDATE(B2242,1),C2242,0),0),0)</x:f>
        <x:v>1</x:v>
      </x:c>
      <x:c r="K2243" t="n">
        <x:f>IF(AND(J2243=1,C2243=0),1,0)</x:f>
        <x:v>0</x:v>
      </x:c>
      <x:c r="L2243" t="str">
        <x:f>IFERROR(INDEX(Customers!$C$2:$C$451,MATCH(A2243,Customers!$A$2:$A$451,0)),"Unknown")</x:f>
        <x:v>Standard</x:v>
      </x:c>
    </x:row>
    <x:row r="2244">
      <x:c r="A2244" t="n">
        <x:v>412</x:v>
      </x:c>
      <x:c r="B2244" s="16" t="n">
        <x:v>46174</x:v>
      </x:c>
      <x:c r="C2244" t="n">
        <x:v>0</x:v>
      </x:c>
      <x:c r="D2244" t="n">
        <x:v>0</x:v>
      </x:c>
      <x:c r="E2244" s="18" t="n">
        <x:v>0</x:v>
      </x:c>
      <x:c r="F2244" s="18" t="n">
        <x:v>0</x:v>
      </x:c>
      <x:c r="G2244" s="18" t="n">
        <x:v>0</x:v>
      </x:c>
      <x:c r="H2244" s="18" t="n">
        <x:v>0</x:v>
      </x:c>
      <x:c r="I2244" s="18" t="n">
        <x:v>0</x:v>
      </x:c>
      <x:c r="J2244" t="n">
        <x:f>IF(A2244=A2243,IFERROR(IF(B2244=EDATE(B2243,1),C2243,0),0),0)</x:f>
        <x:v>1</x:v>
      </x:c>
      <x:c r="K2244" t="n">
        <x:f>IF(AND(J2244=1,C2244=0),1,0)</x:f>
        <x:v>1</x:v>
      </x:c>
      <x:c r="L2244" t="str">
        <x:f>IFERROR(INDEX(Customers!$C$2:$C$451,MATCH(A2244,Customers!$A$2:$A$451,0)),"Unknown")</x:f>
        <x:v>Standard</x:v>
      </x:c>
    </x:row>
    <x:row r="2245">
      <x:c r="A2245" t="n">
        <x:v>412</x:v>
      </x:c>
      <x:c r="B2245" s="16" t="n">
        <x:v>46204</x:v>
      </x:c>
      <x:c r="C2245" t="n">
        <x:v>1</x:v>
      </x:c>
      <x:c r="D2245" t="n">
        <x:v>9</x:v>
      </x:c>
      <x:c r="E2245" s="18" t="n">
        <x:v>1120.34</x:v>
      </x:c>
      <x:c r="F2245" s="18" t="n">
        <x:v>0</x:v>
      </x:c>
      <x:c r="G2245" s="18" t="n">
        <x:v>5.04</x:v>
      </x:c>
      <x:c r="H2245" s="18" t="n">
        <x:v>1.1</x:v>
      </x:c>
      <x:c r="I2245" s="18" t="n">
        <x:v>6.14</x:v>
      </x:c>
      <x:c r="J2245" t="n">
        <x:f>IF(A2245=A2244,IFERROR(IF(B2245=EDATE(B2244,1),C2244,0),0),0)</x:f>
        <x:v>0</x:v>
      </x:c>
      <x:c r="K2245" t="n">
        <x:f>IF(AND(J2245=1,C2245=0),1,0)</x:f>
        <x:v>0</x:v>
      </x:c>
      <x:c r="L2245" t="str">
        <x:f>IFERROR(INDEX(Customers!$C$2:$C$451,MATCH(A2245,Customers!$A$2:$A$451,0)),"Unknown")</x:f>
        <x:v>Standard</x:v>
      </x:c>
    </x:row>
    <x:row r="2246">
      <x:c r="A2246" t="n">
        <x:v>412</x:v>
      </x:c>
      <x:c r="B2246" s="16" t="n">
        <x:v>46235</x:v>
      </x:c>
      <x:c r="C2246" t="n">
        <x:v>1</x:v>
      </x:c>
      <x:c r="D2246" t="n">
        <x:v>4</x:v>
      </x:c>
      <x:c r="E2246" s="18" t="n">
        <x:v>366.75</x:v>
      </x:c>
      <x:c r="F2246" s="18" t="n">
        <x:v>0</x:v>
      </x:c>
      <x:c r="G2246" s="18" t="n">
        <x:v>1.65</x:v>
      </x:c>
      <x:c r="H2246" s="18" t="n">
        <x:v>1.03</x:v>
      </x:c>
      <x:c r="I2246" s="18" t="n">
        <x:v>2.68</x:v>
      </x:c>
      <x:c r="J2246" t="n">
        <x:f>IF(A2246=A2245,IFERROR(IF(B2246=EDATE(B2245,1),C2245,0),0),0)</x:f>
        <x:v>1</x:v>
      </x:c>
      <x:c r="K2246" t="n">
        <x:f>IF(AND(J2246=1,C2246=0),1,0)</x:f>
        <x:v>0</x:v>
      </x:c>
      <x:c r="L2246" t="str">
        <x:f>IFERROR(INDEX(Customers!$C$2:$C$451,MATCH(A2246,Customers!$A$2:$A$451,0)),"Unknown")</x:f>
        <x:v>Standard</x:v>
      </x:c>
    </x:row>
    <x:row r="2247">
      <x:c r="A2247" t="n">
        <x:v>412</x:v>
      </x:c>
      <x:c r="B2247" s="16" t="n">
        <x:v>46266</x:v>
      </x:c>
      <x:c r="C2247" t="n">
        <x:v>0</x:v>
      </x:c>
      <x:c r="D2247" t="n">
        <x:v>0</x:v>
      </x:c>
      <x:c r="E2247" s="18" t="n">
        <x:v>0</x:v>
      </x:c>
      <x:c r="F2247" s="18" t="n">
        <x:v>0</x:v>
      </x:c>
      <x:c r="G2247" s="18" t="n">
        <x:v>0</x:v>
      </x:c>
      <x:c r="H2247" s="18" t="n">
        <x:v>0</x:v>
      </x:c>
      <x:c r="I2247" s="18" t="n">
        <x:v>0</x:v>
      </x:c>
      <x:c r="J2247" t="n">
        <x:f>IF(A2247=A2246,IFERROR(IF(B2247=EDATE(B2246,1),C2246,0),0),0)</x:f>
        <x:v>1</x:v>
      </x:c>
      <x:c r="K2247" t="n">
        <x:f>IF(AND(J2247=1,C2247=0),1,0)</x:f>
        <x:v>1</x:v>
      </x:c>
      <x:c r="L2247" t="str">
        <x:f>IFERROR(INDEX(Customers!$C$2:$C$451,MATCH(A2247,Customers!$A$2:$A$451,0)),"Unknown")</x:f>
        <x:v>Standard</x:v>
      </x:c>
    </x:row>
    <x:row r="2248">
      <x:c r="A2248" t="n">
        <x:v>413</x:v>
      </x:c>
      <x:c r="B2248" s="16" t="n">
        <x:v>46113</x:v>
      </x:c>
      <x:c r="C2248" t="n">
        <x:v>1</x:v>
      </x:c>
      <x:c r="D2248" t="n">
        <x:v>29</x:v>
      </x:c>
      <x:c r="E2248" s="18" t="n">
        <x:v>4019.63</x:v>
      </x:c>
      <x:c r="F2248" s="18" t="n">
        <x:v>8</x:v>
      </x:c>
      <x:c r="G2248" s="18" t="n">
        <x:v>18.09</x:v>
      </x:c>
      <x:c r="H2248" s="18" t="n">
        <x:v>5.33</x:v>
      </x:c>
      <x:c r="I2248" s="18" t="n">
        <x:v>31.42</x:v>
      </x:c>
      <x:c r="J2248" t="n">
        <x:f>IF(A2248=A2247,IFERROR(IF(B2248=EDATE(B2247,1),C2247,0),0),0)</x:f>
        <x:v>0</x:v>
      </x:c>
      <x:c r="K2248" t="n">
        <x:f>IF(AND(J2248=1,C2248=0),1,0)</x:f>
        <x:v>0</x:v>
      </x:c>
      <x:c r="L2248" t="str">
        <x:f>IFERROR(INDEX(Customers!$C$2:$C$451,MATCH(A2248,Customers!$A$2:$A$451,0)),"Unknown")</x:f>
        <x:v>Plus</x:v>
      </x:c>
    </x:row>
    <x:row r="2249">
      <x:c r="A2249" t="n">
        <x:v>413</x:v>
      </x:c>
      <x:c r="B2249" s="16" t="n">
        <x:v>46143</x:v>
      </x:c>
      <x:c r="C2249" t="n">
        <x:v>1</x:v>
      </x:c>
      <x:c r="D2249" t="n">
        <x:v>32</x:v>
      </x:c>
      <x:c r="E2249" s="18" t="n">
        <x:v>3551.12</x:v>
      </x:c>
      <x:c r="F2249" s="18" t="n">
        <x:v>8</x:v>
      </x:c>
      <x:c r="G2249" s="18" t="n">
        <x:v>15.98</x:v>
      </x:c>
      <x:c r="H2249" s="18" t="n">
        <x:v>8.73</x:v>
      </x:c>
      <x:c r="I2249" s="18" t="n">
        <x:v>32.71</x:v>
      </x:c>
      <x:c r="J2249" t="n">
        <x:f>IF(A2249=A2248,IFERROR(IF(B2249=EDATE(B2248,1),C2248,0),0),0)</x:f>
        <x:v>1</x:v>
      </x:c>
      <x:c r="K2249" t="n">
        <x:f>IF(AND(J2249=1,C2249=0),1,0)</x:f>
        <x:v>0</x:v>
      </x:c>
      <x:c r="L2249" t="str">
        <x:f>IFERROR(INDEX(Customers!$C$2:$C$451,MATCH(A2249,Customers!$A$2:$A$451,0)),"Unknown")</x:f>
        <x:v>Plus</x:v>
      </x:c>
    </x:row>
    <x:row r="2250">
      <x:c r="A2250" t="n">
        <x:v>413</x:v>
      </x:c>
      <x:c r="B2250" s="16" t="n">
        <x:v>46174</x:v>
      </x:c>
      <x:c r="C2250" t="n">
        <x:v>1</x:v>
      </x:c>
      <x:c r="D2250" t="n">
        <x:v>33</x:v>
      </x:c>
      <x:c r="E2250" s="18" t="n">
        <x:v>3323.69</x:v>
      </x:c>
      <x:c r="F2250" s="18" t="n">
        <x:v>8</x:v>
      </x:c>
      <x:c r="G2250" s="18" t="n">
        <x:v>14.96</x:v>
      </x:c>
      <x:c r="H2250" s="18" t="n">
        <x:v>5.91</x:v>
      </x:c>
      <x:c r="I2250" s="18" t="n">
        <x:v>28.87</x:v>
      </x:c>
      <x:c r="J2250" t="n">
        <x:f>IF(A2250=A2249,IFERROR(IF(B2250=EDATE(B2249,1),C2249,0),0),0)</x:f>
        <x:v>1</x:v>
      </x:c>
      <x:c r="K2250" t="n">
        <x:f>IF(AND(J2250=1,C2250=0),1,0)</x:f>
        <x:v>0</x:v>
      </x:c>
      <x:c r="L2250" t="str">
        <x:f>IFERROR(INDEX(Customers!$C$2:$C$451,MATCH(A2250,Customers!$A$2:$A$451,0)),"Unknown")</x:f>
        <x:v>Plus</x:v>
      </x:c>
    </x:row>
    <x:row r="2251">
      <x:c r="A2251" t="n">
        <x:v>413</x:v>
      </x:c>
      <x:c r="B2251" s="16" t="n">
        <x:v>46204</x:v>
      </x:c>
      <x:c r="C2251" t="n">
        <x:v>1</x:v>
      </x:c>
      <x:c r="D2251" t="n">
        <x:v>4</x:v>
      </x:c>
      <x:c r="E2251" s="18" t="n">
        <x:v>188.09</x:v>
      </x:c>
      <x:c r="F2251" s="18" t="n">
        <x:v>8</x:v>
      </x:c>
      <x:c r="G2251" s="18" t="n">
        <x:v>0.85</x:v>
      </x:c>
      <x:c r="H2251" s="18" t="n">
        <x:v>0.18</x:v>
      </x:c>
      <x:c r="I2251" s="18" t="n">
        <x:v>9.03</x:v>
      </x:c>
      <x:c r="J2251" t="n">
        <x:f>IF(A2251=A2250,IFERROR(IF(B2251=EDATE(B2250,1),C2250,0),0),0)</x:f>
        <x:v>1</x:v>
      </x:c>
      <x:c r="K2251" t="n">
        <x:f>IF(AND(J2251=1,C2251=0),1,0)</x:f>
        <x:v>0</x:v>
      </x:c>
      <x:c r="L2251" t="str">
        <x:f>IFERROR(INDEX(Customers!$C$2:$C$451,MATCH(A2251,Customers!$A$2:$A$451,0)),"Unknown")</x:f>
        <x:v>Plus</x:v>
      </x:c>
    </x:row>
    <x:row r="2252">
      <x:c r="A2252" t="n">
        <x:v>413</x:v>
      </x:c>
      <x:c r="B2252" s="16" t="n">
        <x:v>46235</x:v>
      </x:c>
      <x:c r="C2252" t="n">
        <x:v>1</x:v>
      </x:c>
      <x:c r="D2252" t="n">
        <x:v>8</x:v>
      </x:c>
      <x:c r="E2252" s="18" t="n">
        <x:v>1024.15</x:v>
      </x:c>
      <x:c r="F2252" s="18" t="n">
        <x:v>8</x:v>
      </x:c>
      <x:c r="G2252" s="18" t="n">
        <x:v>4.61</x:v>
      </x:c>
      <x:c r="H2252" s="18" t="n">
        <x:v>1.62</x:v>
      </x:c>
      <x:c r="I2252" s="18" t="n">
        <x:v>14.23</x:v>
      </x:c>
      <x:c r="J2252" t="n">
        <x:f>IF(A2252=A2251,IFERROR(IF(B2252=EDATE(B2251,1),C2251,0),0),0)</x:f>
        <x:v>1</x:v>
      </x:c>
      <x:c r="K2252" t="n">
        <x:f>IF(AND(J2252=1,C2252=0),1,0)</x:f>
        <x:v>0</x:v>
      </x:c>
      <x:c r="L2252" t="str">
        <x:f>IFERROR(INDEX(Customers!$C$2:$C$451,MATCH(A2252,Customers!$A$2:$A$451,0)),"Unknown")</x:f>
        <x:v>Plus</x:v>
      </x:c>
    </x:row>
    <x:row r="2253">
      <x:c r="A2253" t="n">
        <x:v>413</x:v>
      </x:c>
      <x:c r="B2253" s="16" t="n">
        <x:v>46266</x:v>
      </x:c>
      <x:c r="C2253" t="n">
        <x:v>0</x:v>
      </x:c>
      <x:c r="D2253" t="n">
        <x:v>0</x:v>
      </x:c>
      <x:c r="E2253" s="18" t="n">
        <x:v>0</x:v>
      </x:c>
      <x:c r="F2253" s="18" t="n">
        <x:v>0</x:v>
      </x:c>
      <x:c r="G2253" s="18" t="n">
        <x:v>0</x:v>
      </x:c>
      <x:c r="H2253" s="18" t="n">
        <x:v>0</x:v>
      </x:c>
      <x:c r="I2253" s="18" t="n">
        <x:v>0</x:v>
      </x:c>
      <x:c r="J2253" t="n">
        <x:f>IF(A2253=A2252,IFERROR(IF(B2253=EDATE(B2252,1),C2252,0),0),0)</x:f>
        <x:v>1</x:v>
      </x:c>
      <x:c r="K2253" t="n">
        <x:f>IF(AND(J2253=1,C2253=0),1,0)</x:f>
        <x:v>1</x:v>
      </x:c>
      <x:c r="L2253" t="str">
        <x:f>IFERROR(INDEX(Customers!$C$2:$C$451,MATCH(A2253,Customers!$A$2:$A$451,0)),"Unknown")</x:f>
        <x:v>Plus</x:v>
      </x:c>
    </x:row>
    <x:row r="2254">
      <x:c r="A2254" t="n">
        <x:v>414</x:v>
      </x:c>
      <x:c r="B2254" s="16" t="n">
        <x:v>46143</x:v>
      </x:c>
      <x:c r="C2254" t="n">
        <x:v>1</x:v>
      </x:c>
      <x:c r="D2254" t="n">
        <x:v>9</x:v>
      </x:c>
      <x:c r="E2254" s="18" t="n">
        <x:v>361.18</x:v>
      </x:c>
      <x:c r="F2254" s="18" t="n">
        <x:v>8</x:v>
      </x:c>
      <x:c r="G2254" s="18" t="n">
        <x:v>1.63</x:v>
      </x:c>
      <x:c r="H2254" s="18" t="n">
        <x:v>1</x:v>
      </x:c>
      <x:c r="I2254" s="18" t="n">
        <x:v>10.63</x:v>
      </x:c>
      <x:c r="J2254" t="n">
        <x:f>IF(A2254=A2253,IFERROR(IF(B2254=EDATE(B2253,1),C2253,0),0),0)</x:f>
        <x:v>0</x:v>
      </x:c>
      <x:c r="K2254" t="n">
        <x:f>IF(AND(J2254=1,C2254=0),1,0)</x:f>
        <x:v>0</x:v>
      </x:c>
      <x:c r="L2254" t="str">
        <x:f>IFERROR(INDEX(Customers!$C$2:$C$451,MATCH(A2254,Customers!$A$2:$A$451,0)),"Unknown")</x:f>
        <x:v>Plus</x:v>
      </x:c>
    </x:row>
    <x:row r="2255">
      <x:c r="A2255" t="n">
        <x:v>414</x:v>
      </x:c>
      <x:c r="B2255" s="16" t="n">
        <x:v>46174</x:v>
      </x:c>
      <x:c r="C2255" t="n">
        <x:v>1</x:v>
      </x:c>
      <x:c r="D2255" t="n">
        <x:v>9</x:v>
      </x:c>
      <x:c r="E2255" s="18" t="n">
        <x:v>524.02</x:v>
      </x:c>
      <x:c r="F2255" s="18" t="n">
        <x:v>8</x:v>
      </x:c>
      <x:c r="G2255" s="18" t="n">
        <x:v>2.36</x:v>
      </x:c>
      <x:c r="H2255" s="18" t="n">
        <x:v>1.21</x:v>
      </x:c>
      <x:c r="I2255" s="18" t="n">
        <x:v>11.57</x:v>
      </x:c>
      <x:c r="J2255" t="n">
        <x:f>IF(A2255=A2254,IFERROR(IF(B2255=EDATE(B2254,1),C2254,0),0),0)</x:f>
        <x:v>1</x:v>
      </x:c>
      <x:c r="K2255" t="n">
        <x:f>IF(AND(J2255=1,C2255=0),1,0)</x:f>
        <x:v>0</x:v>
      </x:c>
      <x:c r="L2255" t="str">
        <x:f>IFERROR(INDEX(Customers!$C$2:$C$451,MATCH(A2255,Customers!$A$2:$A$451,0)),"Unknown")</x:f>
        <x:v>Plus</x:v>
      </x:c>
    </x:row>
    <x:row r="2256">
      <x:c r="A2256" t="n">
        <x:v>414</x:v>
      </x:c>
      <x:c r="B2256" s="16" t="n">
        <x:v>46204</x:v>
      </x:c>
      <x:c r="C2256" t="n">
        <x:v>0</x:v>
      </x:c>
      <x:c r="D2256" t="n">
        <x:v>0</x:v>
      </x:c>
      <x:c r="E2256" s="18" t="n">
        <x:v>0</x:v>
      </x:c>
      <x:c r="F2256" s="18" t="n">
        <x:v>0</x:v>
      </x:c>
      <x:c r="G2256" s="18" t="n">
        <x:v>0</x:v>
      </x:c>
      <x:c r="H2256" s="18" t="n">
        <x:v>0</x:v>
      </x:c>
      <x:c r="I2256" s="18" t="n">
        <x:v>0</x:v>
      </x:c>
      <x:c r="J2256" t="n">
        <x:f>IF(A2256=A2255,IFERROR(IF(B2256=EDATE(B2255,1),C2255,0),0),0)</x:f>
        <x:v>1</x:v>
      </x:c>
      <x:c r="K2256" t="n">
        <x:f>IF(AND(J2256=1,C2256=0),1,0)</x:f>
        <x:v>1</x:v>
      </x:c>
      <x:c r="L2256" t="str">
        <x:f>IFERROR(INDEX(Customers!$C$2:$C$451,MATCH(A2256,Customers!$A$2:$A$451,0)),"Unknown")</x:f>
        <x:v>Plus</x:v>
      </x:c>
    </x:row>
    <x:row r="2257">
      <x:c r="A2257" t="n">
        <x:v>414</x:v>
      </x:c>
      <x:c r="B2257" s="16" t="n">
        <x:v>46235</x:v>
      </x:c>
      <x:c r="C2257" t="n">
        <x:v>1</x:v>
      </x:c>
      <x:c r="D2257" t="n">
        <x:v>34</x:v>
      </x:c>
      <x:c r="E2257" s="18" t="n">
        <x:v>4253.25</x:v>
      </x:c>
      <x:c r="F2257" s="18" t="n">
        <x:v>8</x:v>
      </x:c>
      <x:c r="G2257" s="18" t="n">
        <x:v>19.14</x:v>
      </x:c>
      <x:c r="H2257" s="18" t="n">
        <x:v>15.96</x:v>
      </x:c>
      <x:c r="I2257" s="18" t="n">
        <x:v>43.1</x:v>
      </x:c>
      <x:c r="J2257" t="n">
        <x:f>IF(A2257=A2256,IFERROR(IF(B2257=EDATE(B2256,1),C2256,0),0),0)</x:f>
        <x:v>0</x:v>
      </x:c>
      <x:c r="K2257" t="n">
        <x:f>IF(AND(J2257=1,C2257=0),1,0)</x:f>
        <x:v>0</x:v>
      </x:c>
      <x:c r="L2257" t="str">
        <x:f>IFERROR(INDEX(Customers!$C$2:$C$451,MATCH(A2257,Customers!$A$2:$A$451,0)),"Unknown")</x:f>
        <x:v>Plus</x:v>
      </x:c>
    </x:row>
    <x:row r="2258">
      <x:c r="A2258" t="n">
        <x:v>414</x:v>
      </x:c>
      <x:c r="B2258" s="16" t="n">
        <x:v>46266</x:v>
      </x:c>
      <x:c r="C2258" t="n">
        <x:v>0</x:v>
      </x:c>
      <x:c r="D2258" t="n">
        <x:v>0</x:v>
      </x:c>
      <x:c r="E2258" s="18" t="n">
        <x:v>0</x:v>
      </x:c>
      <x:c r="F2258" s="18" t="n">
        <x:v>0</x:v>
      </x:c>
      <x:c r="G2258" s="18" t="n">
        <x:v>0</x:v>
      </x:c>
      <x:c r="H2258" s="18" t="n">
        <x:v>0</x:v>
      </x:c>
      <x:c r="I2258" s="18" t="n">
        <x:v>0</x:v>
      </x:c>
      <x:c r="J2258" t="n">
        <x:f>IF(A2258=A2257,IFERROR(IF(B2258=EDATE(B2257,1),C2257,0),0),0)</x:f>
        <x:v>1</x:v>
      </x:c>
      <x:c r="K2258" t="n">
        <x:f>IF(AND(J2258=1,C2258=0),1,0)</x:f>
        <x:v>1</x:v>
      </x:c>
      <x:c r="L2258" t="str">
        <x:f>IFERROR(INDEX(Customers!$C$2:$C$451,MATCH(A2258,Customers!$A$2:$A$451,0)),"Unknown")</x:f>
        <x:v>Plus</x:v>
      </x:c>
    </x:row>
    <x:row r="2259">
      <x:c r="A2259" t="n">
        <x:v>415</x:v>
      </x:c>
      <x:c r="B2259" s="16" t="n">
        <x:v>46113</x:v>
      </x:c>
      <x:c r="C2259" t="n">
        <x:v>0</x:v>
      </x:c>
      <x:c r="D2259" t="n">
        <x:v>0</x:v>
      </x:c>
      <x:c r="E2259" s="18" t="n">
        <x:v>0</x:v>
      </x:c>
      <x:c r="F2259" s="18" t="n">
        <x:v>0</x:v>
      </x:c>
      <x:c r="G2259" s="18" t="n">
        <x:v>0</x:v>
      </x:c>
      <x:c r="H2259" s="18" t="n">
        <x:v>0</x:v>
      </x:c>
      <x:c r="I2259" s="18" t="n">
        <x:v>0</x:v>
      </x:c>
      <x:c r="J2259" t="n">
        <x:f>IF(A2259=A2258,IFERROR(IF(B2259=EDATE(B2258,1),C2258,0),0),0)</x:f>
        <x:v>0</x:v>
      </x:c>
      <x:c r="K2259" t="n">
        <x:f>IF(AND(J2259=1,C2259=0),1,0)</x:f>
        <x:v>0</x:v>
      </x:c>
      <x:c r="L2259" t="str">
        <x:f>IFERROR(INDEX(Customers!$C$2:$C$451,MATCH(A2259,Customers!$A$2:$A$451,0)),"Unknown")</x:f>
        <x:v>Premium</x:v>
      </x:c>
    </x:row>
    <x:row r="2260">
      <x:c r="A2260" t="n">
        <x:v>415</x:v>
      </x:c>
      <x:c r="B2260" s="16" t="n">
        <x:v>46143</x:v>
      </x:c>
      <x:c r="C2260" t="n">
        <x:v>1</x:v>
      </x:c>
      <x:c r="D2260" t="n">
        <x:v>13</x:v>
      </x:c>
      <x:c r="E2260" s="18" t="n">
        <x:v>1280.78</x:v>
      </x:c>
      <x:c r="F2260" s="18" t="n">
        <x:v>17</x:v>
      </x:c>
      <x:c r="G2260" s="18" t="n">
        <x:v>5.76</x:v>
      </x:c>
      <x:c r="H2260" s="18" t="n">
        <x:v>1.54</x:v>
      </x:c>
      <x:c r="I2260" s="18" t="n">
        <x:v>24.3</x:v>
      </x:c>
      <x:c r="J2260" t="n">
        <x:f>IF(A2260=A2259,IFERROR(IF(B2260=EDATE(B2259,1),C2259,0),0),0)</x:f>
        <x:v>0</x:v>
      </x:c>
      <x:c r="K2260" t="n">
        <x:f>IF(AND(J2260=1,C2260=0),1,0)</x:f>
        <x:v>0</x:v>
      </x:c>
      <x:c r="L2260" t="str">
        <x:f>IFERROR(INDEX(Customers!$C$2:$C$451,MATCH(A2260,Customers!$A$2:$A$451,0)),"Unknown")</x:f>
        <x:v>Premium</x:v>
      </x:c>
    </x:row>
    <x:row r="2261">
      <x:c r="A2261" t="n">
        <x:v>415</x:v>
      </x:c>
      <x:c r="B2261" s="16" t="n">
        <x:v>46174</x:v>
      </x:c>
      <x:c r="C2261" t="n">
        <x:v>0</x:v>
      </x:c>
      <x:c r="D2261" t="n">
        <x:v>0</x:v>
      </x:c>
      <x:c r="E2261" s="18" t="n">
        <x:v>0</x:v>
      </x:c>
      <x:c r="F2261" s="18" t="n">
        <x:v>0</x:v>
      </x:c>
      <x:c r="G2261" s="18" t="n">
        <x:v>0</x:v>
      </x:c>
      <x:c r="H2261" s="18" t="n">
        <x:v>0</x:v>
      </x:c>
      <x:c r="I2261" s="18" t="n">
        <x:v>0</x:v>
      </x:c>
      <x:c r="J2261" t="n">
        <x:f>IF(A2261=A2260,IFERROR(IF(B2261=EDATE(B2260,1),C2260,0),0),0)</x:f>
        <x:v>1</x:v>
      </x:c>
      <x:c r="K2261" t="n">
        <x:f>IF(AND(J2261=1,C2261=0),1,0)</x:f>
        <x:v>1</x:v>
      </x:c>
      <x:c r="L2261" t="str">
        <x:f>IFERROR(INDEX(Customers!$C$2:$C$451,MATCH(A2261,Customers!$A$2:$A$451,0)),"Unknown")</x:f>
        <x:v>Premium</x:v>
      </x:c>
    </x:row>
    <x:row r="2262">
      <x:c r="A2262" t="n">
        <x:v>415</x:v>
      </x:c>
      <x:c r="B2262" s="16" t="n">
        <x:v>46204</x:v>
      </x:c>
      <x:c r="C2262" t="n">
        <x:v>1</x:v>
      </x:c>
      <x:c r="D2262" t="n">
        <x:v>30</x:v>
      </x:c>
      <x:c r="E2262" s="18" t="n">
        <x:v>3083.37</x:v>
      </x:c>
      <x:c r="F2262" s="18" t="n">
        <x:v>17</x:v>
      </x:c>
      <x:c r="G2262" s="18" t="n">
        <x:v>13.88</x:v>
      </x:c>
      <x:c r="H2262" s="18" t="n">
        <x:v>5.14</x:v>
      </x:c>
      <x:c r="I2262" s="18" t="n">
        <x:v>36.02</x:v>
      </x:c>
      <x:c r="J2262" t="n">
        <x:f>IF(A2262=A2261,IFERROR(IF(B2262=EDATE(B2261,1),C2261,0),0),0)</x:f>
        <x:v>0</x:v>
      </x:c>
      <x:c r="K2262" t="n">
        <x:f>IF(AND(J2262=1,C2262=0),1,0)</x:f>
        <x:v>0</x:v>
      </x:c>
      <x:c r="L2262" t="str">
        <x:f>IFERROR(INDEX(Customers!$C$2:$C$451,MATCH(A2262,Customers!$A$2:$A$451,0)),"Unknown")</x:f>
        <x:v>Premium</x:v>
      </x:c>
    </x:row>
    <x:row r="2263">
      <x:c r="A2263" t="n">
        <x:v>415</x:v>
      </x:c>
      <x:c r="B2263" s="16" t="n">
        <x:v>46235</x:v>
      </x:c>
      <x:c r="C2263" t="n">
        <x:v>1</x:v>
      </x:c>
      <x:c r="D2263" t="n">
        <x:v>32</x:v>
      </x:c>
      <x:c r="E2263" s="18" t="n">
        <x:v>4288.44</x:v>
      </x:c>
      <x:c r="F2263" s="18" t="n">
        <x:v>17</x:v>
      </x:c>
      <x:c r="G2263" s="18" t="n">
        <x:v>19.3</x:v>
      </x:c>
      <x:c r="H2263" s="18" t="n">
        <x:v>10.55</x:v>
      </x:c>
      <x:c r="I2263" s="18" t="n">
        <x:v>46.85</x:v>
      </x:c>
      <x:c r="J2263" t="n">
        <x:f>IF(A2263=A2262,IFERROR(IF(B2263=EDATE(B2262,1),C2262,0),0),0)</x:f>
        <x:v>1</x:v>
      </x:c>
      <x:c r="K2263" t="n">
        <x:f>IF(AND(J2263=1,C2263=0),1,0)</x:f>
        <x:v>0</x:v>
      </x:c>
      <x:c r="L2263" t="str">
        <x:f>IFERROR(INDEX(Customers!$C$2:$C$451,MATCH(A2263,Customers!$A$2:$A$451,0)),"Unknown")</x:f>
        <x:v>Premium</x:v>
      </x:c>
    </x:row>
    <x:row r="2264">
      <x:c r="A2264" t="n">
        <x:v>415</x:v>
      </x:c>
      <x:c r="B2264" s="16" t="n">
        <x:v>46266</x:v>
      </x:c>
      <x:c r="C2264" t="n">
        <x:v>1</x:v>
      </x:c>
      <x:c r="D2264" t="n">
        <x:v>28</x:v>
      </x:c>
      <x:c r="E2264" s="18" t="n">
        <x:v>1020.61</x:v>
      </x:c>
      <x:c r="F2264" s="18" t="n">
        <x:v>17</x:v>
      </x:c>
      <x:c r="G2264" s="18" t="n">
        <x:v>4.59</x:v>
      </x:c>
      <x:c r="H2264" s="18" t="n">
        <x:v>1.78</x:v>
      </x:c>
      <x:c r="I2264" s="18" t="n">
        <x:v>23.37</x:v>
      </x:c>
      <x:c r="J2264" t="n">
        <x:f>IF(A2264=A2263,IFERROR(IF(B2264=EDATE(B2263,1),C2263,0),0),0)</x:f>
        <x:v>1</x:v>
      </x:c>
      <x:c r="K2264" t="n">
        <x:f>IF(AND(J2264=1,C2264=0),1,0)</x:f>
        <x:v>0</x:v>
      </x:c>
      <x:c r="L2264" t="str">
        <x:f>IFERROR(INDEX(Customers!$C$2:$C$451,MATCH(A2264,Customers!$A$2:$A$451,0)),"Unknown")</x:f>
        <x:v>Premium</x:v>
      </x:c>
    </x:row>
    <x:row r="2265">
      <x:c r="A2265" t="n">
        <x:v>416</x:v>
      </x:c>
      <x:c r="B2265" s="16" t="n">
        <x:v>46143</x:v>
      </x:c>
      <x:c r="C2265" t="n">
        <x:v>1</x:v>
      </x:c>
      <x:c r="D2265" t="n">
        <x:v>35</x:v>
      </x:c>
      <x:c r="E2265" s="18" t="n">
        <x:v>3663.7</x:v>
      </x:c>
      <x:c r="F2265" s="18" t="n">
        <x:v>34</x:v>
      </x:c>
      <x:c r="G2265" s="18" t="n">
        <x:v>16.49</x:v>
      </x:c>
      <x:c r="H2265" s="18" t="n">
        <x:v>9.28</x:v>
      </x:c>
      <x:c r="I2265" s="18" t="n">
        <x:v>59.77</x:v>
      </x:c>
      <x:c r="J2265" t="n">
        <x:f>IF(A2265=A2264,IFERROR(IF(B2265=EDATE(B2264,1),C2264,0),0),0)</x:f>
        <x:v>0</x:v>
      </x:c>
      <x:c r="K2265" t="n">
        <x:f>IF(AND(J2265=1,C2265=0),1,0)</x:f>
        <x:v>0</x:v>
      </x:c>
      <x:c r="L2265" t="str">
        <x:f>IFERROR(INDEX(Customers!$C$2:$C$451,MATCH(A2265,Customers!$A$2:$A$451,0)),"Unknown")</x:f>
        <x:v>Metal</x:v>
      </x:c>
    </x:row>
    <x:row r="2266">
      <x:c r="A2266" t="n">
        <x:v>416</x:v>
      </x:c>
      <x:c r="B2266" s="16" t="n">
        <x:v>46174</x:v>
      </x:c>
      <x:c r="C2266" t="n">
        <x:v>1</x:v>
      </x:c>
      <x:c r="D2266" t="n">
        <x:v>30</x:v>
      </x:c>
      <x:c r="E2266" s="18" t="n">
        <x:v>3539.36</x:v>
      </x:c>
      <x:c r="F2266" s="18" t="n">
        <x:v>34</x:v>
      </x:c>
      <x:c r="G2266" s="18" t="n">
        <x:v>15.93</x:v>
      </x:c>
      <x:c r="H2266" s="18" t="n">
        <x:v>10.88</x:v>
      </x:c>
      <x:c r="I2266" s="18" t="n">
        <x:v>60.81</x:v>
      </x:c>
      <x:c r="J2266" t="n">
        <x:f>IF(A2266=A2265,IFERROR(IF(B2266=EDATE(B2265,1),C2265,0),0),0)</x:f>
        <x:v>1</x:v>
      </x:c>
      <x:c r="K2266" t="n">
        <x:f>IF(AND(J2266=1,C2266=0),1,0)</x:f>
        <x:v>0</x:v>
      </x:c>
      <x:c r="L2266" t="str">
        <x:f>IFERROR(INDEX(Customers!$C$2:$C$451,MATCH(A2266,Customers!$A$2:$A$451,0)),"Unknown")</x:f>
        <x:v>Metal</x:v>
      </x:c>
    </x:row>
    <x:row r="2267">
      <x:c r="A2267" t="n">
        <x:v>416</x:v>
      </x:c>
      <x:c r="B2267" s="16" t="n">
        <x:v>46204</x:v>
      </x:c>
      <x:c r="C2267" t="n">
        <x:v>1</x:v>
      </x:c>
      <x:c r="D2267" t="n">
        <x:v>13</x:v>
      </x:c>
      <x:c r="E2267" s="18" t="n">
        <x:v>970.82</x:v>
      </x:c>
      <x:c r="F2267" s="18" t="n">
        <x:v>34</x:v>
      </x:c>
      <x:c r="G2267" s="18" t="n">
        <x:v>4.37</x:v>
      </x:c>
      <x:c r="H2267" s="18" t="n">
        <x:v>1.24</x:v>
      </x:c>
      <x:c r="I2267" s="18" t="n">
        <x:v>39.61</x:v>
      </x:c>
      <x:c r="J2267" t="n">
        <x:f>IF(A2267=A2266,IFERROR(IF(B2267=EDATE(B2266,1),C2266,0),0),0)</x:f>
        <x:v>1</x:v>
      </x:c>
      <x:c r="K2267" t="n">
        <x:f>IF(AND(J2267=1,C2267=0),1,0)</x:f>
        <x:v>0</x:v>
      </x:c>
      <x:c r="L2267" t="str">
        <x:f>IFERROR(INDEX(Customers!$C$2:$C$451,MATCH(A2267,Customers!$A$2:$A$451,0)),"Unknown")</x:f>
        <x:v>Metal</x:v>
      </x:c>
    </x:row>
    <x:row r="2268">
      <x:c r="A2268" t="n">
        <x:v>416</x:v>
      </x:c>
      <x:c r="B2268" s="16" t="n">
        <x:v>46235</x:v>
      </x:c>
      <x:c r="C2268" t="n">
        <x:v>1</x:v>
      </x:c>
      <x:c r="D2268" t="n">
        <x:v>10</x:v>
      </x:c>
      <x:c r="E2268" s="18" t="n">
        <x:v>1358.24</x:v>
      </x:c>
      <x:c r="F2268" s="18" t="n">
        <x:v>34</x:v>
      </x:c>
      <x:c r="G2268" s="18" t="n">
        <x:v>6.11</x:v>
      </x:c>
      <x:c r="H2268" s="18" t="n">
        <x:v>5.13</x:v>
      </x:c>
      <x:c r="I2268" s="18" t="n">
        <x:v>45.24</x:v>
      </x:c>
      <x:c r="J2268" t="n">
        <x:f>IF(A2268=A2267,IFERROR(IF(B2268=EDATE(B2267,1),C2267,0),0),0)</x:f>
        <x:v>1</x:v>
      </x:c>
      <x:c r="K2268" t="n">
        <x:f>IF(AND(J2268=1,C2268=0),1,0)</x:f>
        <x:v>0</x:v>
      </x:c>
      <x:c r="L2268" t="str">
        <x:f>IFERROR(INDEX(Customers!$C$2:$C$451,MATCH(A2268,Customers!$A$2:$A$451,0)),"Unknown")</x:f>
        <x:v>Metal</x:v>
      </x:c>
    </x:row>
    <x:row r="2269">
      <x:c r="A2269" t="n">
        <x:v>416</x:v>
      </x:c>
      <x:c r="B2269" s="16" t="n">
        <x:v>46266</x:v>
      </x:c>
      <x:c r="C2269" t="n">
        <x:v>1</x:v>
      </x:c>
      <x:c r="D2269" t="n">
        <x:v>5</x:v>
      </x:c>
      <x:c r="E2269" s="18" t="n">
        <x:v>326.86</x:v>
      </x:c>
      <x:c r="F2269" s="18" t="n">
        <x:v>34</x:v>
      </x:c>
      <x:c r="G2269" s="18" t="n">
        <x:v>1.47</x:v>
      </x:c>
      <x:c r="H2269" s="18" t="n">
        <x:v>0.7</x:v>
      </x:c>
      <x:c r="I2269" s="18" t="n">
        <x:v>36.17</x:v>
      </x:c>
      <x:c r="J2269" t="n">
        <x:f>IF(A2269=A2268,IFERROR(IF(B2269=EDATE(B2268,1),C2268,0),0),0)</x:f>
        <x:v>1</x:v>
      </x:c>
      <x:c r="K2269" t="n">
        <x:f>IF(AND(J2269=1,C2269=0),1,0)</x:f>
        <x:v>0</x:v>
      </x:c>
      <x:c r="L2269" t="str">
        <x:f>IFERROR(INDEX(Customers!$C$2:$C$451,MATCH(A2269,Customers!$A$2:$A$451,0)),"Unknown")</x:f>
        <x:v>Metal</x:v>
      </x:c>
    </x:row>
    <x:row r="2270">
      <x:c r="A2270" t="n">
        <x:v>417</x:v>
      </x:c>
      <x:c r="B2270" s="16" t="n">
        <x:v>46113</x:v>
      </x:c>
      <x:c r="C2270" t="n">
        <x:v>1</x:v>
      </x:c>
      <x:c r="D2270" t="n">
        <x:v>11</x:v>
      </x:c>
      <x:c r="E2270" s="18" t="n">
        <x:v>1163.6</x:v>
      </x:c>
      <x:c r="F2270" s="18" t="n">
        <x:v>0</x:v>
      </x:c>
      <x:c r="G2270" s="18" t="n">
        <x:v>5.24</x:v>
      </x:c>
      <x:c r="H2270" s="18" t="n">
        <x:v>1.76</x:v>
      </x:c>
      <x:c r="I2270" s="18" t="n">
        <x:v>7</x:v>
      </x:c>
      <x:c r="J2270" t="n">
        <x:f>IF(A2270=A2269,IFERROR(IF(B2270=EDATE(B2269,1),C2269,0),0),0)</x:f>
        <x:v>0</x:v>
      </x:c>
      <x:c r="K2270" t="n">
        <x:f>IF(AND(J2270=1,C2270=0),1,0)</x:f>
        <x:v>0</x:v>
      </x:c>
      <x:c r="L2270" t="str">
        <x:f>IFERROR(INDEX(Customers!$C$2:$C$451,MATCH(A2270,Customers!$A$2:$A$451,0)),"Unknown")</x:f>
        <x:v>Standard</x:v>
      </x:c>
    </x:row>
    <x:row r="2271">
      <x:c r="A2271" t="n">
        <x:v>417</x:v>
      </x:c>
      <x:c r="B2271" s="16" t="n">
        <x:v>46143</x:v>
      </x:c>
      <x:c r="C2271" t="n">
        <x:v>1</x:v>
      </x:c>
      <x:c r="D2271" t="n">
        <x:v>26</x:v>
      </x:c>
      <x:c r="E2271" s="18" t="n">
        <x:v>2942.67</x:v>
      </x:c>
      <x:c r="F2271" s="18" t="n">
        <x:v>0</x:v>
      </x:c>
      <x:c r="G2271" s="18" t="n">
        <x:v>13.24</x:v>
      </x:c>
      <x:c r="H2271" s="18" t="n">
        <x:v>9.1</x:v>
      </x:c>
      <x:c r="I2271" s="18" t="n">
        <x:v>22.34</x:v>
      </x:c>
      <x:c r="J2271" t="n">
        <x:f>IF(A2271=A2270,IFERROR(IF(B2271=EDATE(B2270,1),C2270,0),0),0)</x:f>
        <x:v>1</x:v>
      </x:c>
      <x:c r="K2271" t="n">
        <x:f>IF(AND(J2271=1,C2271=0),1,0)</x:f>
        <x:v>0</x:v>
      </x:c>
      <x:c r="L2271" t="str">
        <x:f>IFERROR(INDEX(Customers!$C$2:$C$451,MATCH(A2271,Customers!$A$2:$A$451,0)),"Unknown")</x:f>
        <x:v>Standard</x:v>
      </x:c>
    </x:row>
    <x:row r="2272">
      <x:c r="A2272" t="n">
        <x:v>417</x:v>
      </x:c>
      <x:c r="B2272" s="16" t="n">
        <x:v>46174</x:v>
      </x:c>
      <x:c r="C2272" t="n">
        <x:v>1</x:v>
      </x:c>
      <x:c r="D2272" t="n">
        <x:v>17</x:v>
      </x:c>
      <x:c r="E2272" s="18" t="n">
        <x:v>809.91</x:v>
      </x:c>
      <x:c r="F2272" s="18" t="n">
        <x:v>0</x:v>
      </x:c>
      <x:c r="G2272" s="18" t="n">
        <x:v>3.64</x:v>
      </x:c>
      <x:c r="H2272" s="18" t="n">
        <x:v>1.87</x:v>
      </x:c>
      <x:c r="I2272" s="18" t="n">
        <x:v>5.51</x:v>
      </x:c>
      <x:c r="J2272" t="n">
        <x:f>IF(A2272=A2271,IFERROR(IF(B2272=EDATE(B2271,1),C2271,0),0),0)</x:f>
        <x:v>1</x:v>
      </x:c>
      <x:c r="K2272" t="n">
        <x:f>IF(AND(J2272=1,C2272=0),1,0)</x:f>
        <x:v>0</x:v>
      </x:c>
      <x:c r="L2272" t="str">
        <x:f>IFERROR(INDEX(Customers!$C$2:$C$451,MATCH(A2272,Customers!$A$2:$A$451,0)),"Unknown")</x:f>
        <x:v>Standard</x:v>
      </x:c>
    </x:row>
    <x:row r="2273">
      <x:c r="A2273" t="n">
        <x:v>417</x:v>
      </x:c>
      <x:c r="B2273" s="16" t="n">
        <x:v>46204</x:v>
      </x:c>
      <x:c r="C2273" t="n">
        <x:v>1</x:v>
      </x:c>
      <x:c r="D2273" t="n">
        <x:v>34</x:v>
      </x:c>
      <x:c r="E2273" s="18" t="n">
        <x:v>3316.89</x:v>
      </x:c>
      <x:c r="F2273" s="18" t="n">
        <x:v>0</x:v>
      </x:c>
      <x:c r="G2273" s="18" t="n">
        <x:v>14.93</x:v>
      </x:c>
      <x:c r="H2273" s="18" t="n">
        <x:v>4.4</x:v>
      </x:c>
      <x:c r="I2273" s="18" t="n">
        <x:v>19.33</x:v>
      </x:c>
      <x:c r="J2273" t="n">
        <x:f>IF(A2273=A2272,IFERROR(IF(B2273=EDATE(B2272,1),C2272,0),0),0)</x:f>
        <x:v>1</x:v>
      </x:c>
      <x:c r="K2273" t="n">
        <x:f>IF(AND(J2273=1,C2273=0),1,0)</x:f>
        <x:v>0</x:v>
      </x:c>
      <x:c r="L2273" t="str">
        <x:f>IFERROR(INDEX(Customers!$C$2:$C$451,MATCH(A2273,Customers!$A$2:$A$451,0)),"Unknown")</x:f>
        <x:v>Standard</x:v>
      </x:c>
    </x:row>
    <x:row r="2274">
      <x:c r="A2274" t="n">
        <x:v>417</x:v>
      </x:c>
      <x:c r="B2274" s="16" t="n">
        <x:v>46235</x:v>
      </x:c>
      <x:c r="C2274" t="n">
        <x:v>0</x:v>
      </x:c>
      <x:c r="D2274" t="n">
        <x:v>0</x:v>
      </x:c>
      <x:c r="E2274" s="18" t="n">
        <x:v>0</x:v>
      </x:c>
      <x:c r="F2274" s="18" t="n">
        <x:v>0</x:v>
      </x:c>
      <x:c r="G2274" s="18" t="n">
        <x:v>0</x:v>
      </x:c>
      <x:c r="H2274" s="18" t="n">
        <x:v>0</x:v>
      </x:c>
      <x:c r="I2274" s="18" t="n">
        <x:v>0</x:v>
      </x:c>
      <x:c r="J2274" t="n">
        <x:f>IF(A2274=A2273,IFERROR(IF(B2274=EDATE(B2273,1),C2273,0),0),0)</x:f>
        <x:v>1</x:v>
      </x:c>
      <x:c r="K2274" t="n">
        <x:f>IF(AND(J2274=1,C2274=0),1,0)</x:f>
        <x:v>1</x:v>
      </x:c>
      <x:c r="L2274" t="str">
        <x:f>IFERROR(INDEX(Customers!$C$2:$C$451,MATCH(A2274,Customers!$A$2:$A$451,0)),"Unknown")</x:f>
        <x:v>Standard</x:v>
      </x:c>
    </x:row>
    <x:row r="2275">
      <x:c r="A2275" t="n">
        <x:v>417</x:v>
      </x:c>
      <x:c r="B2275" s="16" t="n">
        <x:v>46266</x:v>
      </x:c>
      <x:c r="C2275" t="n">
        <x:v>1</x:v>
      </x:c>
      <x:c r="D2275" t="n">
        <x:v>25</x:v>
      </x:c>
      <x:c r="E2275" s="18" t="n">
        <x:v>911.98</x:v>
      </x:c>
      <x:c r="F2275" s="18" t="n">
        <x:v>0</x:v>
      </x:c>
      <x:c r="G2275" s="18" t="n">
        <x:v>4.1</x:v>
      </x:c>
      <x:c r="H2275" s="18" t="n">
        <x:v>2.48</x:v>
      </x:c>
      <x:c r="I2275" s="18" t="n">
        <x:v>6.58</x:v>
      </x:c>
      <x:c r="J2275" t="n">
        <x:f>IF(A2275=A2274,IFERROR(IF(B2275=EDATE(B2274,1),C2274,0),0),0)</x:f>
        <x:v>0</x:v>
      </x:c>
      <x:c r="K2275" t="n">
        <x:f>IF(AND(J2275=1,C2275=0),1,0)</x:f>
        <x:v>0</x:v>
      </x:c>
      <x:c r="L2275" t="str">
        <x:f>IFERROR(INDEX(Customers!$C$2:$C$451,MATCH(A2275,Customers!$A$2:$A$451,0)),"Unknown")</x:f>
        <x:v>Standard</x:v>
      </x:c>
    </x:row>
    <x:row r="2276">
      <x:c r="A2276" t="n">
        <x:v>418</x:v>
      </x:c>
      <x:c r="B2276" s="16" t="n">
        <x:v>46143</x:v>
      </x:c>
      <x:c r="C2276" t="n">
        <x:v>1</x:v>
      </x:c>
      <x:c r="D2276" t="n">
        <x:v>26</x:v>
      </x:c>
      <x:c r="E2276" s="18" t="n">
        <x:v>2414.92</x:v>
      </x:c>
      <x:c r="F2276" s="18" t="n">
        <x:v>0</x:v>
      </x:c>
      <x:c r="G2276" s="18" t="n">
        <x:v>10.87</x:v>
      </x:c>
      <x:c r="H2276" s="18" t="n">
        <x:v>2.15</x:v>
      </x:c>
      <x:c r="I2276" s="18" t="n">
        <x:v>13.02</x:v>
      </x:c>
      <x:c r="J2276" t="n">
        <x:f>IF(A2276=A2275,IFERROR(IF(B2276=EDATE(B2275,1),C2275,0),0),0)</x:f>
        <x:v>0</x:v>
      </x:c>
      <x:c r="K2276" t="n">
        <x:f>IF(AND(J2276=1,C2276=0),1,0)</x:f>
        <x:v>0</x:v>
      </x:c>
      <x:c r="L2276" t="str">
        <x:f>IFERROR(INDEX(Customers!$C$2:$C$451,MATCH(A2276,Customers!$A$2:$A$451,0)),"Unknown")</x:f>
        <x:v>Standard</x:v>
      </x:c>
    </x:row>
    <x:row r="2277">
      <x:c r="A2277" t="n">
        <x:v>418</x:v>
      </x:c>
      <x:c r="B2277" s="16" t="n">
        <x:v>46174</x:v>
      </x:c>
      <x:c r="C2277" t="n">
        <x:v>1</x:v>
      </x:c>
      <x:c r="D2277" t="n">
        <x:v>36</x:v>
      </x:c>
      <x:c r="E2277" s="18" t="n">
        <x:v>3661.2</x:v>
      </x:c>
      <x:c r="F2277" s="18" t="n">
        <x:v>0</x:v>
      </x:c>
      <x:c r="G2277" s="18" t="n">
        <x:v>16.48</x:v>
      </x:c>
      <x:c r="H2277" s="18" t="n">
        <x:v>8.8</x:v>
      </x:c>
      <x:c r="I2277" s="18" t="n">
        <x:v>25.28</x:v>
      </x:c>
      <x:c r="J2277" t="n">
        <x:f>IF(A2277=A2276,IFERROR(IF(B2277=EDATE(B2276,1),C2276,0),0),0)</x:f>
        <x:v>1</x:v>
      </x:c>
      <x:c r="K2277" t="n">
        <x:f>IF(AND(J2277=1,C2277=0),1,0)</x:f>
        <x:v>0</x:v>
      </x:c>
      <x:c r="L2277" t="str">
        <x:f>IFERROR(INDEX(Customers!$C$2:$C$451,MATCH(A2277,Customers!$A$2:$A$451,0)),"Unknown")</x:f>
        <x:v>Standard</x:v>
      </x:c>
    </x:row>
    <x:row r="2278">
      <x:c r="A2278" t="n">
        <x:v>418</x:v>
      </x:c>
      <x:c r="B2278" s="16" t="n">
        <x:v>46204</x:v>
      </x:c>
      <x:c r="C2278" t="n">
        <x:v>1</x:v>
      </x:c>
      <x:c r="D2278" t="n">
        <x:v>6</x:v>
      </x:c>
      <x:c r="E2278" s="18" t="n">
        <x:v>420.48</x:v>
      </x:c>
      <x:c r="F2278" s="18" t="n">
        <x:v>0</x:v>
      </x:c>
      <x:c r="G2278" s="18" t="n">
        <x:v>1.89</x:v>
      </x:c>
      <x:c r="H2278" s="18" t="n">
        <x:v>0.7</x:v>
      </x:c>
      <x:c r="I2278" s="18" t="n">
        <x:v>2.59</x:v>
      </x:c>
      <x:c r="J2278" t="n">
        <x:f>IF(A2278=A2277,IFERROR(IF(B2278=EDATE(B2277,1),C2277,0),0),0)</x:f>
        <x:v>1</x:v>
      </x:c>
      <x:c r="K2278" t="n">
        <x:f>IF(AND(J2278=1,C2278=0),1,0)</x:f>
        <x:v>0</x:v>
      </x:c>
      <x:c r="L2278" t="str">
        <x:f>IFERROR(INDEX(Customers!$C$2:$C$451,MATCH(A2278,Customers!$A$2:$A$451,0)),"Unknown")</x:f>
        <x:v>Standard</x:v>
      </x:c>
    </x:row>
    <x:row r="2279">
      <x:c r="A2279" t="n">
        <x:v>418</x:v>
      </x:c>
      <x:c r="B2279" s="16" t="n">
        <x:v>46235</x:v>
      </x:c>
      <x:c r="C2279" t="n">
        <x:v>0</x:v>
      </x:c>
      <x:c r="D2279" t="n">
        <x:v>0</x:v>
      </x:c>
      <x:c r="E2279" s="18" t="n">
        <x:v>0</x:v>
      </x:c>
      <x:c r="F2279" s="18" t="n">
        <x:v>0</x:v>
      </x:c>
      <x:c r="G2279" s="18" t="n">
        <x:v>0</x:v>
      </x:c>
      <x:c r="H2279" s="18" t="n">
        <x:v>0</x:v>
      </x:c>
      <x:c r="I2279" s="18" t="n">
        <x:v>0</x:v>
      </x:c>
      <x:c r="J2279" t="n">
        <x:f>IF(A2279=A2278,IFERROR(IF(B2279=EDATE(B2278,1),C2278,0),0),0)</x:f>
        <x:v>1</x:v>
      </x:c>
      <x:c r="K2279" t="n">
        <x:f>IF(AND(J2279=1,C2279=0),1,0)</x:f>
        <x:v>1</x:v>
      </x:c>
      <x:c r="L2279" t="str">
        <x:f>IFERROR(INDEX(Customers!$C$2:$C$451,MATCH(A2279,Customers!$A$2:$A$451,0)),"Unknown")</x:f>
        <x:v>Standard</x:v>
      </x:c>
    </x:row>
    <x:row r="2280">
      <x:c r="A2280" t="n">
        <x:v>418</x:v>
      </x:c>
      <x:c r="B2280" s="16" t="n">
        <x:v>46266</x:v>
      </x:c>
      <x:c r="C2280" t="n">
        <x:v>1</x:v>
      </x:c>
      <x:c r="D2280" t="n">
        <x:v>6</x:v>
      </x:c>
      <x:c r="E2280" s="18" t="n">
        <x:v>327.37</x:v>
      </x:c>
      <x:c r="F2280" s="18" t="n">
        <x:v>0</x:v>
      </x:c>
      <x:c r="G2280" s="18" t="n">
        <x:v>1.47</x:v>
      </x:c>
      <x:c r="H2280" s="18" t="n">
        <x:v>0.41</x:v>
      </x:c>
      <x:c r="I2280" s="18" t="n">
        <x:v>1.88</x:v>
      </x:c>
      <x:c r="J2280" t="n">
        <x:f>IF(A2280=A2279,IFERROR(IF(B2280=EDATE(B2279,1),C2279,0),0),0)</x:f>
        <x:v>0</x:v>
      </x:c>
      <x:c r="K2280" t="n">
        <x:f>IF(AND(J2280=1,C2280=0),1,0)</x:f>
        <x:v>0</x:v>
      </x:c>
      <x:c r="L2280" t="str">
        <x:f>IFERROR(INDEX(Customers!$C$2:$C$451,MATCH(A2280,Customers!$A$2:$A$451,0)),"Unknown")</x:f>
        <x:v>Standard</x:v>
      </x:c>
    </x:row>
    <x:row r="2281">
      <x:c r="A2281" t="n">
        <x:v>419</x:v>
      </x:c>
      <x:c r="B2281" s="16" t="n">
        <x:v>46113</x:v>
      </x:c>
      <x:c r="C2281" t="n">
        <x:v>1</x:v>
      </x:c>
      <x:c r="D2281" t="n">
        <x:v>13</x:v>
      </x:c>
      <x:c r="E2281" s="18" t="n">
        <x:v>1607.04</x:v>
      </x:c>
      <x:c r="F2281" s="18" t="n">
        <x:v>8</x:v>
      </x:c>
      <x:c r="G2281" s="18" t="n">
        <x:v>7.23</x:v>
      </x:c>
      <x:c r="H2281" s="18" t="n">
        <x:v>3.88</x:v>
      </x:c>
      <x:c r="I2281" s="18" t="n">
        <x:v>19.11</x:v>
      </x:c>
      <x:c r="J2281" t="n">
        <x:f>IF(A2281=A2280,IFERROR(IF(B2281=EDATE(B2280,1),C2280,0),0),0)</x:f>
        <x:v>0</x:v>
      </x:c>
      <x:c r="K2281" t="n">
        <x:f>IF(AND(J2281=1,C2281=0),1,0)</x:f>
        <x:v>0</x:v>
      </x:c>
      <x:c r="L2281" t="str">
        <x:f>IFERROR(INDEX(Customers!$C$2:$C$451,MATCH(A2281,Customers!$A$2:$A$451,0)),"Unknown")</x:f>
        <x:v>Plus</x:v>
      </x:c>
    </x:row>
    <x:row r="2282">
      <x:c r="A2282" t="n">
        <x:v>419</x:v>
      </x:c>
      <x:c r="B2282" s="16" t="n">
        <x:v>46143</x:v>
      </x:c>
      <x:c r="C2282" t="n">
        <x:v>0</x:v>
      </x:c>
      <x:c r="D2282" t="n">
        <x:v>0</x:v>
      </x:c>
      <x:c r="E2282" s="18" t="n">
        <x:v>0</x:v>
      </x:c>
      <x:c r="F2282" s="18" t="n">
        <x:v>0</x:v>
      </x:c>
      <x:c r="G2282" s="18" t="n">
        <x:v>0</x:v>
      </x:c>
      <x:c r="H2282" s="18" t="n">
        <x:v>0</x:v>
      </x:c>
      <x:c r="I2282" s="18" t="n">
        <x:v>0</x:v>
      </x:c>
      <x:c r="J2282" t="n">
        <x:f>IF(A2282=A2281,IFERROR(IF(B2282=EDATE(B2281,1),C2281,0),0),0)</x:f>
        <x:v>1</x:v>
      </x:c>
      <x:c r="K2282" t="n">
        <x:f>IF(AND(J2282=1,C2282=0),1,0)</x:f>
        <x:v>1</x:v>
      </x:c>
      <x:c r="L2282" t="str">
        <x:f>IFERROR(INDEX(Customers!$C$2:$C$451,MATCH(A2282,Customers!$A$2:$A$451,0)),"Unknown")</x:f>
        <x:v>Plus</x:v>
      </x:c>
    </x:row>
    <x:row r="2283">
      <x:c r="A2283" t="n">
        <x:v>419</x:v>
      </x:c>
      <x:c r="B2283" s="16" t="n">
        <x:v>46174</x:v>
      </x:c>
      <x:c r="C2283" t="n">
        <x:v>1</x:v>
      </x:c>
      <x:c r="D2283" t="n">
        <x:v>7</x:v>
      </x:c>
      <x:c r="E2283" s="18" t="n">
        <x:v>761.21</x:v>
      </x:c>
      <x:c r="F2283" s="18" t="n">
        <x:v>8</x:v>
      </x:c>
      <x:c r="G2283" s="18" t="n">
        <x:v>3.43</x:v>
      </x:c>
      <x:c r="H2283" s="18" t="n">
        <x:v>2.17</x:v>
      </x:c>
      <x:c r="I2283" s="18" t="n">
        <x:v>13.6</x:v>
      </x:c>
      <x:c r="J2283" t="n">
        <x:f>IF(A2283=A2282,IFERROR(IF(B2283=EDATE(B2282,1),C2282,0),0),0)</x:f>
        <x:v>0</x:v>
      </x:c>
      <x:c r="K2283" t="n">
        <x:f>IF(AND(J2283=1,C2283=0),1,0)</x:f>
        <x:v>0</x:v>
      </x:c>
      <x:c r="L2283" t="str">
        <x:f>IFERROR(INDEX(Customers!$C$2:$C$451,MATCH(A2283,Customers!$A$2:$A$451,0)),"Unknown")</x:f>
        <x:v>Plus</x:v>
      </x:c>
    </x:row>
    <x:row r="2284">
      <x:c r="A2284" t="n">
        <x:v>419</x:v>
      </x:c>
      <x:c r="B2284" s="16" t="n">
        <x:v>46204</x:v>
      </x:c>
      <x:c r="C2284" t="n">
        <x:v>1</x:v>
      </x:c>
      <x:c r="D2284" t="n">
        <x:v>22</x:v>
      </x:c>
      <x:c r="E2284" s="18" t="n">
        <x:v>1222.22</x:v>
      </x:c>
      <x:c r="F2284" s="18" t="n">
        <x:v>8</x:v>
      </x:c>
      <x:c r="G2284" s="18" t="n">
        <x:v>5.5</x:v>
      </x:c>
      <x:c r="H2284" s="18" t="n">
        <x:v>4.55</x:v>
      </x:c>
      <x:c r="I2284" s="18" t="n">
        <x:v>18.05</x:v>
      </x:c>
      <x:c r="J2284" t="n">
        <x:f>IF(A2284=A2283,IFERROR(IF(B2284=EDATE(B2283,1),C2283,0),0),0)</x:f>
        <x:v>1</x:v>
      </x:c>
      <x:c r="K2284" t="n">
        <x:f>IF(AND(J2284=1,C2284=0),1,0)</x:f>
        <x:v>0</x:v>
      </x:c>
      <x:c r="L2284" t="str">
        <x:f>IFERROR(INDEX(Customers!$C$2:$C$451,MATCH(A2284,Customers!$A$2:$A$451,0)),"Unknown")</x:f>
        <x:v>Plus</x:v>
      </x:c>
    </x:row>
    <x:row r="2285">
      <x:c r="A2285" t="n">
        <x:v>419</x:v>
      </x:c>
      <x:c r="B2285" s="16" t="n">
        <x:v>46235</x:v>
      </x:c>
      <x:c r="C2285" t="n">
        <x:v>1</x:v>
      </x:c>
      <x:c r="D2285" t="n">
        <x:v>27</x:v>
      </x:c>
      <x:c r="E2285" s="18" t="n">
        <x:v>2069.38</x:v>
      </x:c>
      <x:c r="F2285" s="18" t="n">
        <x:v>8</x:v>
      </x:c>
      <x:c r="G2285" s="18" t="n">
        <x:v>9.31</x:v>
      </x:c>
      <x:c r="H2285" s="18" t="n">
        <x:v>4.34</x:v>
      </x:c>
      <x:c r="I2285" s="18" t="n">
        <x:v>21.65</x:v>
      </x:c>
      <x:c r="J2285" t="n">
        <x:f>IF(A2285=A2284,IFERROR(IF(B2285=EDATE(B2284,1),C2284,0),0),0)</x:f>
        <x:v>1</x:v>
      </x:c>
      <x:c r="K2285" t="n">
        <x:f>IF(AND(J2285=1,C2285=0),1,0)</x:f>
        <x:v>0</x:v>
      </x:c>
      <x:c r="L2285" t="str">
        <x:f>IFERROR(INDEX(Customers!$C$2:$C$451,MATCH(A2285,Customers!$A$2:$A$451,0)),"Unknown")</x:f>
        <x:v>Plus</x:v>
      </x:c>
    </x:row>
    <x:row r="2286">
      <x:c r="A2286" t="n">
        <x:v>419</x:v>
      </x:c>
      <x:c r="B2286" s="16" t="n">
        <x:v>46266</x:v>
      </x:c>
      <x:c r="C2286" t="n">
        <x:v>1</x:v>
      </x:c>
      <x:c r="D2286" t="n">
        <x:v>32</x:v>
      </x:c>
      <x:c r="E2286" s="18" t="n">
        <x:v>1181.63</x:v>
      </x:c>
      <x:c r="F2286" s="18" t="n">
        <x:v>8</x:v>
      </x:c>
      <x:c r="G2286" s="18" t="n">
        <x:v>5.32</x:v>
      </x:c>
      <x:c r="H2286" s="18" t="n">
        <x:v>2.93</x:v>
      </x:c>
      <x:c r="I2286" s="18" t="n">
        <x:v>16.25</x:v>
      </x:c>
      <x:c r="J2286" t="n">
        <x:f>IF(A2286=A2285,IFERROR(IF(B2286=EDATE(B2285,1),C2285,0),0),0)</x:f>
        <x:v>1</x:v>
      </x:c>
      <x:c r="K2286" t="n">
        <x:f>IF(AND(J2286=1,C2286=0),1,0)</x:f>
        <x:v>0</x:v>
      </x:c>
      <x:c r="L2286" t="str">
        <x:f>IFERROR(INDEX(Customers!$C$2:$C$451,MATCH(A2286,Customers!$A$2:$A$451,0)),"Unknown")</x:f>
        <x:v>Plus</x:v>
      </x:c>
    </x:row>
    <x:row r="2287">
      <x:c r="A2287" t="n">
        <x:v>420</x:v>
      </x:c>
      <x:c r="B2287" s="16" t="n">
        <x:v>46113</x:v>
      </x:c>
      <x:c r="C2287" t="n">
        <x:v>0</x:v>
      </x:c>
      <x:c r="D2287" t="n">
        <x:v>0</x:v>
      </x:c>
      <x:c r="E2287" s="18" t="n">
        <x:v>0</x:v>
      </x:c>
      <x:c r="F2287" s="18" t="n">
        <x:v>0</x:v>
      </x:c>
      <x:c r="G2287" s="18" t="n">
        <x:v>0</x:v>
      </x:c>
      <x:c r="H2287" s="18" t="n">
        <x:v>0</x:v>
      </x:c>
      <x:c r="I2287" s="18" t="n">
        <x:v>0</x:v>
      </x:c>
      <x:c r="J2287" t="n">
        <x:f>IF(A2287=A2286,IFERROR(IF(B2287=EDATE(B2286,1),C2286,0),0),0)</x:f>
        <x:v>0</x:v>
      </x:c>
      <x:c r="K2287" t="n">
        <x:f>IF(AND(J2287=1,C2287=0),1,0)</x:f>
        <x:v>0</x:v>
      </x:c>
      <x:c r="L2287" t="str">
        <x:f>IFERROR(INDEX(Customers!$C$2:$C$451,MATCH(A2287,Customers!$A$2:$A$451,0)),"Unknown")</x:f>
        <x:v>Standard</x:v>
      </x:c>
    </x:row>
    <x:row r="2288">
      <x:c r="A2288" t="n">
        <x:v>420</x:v>
      </x:c>
      <x:c r="B2288" s="16" t="n">
        <x:v>46143</x:v>
      </x:c>
      <x:c r="C2288" t="n">
        <x:v>1</x:v>
      </x:c>
      <x:c r="D2288" t="n">
        <x:v>22</x:v>
      </x:c>
      <x:c r="E2288" s="18" t="n">
        <x:v>1623.68</x:v>
      </x:c>
      <x:c r="F2288" s="18" t="n">
        <x:v>0</x:v>
      </x:c>
      <x:c r="G2288" s="18" t="n">
        <x:v>7.31</x:v>
      </x:c>
      <x:c r="H2288" s="18" t="n">
        <x:v>2.33</x:v>
      </x:c>
      <x:c r="I2288" s="18" t="n">
        <x:v>9.64</x:v>
      </x:c>
      <x:c r="J2288" t="n">
        <x:f>IF(A2288=A2287,IFERROR(IF(B2288=EDATE(B2287,1),C2287,0),0),0)</x:f>
        <x:v>0</x:v>
      </x:c>
      <x:c r="K2288" t="n">
        <x:f>IF(AND(J2288=1,C2288=0),1,0)</x:f>
        <x:v>0</x:v>
      </x:c>
      <x:c r="L2288" t="str">
        <x:f>IFERROR(INDEX(Customers!$C$2:$C$451,MATCH(A2288,Customers!$A$2:$A$451,0)),"Unknown")</x:f>
        <x:v>Standard</x:v>
      </x:c>
    </x:row>
    <x:row r="2289">
      <x:c r="A2289" t="n">
        <x:v>420</x:v>
      </x:c>
      <x:c r="B2289" s="16" t="n">
        <x:v>46174</x:v>
      </x:c>
      <x:c r="C2289" t="n">
        <x:v>1</x:v>
      </x:c>
      <x:c r="D2289" t="n">
        <x:v>28</x:v>
      </x:c>
      <x:c r="E2289" s="18" t="n">
        <x:v>3449.72</x:v>
      </x:c>
      <x:c r="F2289" s="18" t="n">
        <x:v>0</x:v>
      </x:c>
      <x:c r="G2289" s="18" t="n">
        <x:v>15.52</x:v>
      </x:c>
      <x:c r="H2289" s="18" t="n">
        <x:v>6.63</x:v>
      </x:c>
      <x:c r="I2289" s="18" t="n">
        <x:v>22.15</x:v>
      </x:c>
      <x:c r="J2289" t="n">
        <x:f>IF(A2289=A2288,IFERROR(IF(B2289=EDATE(B2288,1),C2288,0),0),0)</x:f>
        <x:v>1</x:v>
      </x:c>
      <x:c r="K2289" t="n">
        <x:f>IF(AND(J2289=1,C2289=0),1,0)</x:f>
        <x:v>0</x:v>
      </x:c>
      <x:c r="L2289" t="str">
        <x:f>IFERROR(INDEX(Customers!$C$2:$C$451,MATCH(A2289,Customers!$A$2:$A$451,0)),"Unknown")</x:f>
        <x:v>Standard</x:v>
      </x:c>
    </x:row>
    <x:row r="2290">
      <x:c r="A2290" t="n">
        <x:v>420</x:v>
      </x:c>
      <x:c r="B2290" s="16" t="n">
        <x:v>46204</x:v>
      </x:c>
      <x:c r="C2290" t="n">
        <x:v>1</x:v>
      </x:c>
      <x:c r="D2290" t="n">
        <x:v>20</x:v>
      </x:c>
      <x:c r="E2290" s="18" t="n">
        <x:v>857.54</x:v>
      </x:c>
      <x:c r="F2290" s="18" t="n">
        <x:v>0</x:v>
      </x:c>
      <x:c r="G2290" s="18" t="n">
        <x:v>3.86</x:v>
      </x:c>
      <x:c r="H2290" s="18" t="n">
        <x:v>3.2</x:v>
      </x:c>
      <x:c r="I2290" s="18" t="n">
        <x:v>7.06</x:v>
      </x:c>
      <x:c r="J2290" t="n">
        <x:f>IF(A2290=A2289,IFERROR(IF(B2290=EDATE(B2289,1),C2289,0),0),0)</x:f>
        <x:v>1</x:v>
      </x:c>
      <x:c r="K2290" t="n">
        <x:f>IF(AND(J2290=1,C2290=0),1,0)</x:f>
        <x:v>0</x:v>
      </x:c>
      <x:c r="L2290" t="str">
        <x:f>IFERROR(INDEX(Customers!$C$2:$C$451,MATCH(A2290,Customers!$A$2:$A$451,0)),"Unknown")</x:f>
        <x:v>Standard</x:v>
      </x:c>
    </x:row>
    <x:row r="2291">
      <x:c r="A2291" t="n">
        <x:v>420</x:v>
      </x:c>
      <x:c r="B2291" s="16" t="n">
        <x:v>46235</x:v>
      </x:c>
      <x:c r="C2291" t="n">
        <x:v>1</x:v>
      </x:c>
      <x:c r="D2291" t="n">
        <x:v>17</x:v>
      </x:c>
      <x:c r="E2291" s="18" t="n">
        <x:v>1706.82</x:v>
      </x:c>
      <x:c r="F2291" s="18" t="n">
        <x:v>0</x:v>
      </x:c>
      <x:c r="G2291" s="18" t="n">
        <x:v>7.68</x:v>
      </x:c>
      <x:c r="H2291" s="18" t="n">
        <x:v>1.87</x:v>
      </x:c>
      <x:c r="I2291" s="18" t="n">
        <x:v>9.55</x:v>
      </x:c>
      <x:c r="J2291" t="n">
        <x:f>IF(A2291=A2290,IFERROR(IF(B2291=EDATE(B2290,1),C2290,0),0),0)</x:f>
        <x:v>1</x:v>
      </x:c>
      <x:c r="K2291" t="n">
        <x:f>IF(AND(J2291=1,C2291=0),1,0)</x:f>
        <x:v>0</x:v>
      </x:c>
      <x:c r="L2291" t="str">
        <x:f>IFERROR(INDEX(Customers!$C$2:$C$451,MATCH(A2291,Customers!$A$2:$A$451,0)),"Unknown")</x:f>
        <x:v>Standard</x:v>
      </x:c>
    </x:row>
    <x:row r="2292">
      <x:c r="A2292" t="n">
        <x:v>420</x:v>
      </x:c>
      <x:c r="B2292" s="16" t="n">
        <x:v>46266</x:v>
      </x:c>
      <x:c r="C2292" t="n">
        <x:v>1</x:v>
      </x:c>
      <x:c r="D2292" t="n">
        <x:v>4</x:v>
      </x:c>
      <x:c r="E2292" s="18" t="n">
        <x:v>405.75</x:v>
      </x:c>
      <x:c r="F2292" s="18" t="n">
        <x:v>0</x:v>
      </x:c>
      <x:c r="G2292" s="18" t="n">
        <x:v>1.83</x:v>
      </x:c>
      <x:c r="H2292" s="18" t="n">
        <x:v>1.04</x:v>
      </x:c>
      <x:c r="I2292" s="18" t="n">
        <x:v>2.87</x:v>
      </x:c>
      <x:c r="J2292" t="n">
        <x:f>IF(A2292=A2291,IFERROR(IF(B2292=EDATE(B2291,1),C2291,0),0),0)</x:f>
        <x:v>1</x:v>
      </x:c>
      <x:c r="K2292" t="n">
        <x:f>IF(AND(J2292=1,C2292=0),1,0)</x:f>
        <x:v>0</x:v>
      </x:c>
      <x:c r="L2292" t="str">
        <x:f>IFERROR(INDEX(Customers!$C$2:$C$451,MATCH(A2292,Customers!$A$2:$A$451,0)),"Unknown")</x:f>
        <x:v>Standard</x:v>
      </x:c>
    </x:row>
    <x:row r="2293">
      <x:c r="A2293" t="n">
        <x:v>421</x:v>
      </x:c>
      <x:c r="B2293" s="16" t="n">
        <x:v>46113</x:v>
      </x:c>
      <x:c r="C2293" t="n">
        <x:v>1</x:v>
      </x:c>
      <x:c r="D2293" t="n">
        <x:v>26</x:v>
      </x:c>
      <x:c r="E2293" s="18" t="n">
        <x:v>3036.18</x:v>
      </x:c>
      <x:c r="F2293" s="18" t="n">
        <x:v>8</x:v>
      </x:c>
      <x:c r="G2293" s="18" t="n">
        <x:v>13.66</x:v>
      </x:c>
      <x:c r="H2293" s="18" t="n">
        <x:v>6.82</x:v>
      </x:c>
      <x:c r="I2293" s="18" t="n">
        <x:v>28.48</x:v>
      </x:c>
      <x:c r="J2293" t="n">
        <x:f>IF(A2293=A2292,IFERROR(IF(B2293=EDATE(B2292,1),C2292,0),0),0)</x:f>
        <x:v>0</x:v>
      </x:c>
      <x:c r="K2293" t="n">
        <x:f>IF(AND(J2293=1,C2293=0),1,0)</x:f>
        <x:v>0</x:v>
      </x:c>
      <x:c r="L2293" t="str">
        <x:f>IFERROR(INDEX(Customers!$C$2:$C$451,MATCH(A2293,Customers!$A$2:$A$451,0)),"Unknown")</x:f>
        <x:v>Plus</x:v>
      </x:c>
    </x:row>
    <x:row r="2294">
      <x:c r="A2294" t="n">
        <x:v>421</x:v>
      </x:c>
      <x:c r="B2294" s="16" t="n">
        <x:v>46143</x:v>
      </x:c>
      <x:c r="C2294" t="n">
        <x:v>1</x:v>
      </x:c>
      <x:c r="D2294" t="n">
        <x:v>23</x:v>
      </x:c>
      <x:c r="E2294" s="18" t="n">
        <x:v>2291.02</x:v>
      </x:c>
      <x:c r="F2294" s="18" t="n">
        <x:v>8</x:v>
      </x:c>
      <x:c r="G2294" s="18" t="n">
        <x:v>10.31</x:v>
      </x:c>
      <x:c r="H2294" s="18" t="n">
        <x:v>2.75</x:v>
      </x:c>
      <x:c r="I2294" s="18" t="n">
        <x:v>21.06</x:v>
      </x:c>
      <x:c r="J2294" t="n">
        <x:f>IF(A2294=A2293,IFERROR(IF(B2294=EDATE(B2293,1),C2293,0),0),0)</x:f>
        <x:v>1</x:v>
      </x:c>
      <x:c r="K2294" t="n">
        <x:f>IF(AND(J2294=1,C2294=0),1,0)</x:f>
        <x:v>0</x:v>
      </x:c>
      <x:c r="L2294" t="str">
        <x:f>IFERROR(INDEX(Customers!$C$2:$C$451,MATCH(A2294,Customers!$A$2:$A$451,0)),"Unknown")</x:f>
        <x:v>Plus</x:v>
      </x:c>
    </x:row>
    <x:row r="2295">
      <x:c r="A2295" t="n">
        <x:v>421</x:v>
      </x:c>
      <x:c r="B2295" s="16" t="n">
        <x:v>46174</x:v>
      </x:c>
      <x:c r="C2295" t="n">
        <x:v>1</x:v>
      </x:c>
      <x:c r="D2295" t="n">
        <x:v>18</x:v>
      </x:c>
      <x:c r="E2295" s="18" t="n">
        <x:v>1043.15</x:v>
      </x:c>
      <x:c r="F2295" s="18" t="n">
        <x:v>8</x:v>
      </x:c>
      <x:c r="G2295" s="18" t="n">
        <x:v>4.69</x:v>
      </x:c>
      <x:c r="H2295" s="18" t="n">
        <x:v>3.13</x:v>
      </x:c>
      <x:c r="I2295" s="18" t="n">
        <x:v>15.82</x:v>
      </x:c>
      <x:c r="J2295" t="n">
        <x:f>IF(A2295=A2294,IFERROR(IF(B2295=EDATE(B2294,1),C2294,0),0),0)</x:f>
        <x:v>1</x:v>
      </x:c>
      <x:c r="K2295" t="n">
        <x:f>IF(AND(J2295=1,C2295=0),1,0)</x:f>
        <x:v>0</x:v>
      </x:c>
      <x:c r="L2295" t="str">
        <x:f>IFERROR(INDEX(Customers!$C$2:$C$451,MATCH(A2295,Customers!$A$2:$A$451,0)),"Unknown")</x:f>
        <x:v>Plus</x:v>
      </x:c>
    </x:row>
    <x:row r="2296">
      <x:c r="A2296" t="n">
        <x:v>421</x:v>
      </x:c>
      <x:c r="B2296" s="16" t="n">
        <x:v>46204</x:v>
      </x:c>
      <x:c r="C2296" t="n">
        <x:v>1</x:v>
      </x:c>
      <x:c r="D2296" t="n">
        <x:v>9</x:v>
      </x:c>
      <x:c r="E2296" s="18" t="n">
        <x:v>379.36</x:v>
      </x:c>
      <x:c r="F2296" s="18" t="n">
        <x:v>8</x:v>
      </x:c>
      <x:c r="G2296" s="18" t="n">
        <x:v>1.71</x:v>
      </x:c>
      <x:c r="H2296" s="18" t="n">
        <x:v>1.08</x:v>
      </x:c>
      <x:c r="I2296" s="18" t="n">
        <x:v>10.79</x:v>
      </x:c>
      <x:c r="J2296" t="n">
        <x:f>IF(A2296=A2295,IFERROR(IF(B2296=EDATE(B2295,1),C2295,0),0),0)</x:f>
        <x:v>1</x:v>
      </x:c>
      <x:c r="K2296" t="n">
        <x:f>IF(AND(J2296=1,C2296=0),1,0)</x:f>
        <x:v>0</x:v>
      </x:c>
      <x:c r="L2296" t="str">
        <x:f>IFERROR(INDEX(Customers!$C$2:$C$451,MATCH(A2296,Customers!$A$2:$A$451,0)),"Unknown")</x:f>
        <x:v>Plus</x:v>
      </x:c>
    </x:row>
    <x:row r="2297">
      <x:c r="A2297" t="n">
        <x:v>421</x:v>
      </x:c>
      <x:c r="B2297" s="16" t="n">
        <x:v>46235</x:v>
      </x:c>
      <x:c r="C2297" t="n">
        <x:v>1</x:v>
      </x:c>
      <x:c r="D2297" t="n">
        <x:v>12</x:v>
      </x:c>
      <x:c r="E2297" s="18" t="n">
        <x:v>684.48</x:v>
      </x:c>
      <x:c r="F2297" s="18" t="n">
        <x:v>8</x:v>
      </x:c>
      <x:c r="G2297" s="18" t="n">
        <x:v>3.08</x:v>
      </x:c>
      <x:c r="H2297" s="18" t="n">
        <x:v>1.28</x:v>
      </x:c>
      <x:c r="I2297" s="18" t="n">
        <x:v>12.36</x:v>
      </x:c>
      <x:c r="J2297" t="n">
        <x:f>IF(A2297=A2296,IFERROR(IF(B2297=EDATE(B2296,1),C2296,0),0),0)</x:f>
        <x:v>1</x:v>
      </x:c>
      <x:c r="K2297" t="n">
        <x:f>IF(AND(J2297=1,C2297=0),1,0)</x:f>
        <x:v>0</x:v>
      </x:c>
      <x:c r="L2297" t="str">
        <x:f>IFERROR(INDEX(Customers!$C$2:$C$451,MATCH(A2297,Customers!$A$2:$A$451,0)),"Unknown")</x:f>
        <x:v>Plus</x:v>
      </x:c>
    </x:row>
    <x:row r="2298">
      <x:c r="A2298" t="n">
        <x:v>421</x:v>
      </x:c>
      <x:c r="B2298" s="16" t="n">
        <x:v>46266</x:v>
      </x:c>
      <x:c r="C2298" t="n">
        <x:v>1</x:v>
      </x:c>
      <x:c r="D2298" t="n">
        <x:v>35</x:v>
      </x:c>
      <x:c r="E2298" s="18" t="n">
        <x:v>2199.51</x:v>
      </x:c>
      <x:c r="F2298" s="18" t="n">
        <x:v>8</x:v>
      </x:c>
      <x:c r="G2298" s="18" t="n">
        <x:v>9.9</x:v>
      </x:c>
      <x:c r="H2298" s="18" t="n">
        <x:v>3.5</x:v>
      </x:c>
      <x:c r="I2298" s="18" t="n">
        <x:v>21.4</x:v>
      </x:c>
      <x:c r="J2298" t="n">
        <x:f>IF(A2298=A2297,IFERROR(IF(B2298=EDATE(B2297,1),C2297,0),0),0)</x:f>
        <x:v>1</x:v>
      </x:c>
      <x:c r="K2298" t="n">
        <x:f>IF(AND(J2298=1,C2298=0),1,0)</x:f>
        <x:v>0</x:v>
      </x:c>
      <x:c r="L2298" t="str">
        <x:f>IFERROR(INDEX(Customers!$C$2:$C$451,MATCH(A2298,Customers!$A$2:$A$451,0)),"Unknown")</x:f>
        <x:v>Plus</x:v>
      </x:c>
    </x:row>
    <x:row r="2299">
      <x:c r="A2299" t="n">
        <x:v>422</x:v>
      </x:c>
      <x:c r="B2299" s="16" t="n">
        <x:v>46113</x:v>
      </x:c>
      <x:c r="C2299" t="n">
        <x:v>1</x:v>
      </x:c>
      <x:c r="D2299" t="n">
        <x:v>11</x:v>
      </x:c>
      <x:c r="E2299" s="18" t="n">
        <x:v>730.26</x:v>
      </x:c>
      <x:c r="F2299" s="18" t="n">
        <x:v>8</x:v>
      </x:c>
      <x:c r="G2299" s="18" t="n">
        <x:v>3.29</x:v>
      </x:c>
      <x:c r="H2299" s="18" t="n">
        <x:v>1.86</x:v>
      </x:c>
      <x:c r="I2299" s="18" t="n">
        <x:v>13.15</x:v>
      </x:c>
      <x:c r="J2299" t="n">
        <x:f>IF(A2299=A2298,IFERROR(IF(B2299=EDATE(B2298,1),C2298,0),0),0)</x:f>
        <x:v>0</x:v>
      </x:c>
      <x:c r="K2299" t="n">
        <x:f>IF(AND(J2299=1,C2299=0),1,0)</x:f>
        <x:v>0</x:v>
      </x:c>
      <x:c r="L2299" t="str">
        <x:f>IFERROR(INDEX(Customers!$C$2:$C$451,MATCH(A2299,Customers!$A$2:$A$451,0)),"Unknown")</x:f>
        <x:v>Plus</x:v>
      </x:c>
    </x:row>
    <x:row r="2300">
      <x:c r="A2300" t="n">
        <x:v>422</x:v>
      </x:c>
      <x:c r="B2300" s="16" t="n">
        <x:v>46143</x:v>
      </x:c>
      <x:c r="C2300" t="n">
        <x:v>1</x:v>
      </x:c>
      <x:c r="D2300" t="n">
        <x:v>4</x:v>
      </x:c>
      <x:c r="E2300" s="18" t="n">
        <x:v>516.43</x:v>
      </x:c>
      <x:c r="F2300" s="18" t="n">
        <x:v>8</x:v>
      </x:c>
      <x:c r="G2300" s="18" t="n">
        <x:v>2.32</x:v>
      </x:c>
      <x:c r="H2300" s="18" t="n">
        <x:v>1.8</x:v>
      </x:c>
      <x:c r="I2300" s="18" t="n">
        <x:v>12.12</x:v>
      </x:c>
      <x:c r="J2300" t="n">
        <x:f>IF(A2300=A2299,IFERROR(IF(B2300=EDATE(B2299,1),C2299,0),0),0)</x:f>
        <x:v>1</x:v>
      </x:c>
      <x:c r="K2300" t="n">
        <x:f>IF(AND(J2300=1,C2300=0),1,0)</x:f>
        <x:v>0</x:v>
      </x:c>
      <x:c r="L2300" t="str">
        <x:f>IFERROR(INDEX(Customers!$C$2:$C$451,MATCH(A2300,Customers!$A$2:$A$451,0)),"Unknown")</x:f>
        <x:v>Plus</x:v>
      </x:c>
    </x:row>
    <x:row r="2301">
      <x:c r="A2301" t="n">
        <x:v>422</x:v>
      </x:c>
      <x:c r="B2301" s="16" t="n">
        <x:v>46174</x:v>
      </x:c>
      <x:c r="C2301" t="n">
        <x:v>1</x:v>
      </x:c>
      <x:c r="D2301" t="n">
        <x:v>15</x:v>
      </x:c>
      <x:c r="E2301" s="18" t="n">
        <x:v>1234.53</x:v>
      </x:c>
      <x:c r="F2301" s="18" t="n">
        <x:v>8</x:v>
      </x:c>
      <x:c r="G2301" s="18" t="n">
        <x:v>5.56</x:v>
      </x:c>
      <x:c r="H2301" s="18" t="n">
        <x:v>2.46</x:v>
      </x:c>
      <x:c r="I2301" s="18" t="n">
        <x:v>16.02</x:v>
      </x:c>
      <x:c r="J2301" t="n">
        <x:f>IF(A2301=A2300,IFERROR(IF(B2301=EDATE(B2300,1),C2300,0),0),0)</x:f>
        <x:v>1</x:v>
      </x:c>
      <x:c r="K2301" t="n">
        <x:f>IF(AND(J2301=1,C2301=0),1,0)</x:f>
        <x:v>0</x:v>
      </x:c>
      <x:c r="L2301" t="str">
        <x:f>IFERROR(INDEX(Customers!$C$2:$C$451,MATCH(A2301,Customers!$A$2:$A$451,0)),"Unknown")</x:f>
        <x:v>Plus</x:v>
      </x:c>
    </x:row>
    <x:row r="2302">
      <x:c r="A2302" t="n">
        <x:v>422</x:v>
      </x:c>
      <x:c r="B2302" s="16" t="n">
        <x:v>46204</x:v>
      </x:c>
      <x:c r="C2302" t="n">
        <x:v>0</x:v>
      </x:c>
      <x:c r="D2302" t="n">
        <x:v>0</x:v>
      </x:c>
      <x:c r="E2302" s="18" t="n">
        <x:v>0</x:v>
      </x:c>
      <x:c r="F2302" s="18" t="n">
        <x:v>0</x:v>
      </x:c>
      <x:c r="G2302" s="18" t="n">
        <x:v>0</x:v>
      </x:c>
      <x:c r="H2302" s="18" t="n">
        <x:v>0</x:v>
      </x:c>
      <x:c r="I2302" s="18" t="n">
        <x:v>0</x:v>
      </x:c>
      <x:c r="J2302" t="n">
        <x:f>IF(A2302=A2301,IFERROR(IF(B2302=EDATE(B2301,1),C2301,0),0),0)</x:f>
        <x:v>1</x:v>
      </x:c>
      <x:c r="K2302" t="n">
        <x:f>IF(AND(J2302=1,C2302=0),1,0)</x:f>
        <x:v>1</x:v>
      </x:c>
      <x:c r="L2302" t="str">
        <x:f>IFERROR(INDEX(Customers!$C$2:$C$451,MATCH(A2302,Customers!$A$2:$A$451,0)),"Unknown")</x:f>
        <x:v>Plus</x:v>
      </x:c>
    </x:row>
    <x:row r="2303">
      <x:c r="A2303" t="n">
        <x:v>422</x:v>
      </x:c>
      <x:c r="B2303" s="16" t="n">
        <x:v>46235</x:v>
      </x:c>
      <x:c r="C2303" t="n">
        <x:v>0</x:v>
      </x:c>
      <x:c r="D2303" t="n">
        <x:v>0</x:v>
      </x:c>
      <x:c r="E2303" s="18" t="n">
        <x:v>0</x:v>
      </x:c>
      <x:c r="F2303" s="18" t="n">
        <x:v>0</x:v>
      </x:c>
      <x:c r="G2303" s="18" t="n">
        <x:v>0</x:v>
      </x:c>
      <x:c r="H2303" s="18" t="n">
        <x:v>0</x:v>
      </x:c>
      <x:c r="I2303" s="18" t="n">
        <x:v>0</x:v>
      </x:c>
      <x:c r="J2303" t="n">
        <x:f>IF(A2303=A2302,IFERROR(IF(B2303=EDATE(B2302,1),C2302,0),0),0)</x:f>
        <x:v>0</x:v>
      </x:c>
      <x:c r="K2303" t="n">
        <x:f>IF(AND(J2303=1,C2303=0),1,0)</x:f>
        <x:v>0</x:v>
      </x:c>
      <x:c r="L2303" t="str">
        <x:f>IFERROR(INDEX(Customers!$C$2:$C$451,MATCH(A2303,Customers!$A$2:$A$451,0)),"Unknown")</x:f>
        <x:v>Plus</x:v>
      </x:c>
    </x:row>
    <x:row r="2304">
      <x:c r="A2304" t="n">
        <x:v>422</x:v>
      </x:c>
      <x:c r="B2304" s="16" t="n">
        <x:v>46266</x:v>
      </x:c>
      <x:c r="C2304" t="n">
        <x:v>0</x:v>
      </x:c>
      <x:c r="D2304" t="n">
        <x:v>0</x:v>
      </x:c>
      <x:c r="E2304" s="18" t="n">
        <x:v>0</x:v>
      </x:c>
      <x:c r="F2304" s="18" t="n">
        <x:v>0</x:v>
      </x:c>
      <x:c r="G2304" s="18" t="n">
        <x:v>0</x:v>
      </x:c>
      <x:c r="H2304" s="18" t="n">
        <x:v>0</x:v>
      </x:c>
      <x:c r="I2304" s="18" t="n">
        <x:v>0</x:v>
      </x:c>
      <x:c r="J2304" t="n">
        <x:f>IF(A2304=A2303,IFERROR(IF(B2304=EDATE(B2303,1),C2303,0),0),0)</x:f>
        <x:v>0</x:v>
      </x:c>
      <x:c r="K2304" t="n">
        <x:f>IF(AND(J2304=1,C2304=0),1,0)</x:f>
        <x:v>0</x:v>
      </x:c>
      <x:c r="L2304" t="str">
        <x:f>IFERROR(INDEX(Customers!$C$2:$C$451,MATCH(A2304,Customers!$A$2:$A$451,0)),"Unknown")</x:f>
        <x:v>Plus</x:v>
      </x:c>
    </x:row>
    <x:row r="2305">
      <x:c r="A2305" t="n">
        <x:v>423</x:v>
      </x:c>
      <x:c r="B2305" s="16" t="n">
        <x:v>46113</x:v>
      </x:c>
      <x:c r="C2305" t="n">
        <x:v>1</x:v>
      </x:c>
      <x:c r="D2305" t="n">
        <x:v>22</x:v>
      </x:c>
      <x:c r="E2305" s="18" t="n">
        <x:v>2450.79</x:v>
      </x:c>
      <x:c r="F2305" s="18" t="n">
        <x:v>0</x:v>
      </x:c>
      <x:c r="G2305" s="18" t="n">
        <x:v>11.03</x:v>
      </x:c>
      <x:c r="H2305" s="18" t="n">
        <x:v>3.05</x:v>
      </x:c>
      <x:c r="I2305" s="18" t="n">
        <x:v>14.08</x:v>
      </x:c>
      <x:c r="J2305" t="n">
        <x:f>IF(A2305=A2304,IFERROR(IF(B2305=EDATE(B2304,1),C2304,0),0),0)</x:f>
        <x:v>0</x:v>
      </x:c>
      <x:c r="K2305" t="n">
        <x:f>IF(AND(J2305=1,C2305=0),1,0)</x:f>
        <x:v>0</x:v>
      </x:c>
      <x:c r="L2305" t="str">
        <x:f>IFERROR(INDEX(Customers!$C$2:$C$451,MATCH(A2305,Customers!$A$2:$A$451,0)),"Unknown")</x:f>
        <x:v>Standard</x:v>
      </x:c>
    </x:row>
    <x:row r="2306">
      <x:c r="A2306" t="n">
        <x:v>423</x:v>
      </x:c>
      <x:c r="B2306" s="16" t="n">
        <x:v>46143</x:v>
      </x:c>
      <x:c r="C2306" t="n">
        <x:v>1</x:v>
      </x:c>
      <x:c r="D2306" t="n">
        <x:v>29</x:v>
      </x:c>
      <x:c r="E2306" s="18" t="n">
        <x:v>3742.19</x:v>
      </x:c>
      <x:c r="F2306" s="18" t="n">
        <x:v>0</x:v>
      </x:c>
      <x:c r="G2306" s="18" t="n">
        <x:v>16.84</x:v>
      </x:c>
      <x:c r="H2306" s="18" t="n">
        <x:v>4.08</x:v>
      </x:c>
      <x:c r="I2306" s="18" t="n">
        <x:v>20.92</x:v>
      </x:c>
      <x:c r="J2306" t="n">
        <x:f>IF(A2306=A2305,IFERROR(IF(B2306=EDATE(B2305,1),C2305,0),0),0)</x:f>
        <x:v>1</x:v>
      </x:c>
      <x:c r="K2306" t="n">
        <x:f>IF(AND(J2306=1,C2306=0),1,0)</x:f>
        <x:v>0</x:v>
      </x:c>
      <x:c r="L2306" t="str">
        <x:f>IFERROR(INDEX(Customers!$C$2:$C$451,MATCH(A2306,Customers!$A$2:$A$451,0)),"Unknown")</x:f>
        <x:v>Standard</x:v>
      </x:c>
    </x:row>
    <x:row r="2307">
      <x:c r="A2307" t="n">
        <x:v>423</x:v>
      </x:c>
      <x:c r="B2307" s="16" t="n">
        <x:v>46174</x:v>
      </x:c>
      <x:c r="C2307" t="n">
        <x:v>1</x:v>
      </x:c>
      <x:c r="D2307" t="n">
        <x:v>14</x:v>
      </x:c>
      <x:c r="E2307" s="18" t="n">
        <x:v>1138.81</x:v>
      </x:c>
      <x:c r="F2307" s="18" t="n">
        <x:v>0</x:v>
      </x:c>
      <x:c r="G2307" s="18" t="n">
        <x:v>5.12</x:v>
      </x:c>
      <x:c r="H2307" s="18" t="n">
        <x:v>2.04</x:v>
      </x:c>
      <x:c r="I2307" s="18" t="n">
        <x:v>7.16</x:v>
      </x:c>
      <x:c r="J2307" t="n">
        <x:f>IF(A2307=A2306,IFERROR(IF(B2307=EDATE(B2306,1),C2306,0),0),0)</x:f>
        <x:v>1</x:v>
      </x:c>
      <x:c r="K2307" t="n">
        <x:f>IF(AND(J2307=1,C2307=0),1,0)</x:f>
        <x:v>0</x:v>
      </x:c>
      <x:c r="L2307" t="str">
        <x:f>IFERROR(INDEX(Customers!$C$2:$C$451,MATCH(A2307,Customers!$A$2:$A$451,0)),"Unknown")</x:f>
        <x:v>Standard</x:v>
      </x:c>
    </x:row>
    <x:row r="2308">
      <x:c r="A2308" t="n">
        <x:v>423</x:v>
      </x:c>
      <x:c r="B2308" s="16" t="n">
        <x:v>46204</x:v>
      </x:c>
      <x:c r="C2308" t="n">
        <x:v>1</x:v>
      </x:c>
      <x:c r="D2308" t="n">
        <x:v>33</x:v>
      </x:c>
      <x:c r="E2308" s="18" t="n">
        <x:v>3098.76</x:v>
      </x:c>
      <x:c r="F2308" s="18" t="n">
        <x:v>0</x:v>
      </x:c>
      <x:c r="G2308" s="18" t="n">
        <x:v>13.94</x:v>
      </x:c>
      <x:c r="H2308" s="18" t="n">
        <x:v>9.28</x:v>
      </x:c>
      <x:c r="I2308" s="18" t="n">
        <x:v>23.22</x:v>
      </x:c>
      <x:c r="J2308" t="n">
        <x:f>IF(A2308=A2307,IFERROR(IF(B2308=EDATE(B2307,1),C2307,0),0),0)</x:f>
        <x:v>1</x:v>
      </x:c>
      <x:c r="K2308" t="n">
        <x:f>IF(AND(J2308=1,C2308=0),1,0)</x:f>
        <x:v>0</x:v>
      </x:c>
      <x:c r="L2308" t="str">
        <x:f>IFERROR(INDEX(Customers!$C$2:$C$451,MATCH(A2308,Customers!$A$2:$A$451,0)),"Unknown")</x:f>
        <x:v>Standard</x:v>
      </x:c>
    </x:row>
    <x:row r="2309">
      <x:c r="A2309" t="n">
        <x:v>423</x:v>
      </x:c>
      <x:c r="B2309" s="16" t="n">
        <x:v>46235</x:v>
      </x:c>
      <x:c r="C2309" t="n">
        <x:v>1</x:v>
      </x:c>
      <x:c r="D2309" t="n">
        <x:v>26</x:v>
      </x:c>
      <x:c r="E2309" s="18" t="n">
        <x:v>1011.9</x:v>
      </x:c>
      <x:c r="F2309" s="18" t="n">
        <x:v>0</x:v>
      </x:c>
      <x:c r="G2309" s="18" t="n">
        <x:v>4.55</x:v>
      </x:c>
      <x:c r="H2309" s="18" t="n">
        <x:v>3.02</x:v>
      </x:c>
      <x:c r="I2309" s="18" t="n">
        <x:v>7.57</x:v>
      </x:c>
      <x:c r="J2309" t="n">
        <x:f>IF(A2309=A2308,IFERROR(IF(B2309=EDATE(B2308,1),C2308,0),0),0)</x:f>
        <x:v>1</x:v>
      </x:c>
      <x:c r="K2309" t="n">
        <x:f>IF(AND(J2309=1,C2309=0),1,0)</x:f>
        <x:v>0</x:v>
      </x:c>
      <x:c r="L2309" t="str">
        <x:f>IFERROR(INDEX(Customers!$C$2:$C$451,MATCH(A2309,Customers!$A$2:$A$451,0)),"Unknown")</x:f>
        <x:v>Standard</x:v>
      </x:c>
    </x:row>
    <x:row r="2310">
      <x:c r="A2310" t="n">
        <x:v>423</x:v>
      </x:c>
      <x:c r="B2310" s="16" t="n">
        <x:v>46266</x:v>
      </x:c>
      <x:c r="C2310" t="n">
        <x:v>0</x:v>
      </x:c>
      <x:c r="D2310" t="n">
        <x:v>0</x:v>
      </x:c>
      <x:c r="E2310" s="18" t="n">
        <x:v>0</x:v>
      </x:c>
      <x:c r="F2310" s="18" t="n">
        <x:v>0</x:v>
      </x:c>
      <x:c r="G2310" s="18" t="n">
        <x:v>0</x:v>
      </x:c>
      <x:c r="H2310" s="18" t="n">
        <x:v>0</x:v>
      </x:c>
      <x:c r="I2310" s="18" t="n">
        <x:v>0</x:v>
      </x:c>
      <x:c r="J2310" t="n">
        <x:f>IF(A2310=A2309,IFERROR(IF(B2310=EDATE(B2309,1),C2309,0),0),0)</x:f>
        <x:v>1</x:v>
      </x:c>
      <x:c r="K2310" t="n">
        <x:f>IF(AND(J2310=1,C2310=0),1,0)</x:f>
        <x:v>1</x:v>
      </x:c>
      <x:c r="L2310" t="str">
        <x:f>IFERROR(INDEX(Customers!$C$2:$C$451,MATCH(A2310,Customers!$A$2:$A$451,0)),"Unknown")</x:f>
        <x:v>Standard</x:v>
      </x:c>
    </x:row>
    <x:row r="2311">
      <x:c r="A2311" t="n">
        <x:v>424</x:v>
      </x:c>
      <x:c r="B2311" s="16" t="n">
        <x:v>46143</x:v>
      </x:c>
      <x:c r="C2311" t="n">
        <x:v>0</x:v>
      </x:c>
      <x:c r="D2311" t="n">
        <x:v>0</x:v>
      </x:c>
      <x:c r="E2311" s="18" t="n">
        <x:v>0</x:v>
      </x:c>
      <x:c r="F2311" s="18" t="n">
        <x:v>0</x:v>
      </x:c>
      <x:c r="G2311" s="18" t="n">
        <x:v>0</x:v>
      </x:c>
      <x:c r="H2311" s="18" t="n">
        <x:v>0</x:v>
      </x:c>
      <x:c r="I2311" s="18" t="n">
        <x:v>0</x:v>
      </x:c>
      <x:c r="J2311" t="n">
        <x:f>IF(A2311=A2310,IFERROR(IF(B2311=EDATE(B2310,1),C2310,0),0),0)</x:f>
        <x:v>0</x:v>
      </x:c>
      <x:c r="K2311" t="n">
        <x:f>IF(AND(J2311=1,C2311=0),1,0)</x:f>
        <x:v>0</x:v>
      </x:c>
      <x:c r="L2311" t="str">
        <x:f>IFERROR(INDEX(Customers!$C$2:$C$451,MATCH(A2311,Customers!$A$2:$A$451,0)),"Unknown")</x:f>
        <x:v>Plus</x:v>
      </x:c>
    </x:row>
    <x:row r="2312">
      <x:c r="A2312" t="n">
        <x:v>424</x:v>
      </x:c>
      <x:c r="B2312" s="16" t="n">
        <x:v>46174</x:v>
      </x:c>
      <x:c r="C2312" t="n">
        <x:v>0</x:v>
      </x:c>
      <x:c r="D2312" t="n">
        <x:v>0</x:v>
      </x:c>
      <x:c r="E2312" s="18" t="n">
        <x:v>0</x:v>
      </x:c>
      <x:c r="F2312" s="18" t="n">
        <x:v>0</x:v>
      </x:c>
      <x:c r="G2312" s="18" t="n">
        <x:v>0</x:v>
      </x:c>
      <x:c r="H2312" s="18" t="n">
        <x:v>0</x:v>
      </x:c>
      <x:c r="I2312" s="18" t="n">
        <x:v>0</x:v>
      </x:c>
      <x:c r="J2312" t="n">
        <x:f>IF(A2312=A2311,IFERROR(IF(B2312=EDATE(B2311,1),C2311,0),0),0)</x:f>
        <x:v>0</x:v>
      </x:c>
      <x:c r="K2312" t="n">
        <x:f>IF(AND(J2312=1,C2312=0),1,0)</x:f>
        <x:v>0</x:v>
      </x:c>
      <x:c r="L2312" t="str">
        <x:f>IFERROR(INDEX(Customers!$C$2:$C$451,MATCH(A2312,Customers!$A$2:$A$451,0)),"Unknown")</x:f>
        <x:v>Plus</x:v>
      </x:c>
    </x:row>
    <x:row r="2313">
      <x:c r="A2313" t="n">
        <x:v>424</x:v>
      </x:c>
      <x:c r="B2313" s="16" t="n">
        <x:v>46204</x:v>
      </x:c>
      <x:c r="C2313" t="n">
        <x:v>0</x:v>
      </x:c>
      <x:c r="D2313" t="n">
        <x:v>0</x:v>
      </x:c>
      <x:c r="E2313" s="18" t="n">
        <x:v>0</x:v>
      </x:c>
      <x:c r="F2313" s="18" t="n">
        <x:v>0</x:v>
      </x:c>
      <x:c r="G2313" s="18" t="n">
        <x:v>0</x:v>
      </x:c>
      <x:c r="H2313" s="18" t="n">
        <x:v>0</x:v>
      </x:c>
      <x:c r="I2313" s="18" t="n">
        <x:v>0</x:v>
      </x:c>
      <x:c r="J2313" t="n">
        <x:f>IF(A2313=A2312,IFERROR(IF(B2313=EDATE(B2312,1),C2312,0),0),0)</x:f>
        <x:v>0</x:v>
      </x:c>
      <x:c r="K2313" t="n">
        <x:f>IF(AND(J2313=1,C2313=0),1,0)</x:f>
        <x:v>0</x:v>
      </x:c>
      <x:c r="L2313" t="str">
        <x:f>IFERROR(INDEX(Customers!$C$2:$C$451,MATCH(A2313,Customers!$A$2:$A$451,0)),"Unknown")</x:f>
        <x:v>Plus</x:v>
      </x:c>
    </x:row>
    <x:row r="2314">
      <x:c r="A2314" t="n">
        <x:v>424</x:v>
      </x:c>
      <x:c r="B2314" s="16" t="n">
        <x:v>46235</x:v>
      </x:c>
      <x:c r="C2314" t="n">
        <x:v>1</x:v>
      </x:c>
      <x:c r="D2314" t="n">
        <x:v>33</x:v>
      </x:c>
      <x:c r="E2314" s="18" t="n">
        <x:v>2436.27</x:v>
      </x:c>
      <x:c r="F2314" s="18" t="n">
        <x:v>8</x:v>
      </x:c>
      <x:c r="G2314" s="18" t="n">
        <x:v>10.96</x:v>
      </x:c>
      <x:c r="H2314" s="18" t="n">
        <x:v>4.43</x:v>
      </x:c>
      <x:c r="I2314" s="18" t="n">
        <x:v>23.39</x:v>
      </x:c>
      <x:c r="J2314" t="n">
        <x:f>IF(A2314=A2313,IFERROR(IF(B2314=EDATE(B2313,1),C2313,0),0),0)</x:f>
        <x:v>0</x:v>
      </x:c>
      <x:c r="K2314" t="n">
        <x:f>IF(AND(J2314=1,C2314=0),1,0)</x:f>
        <x:v>0</x:v>
      </x:c>
      <x:c r="L2314" t="str">
        <x:f>IFERROR(INDEX(Customers!$C$2:$C$451,MATCH(A2314,Customers!$A$2:$A$451,0)),"Unknown")</x:f>
        <x:v>Plus</x:v>
      </x:c>
    </x:row>
    <x:row r="2315">
      <x:c r="A2315" t="n">
        <x:v>424</x:v>
      </x:c>
      <x:c r="B2315" s="16" t="n">
        <x:v>46266</x:v>
      </x:c>
      <x:c r="C2315" t="n">
        <x:v>1</x:v>
      </x:c>
      <x:c r="D2315" t="n">
        <x:v>35</x:v>
      </x:c>
      <x:c r="E2315" s="18" t="n">
        <x:v>3805.6</x:v>
      </x:c>
      <x:c r="F2315" s="18" t="n">
        <x:v>8</x:v>
      </x:c>
      <x:c r="G2315" s="18" t="n">
        <x:v>17.13</x:v>
      </x:c>
      <x:c r="H2315" s="18" t="n">
        <x:v>8.35</x:v>
      </x:c>
      <x:c r="I2315" s="18" t="n">
        <x:v>33.48</x:v>
      </x:c>
      <x:c r="J2315" t="n">
        <x:f>IF(A2315=A2314,IFERROR(IF(B2315=EDATE(B2314,1),C2314,0),0),0)</x:f>
        <x:v>1</x:v>
      </x:c>
      <x:c r="K2315" t="n">
        <x:f>IF(AND(J2315=1,C2315=0),1,0)</x:f>
        <x:v>0</x:v>
      </x:c>
      <x:c r="L2315" t="str">
        <x:f>IFERROR(INDEX(Customers!$C$2:$C$451,MATCH(A2315,Customers!$A$2:$A$451,0)),"Unknown")</x:f>
        <x:v>Plus</x:v>
      </x:c>
    </x:row>
    <x:row r="2316">
      <x:c r="A2316" t="n">
        <x:v>425</x:v>
      </x:c>
      <x:c r="B2316" s="16" t="n">
        <x:v>46113</x:v>
      </x:c>
      <x:c r="C2316" t="n">
        <x:v>1</x:v>
      </x:c>
      <x:c r="D2316" t="n">
        <x:v>13</x:v>
      </x:c>
      <x:c r="E2316" s="18" t="n">
        <x:v>457.93</x:v>
      </x:c>
      <x:c r="F2316" s="18" t="n">
        <x:v>0</x:v>
      </x:c>
      <x:c r="G2316" s="18" t="n">
        <x:v>2.06</x:v>
      </x:c>
      <x:c r="H2316" s="18" t="n">
        <x:v>1.57</x:v>
      </x:c>
      <x:c r="I2316" s="18" t="n">
        <x:v>3.63</x:v>
      </x:c>
      <x:c r="J2316" t="n">
        <x:f>IF(A2316=A2315,IFERROR(IF(B2316=EDATE(B2315,1),C2315,0),0),0)</x:f>
        <x:v>0</x:v>
      </x:c>
      <x:c r="K2316" t="n">
        <x:f>IF(AND(J2316=1,C2316=0),1,0)</x:f>
        <x:v>0</x:v>
      </x:c>
      <x:c r="L2316" t="str">
        <x:f>IFERROR(INDEX(Customers!$C$2:$C$451,MATCH(A2316,Customers!$A$2:$A$451,0)),"Unknown")</x:f>
        <x:v>Standard</x:v>
      </x:c>
    </x:row>
    <x:row r="2317">
      <x:c r="A2317" t="n">
        <x:v>425</x:v>
      </x:c>
      <x:c r="B2317" s="16" t="n">
        <x:v>46143</x:v>
      </x:c>
      <x:c r="C2317" t="n">
        <x:v>1</x:v>
      </x:c>
      <x:c r="D2317" t="n">
        <x:v>18</x:v>
      </x:c>
      <x:c r="E2317" s="18" t="n">
        <x:v>1057.01</x:v>
      </x:c>
      <x:c r="F2317" s="18" t="n">
        <x:v>0</x:v>
      </x:c>
      <x:c r="G2317" s="18" t="n">
        <x:v>4.76</x:v>
      </x:c>
      <x:c r="H2317" s="18" t="n">
        <x:v>2.51</x:v>
      </x:c>
      <x:c r="I2317" s="18" t="n">
        <x:v>7.27</x:v>
      </x:c>
      <x:c r="J2317" t="n">
        <x:f>IF(A2317=A2316,IFERROR(IF(B2317=EDATE(B2316,1),C2316,0),0),0)</x:f>
        <x:v>1</x:v>
      </x:c>
      <x:c r="K2317" t="n">
        <x:f>IF(AND(J2317=1,C2317=0),1,0)</x:f>
        <x:v>0</x:v>
      </x:c>
      <x:c r="L2317" t="str">
        <x:f>IFERROR(INDEX(Customers!$C$2:$C$451,MATCH(A2317,Customers!$A$2:$A$451,0)),"Unknown")</x:f>
        <x:v>Standard</x:v>
      </x:c>
    </x:row>
    <x:row r="2318">
      <x:c r="A2318" t="n">
        <x:v>425</x:v>
      </x:c>
      <x:c r="B2318" s="16" t="n">
        <x:v>46174</x:v>
      </x:c>
      <x:c r="C2318" t="n">
        <x:v>0</x:v>
      </x:c>
      <x:c r="D2318" t="n">
        <x:v>0</x:v>
      </x:c>
      <x:c r="E2318" s="18" t="n">
        <x:v>0</x:v>
      </x:c>
      <x:c r="F2318" s="18" t="n">
        <x:v>0</x:v>
      </x:c>
      <x:c r="G2318" s="18" t="n">
        <x:v>0</x:v>
      </x:c>
      <x:c r="H2318" s="18" t="n">
        <x:v>0</x:v>
      </x:c>
      <x:c r="I2318" s="18" t="n">
        <x:v>0</x:v>
      </x:c>
      <x:c r="J2318" t="n">
        <x:f>IF(A2318=A2317,IFERROR(IF(B2318=EDATE(B2317,1),C2317,0),0),0)</x:f>
        <x:v>1</x:v>
      </x:c>
      <x:c r="K2318" t="n">
        <x:f>IF(AND(J2318=1,C2318=0),1,0)</x:f>
        <x:v>1</x:v>
      </x:c>
      <x:c r="L2318" t="str">
        <x:f>IFERROR(INDEX(Customers!$C$2:$C$451,MATCH(A2318,Customers!$A$2:$A$451,0)),"Unknown")</x:f>
        <x:v>Standard</x:v>
      </x:c>
    </x:row>
    <x:row r="2319">
      <x:c r="A2319" t="n">
        <x:v>425</x:v>
      </x:c>
      <x:c r="B2319" s="16" t="n">
        <x:v>46204</x:v>
      </x:c>
      <x:c r="C2319" t="n">
        <x:v>0</x:v>
      </x:c>
      <x:c r="D2319" t="n">
        <x:v>0</x:v>
      </x:c>
      <x:c r="E2319" s="18" t="n">
        <x:v>0</x:v>
      </x:c>
      <x:c r="F2319" s="18" t="n">
        <x:v>0</x:v>
      </x:c>
      <x:c r="G2319" s="18" t="n">
        <x:v>0</x:v>
      </x:c>
      <x:c r="H2319" s="18" t="n">
        <x:v>0</x:v>
      </x:c>
      <x:c r="I2319" s="18" t="n">
        <x:v>0</x:v>
      </x:c>
      <x:c r="J2319" t="n">
        <x:f>IF(A2319=A2318,IFERROR(IF(B2319=EDATE(B2318,1),C2318,0),0),0)</x:f>
        <x:v>0</x:v>
      </x:c>
      <x:c r="K2319" t="n">
        <x:f>IF(AND(J2319=1,C2319=0),1,0)</x:f>
        <x:v>0</x:v>
      </x:c>
      <x:c r="L2319" t="str">
        <x:f>IFERROR(INDEX(Customers!$C$2:$C$451,MATCH(A2319,Customers!$A$2:$A$451,0)),"Unknown")</x:f>
        <x:v>Standard</x:v>
      </x:c>
    </x:row>
    <x:row r="2320">
      <x:c r="A2320" t="n">
        <x:v>425</x:v>
      </x:c>
      <x:c r="B2320" s="16" t="n">
        <x:v>46235</x:v>
      </x:c>
      <x:c r="C2320" t="n">
        <x:v>1</x:v>
      </x:c>
      <x:c r="D2320" t="n">
        <x:v>30</x:v>
      </x:c>
      <x:c r="E2320" s="18" t="n">
        <x:v>2982.44</x:v>
      </x:c>
      <x:c r="F2320" s="18" t="n">
        <x:v>0</x:v>
      </x:c>
      <x:c r="G2320" s="18" t="n">
        <x:v>13.42</x:v>
      </x:c>
      <x:c r="H2320" s="18" t="n">
        <x:v>6.91</x:v>
      </x:c>
      <x:c r="I2320" s="18" t="n">
        <x:v>20.33</x:v>
      </x:c>
      <x:c r="J2320" t="n">
        <x:f>IF(A2320=A2319,IFERROR(IF(B2320=EDATE(B2319,1),C2319,0),0),0)</x:f>
        <x:v>0</x:v>
      </x:c>
      <x:c r="K2320" t="n">
        <x:f>IF(AND(J2320=1,C2320=0),1,0)</x:f>
        <x:v>0</x:v>
      </x:c>
      <x:c r="L2320" t="str">
        <x:f>IFERROR(INDEX(Customers!$C$2:$C$451,MATCH(A2320,Customers!$A$2:$A$451,0)),"Unknown")</x:f>
        <x:v>Standard</x:v>
      </x:c>
    </x:row>
    <x:row r="2321">
      <x:c r="A2321" t="n">
        <x:v>425</x:v>
      </x:c>
      <x:c r="B2321" s="16" t="n">
        <x:v>46266</x:v>
      </x:c>
      <x:c r="C2321" t="n">
        <x:v>0</x:v>
      </x:c>
      <x:c r="D2321" t="n">
        <x:v>0</x:v>
      </x:c>
      <x:c r="E2321" s="18" t="n">
        <x:v>0</x:v>
      </x:c>
      <x:c r="F2321" s="18" t="n">
        <x:v>0</x:v>
      </x:c>
      <x:c r="G2321" s="18" t="n">
        <x:v>0</x:v>
      </x:c>
      <x:c r="H2321" s="18" t="n">
        <x:v>0</x:v>
      </x:c>
      <x:c r="I2321" s="18" t="n">
        <x:v>0</x:v>
      </x:c>
      <x:c r="J2321" t="n">
        <x:f>IF(A2321=A2320,IFERROR(IF(B2321=EDATE(B2320,1),C2320,0),0),0)</x:f>
        <x:v>1</x:v>
      </x:c>
      <x:c r="K2321" t="n">
        <x:f>IF(AND(J2321=1,C2321=0),1,0)</x:f>
        <x:v>1</x:v>
      </x:c>
      <x:c r="L2321" t="str">
        <x:f>IFERROR(INDEX(Customers!$C$2:$C$451,MATCH(A2321,Customers!$A$2:$A$451,0)),"Unknown")</x:f>
        <x:v>Standard</x:v>
      </x:c>
    </x:row>
    <x:row r="2322">
      <x:c r="A2322" t="n">
        <x:v>426</x:v>
      </x:c>
      <x:c r="B2322" s="16" t="n">
        <x:v>46113</x:v>
      </x:c>
      <x:c r="C2322" t="n">
        <x:v>1</x:v>
      </x:c>
      <x:c r="D2322" t="n">
        <x:v>13</x:v>
      </x:c>
      <x:c r="E2322" s="18" t="n">
        <x:v>786.3</x:v>
      </x:c>
      <x:c r="F2322" s="18" t="n">
        <x:v>0</x:v>
      </x:c>
      <x:c r="G2322" s="18" t="n">
        <x:v>3.54</x:v>
      </x:c>
      <x:c r="H2322" s="18" t="n">
        <x:v>2.58</x:v>
      </x:c>
      <x:c r="I2322" s="18" t="n">
        <x:v>6.12</x:v>
      </x:c>
      <x:c r="J2322" t="n">
        <x:f>IF(A2322=A2321,IFERROR(IF(B2322=EDATE(B2321,1),C2321,0),0),0)</x:f>
        <x:v>0</x:v>
      </x:c>
      <x:c r="K2322" t="n">
        <x:f>IF(AND(J2322=1,C2322=0),1,0)</x:f>
        <x:v>0</x:v>
      </x:c>
      <x:c r="L2322" t="str">
        <x:f>IFERROR(INDEX(Customers!$C$2:$C$451,MATCH(A2322,Customers!$A$2:$A$451,0)),"Unknown")</x:f>
        <x:v>Standard</x:v>
      </x:c>
    </x:row>
    <x:row r="2323">
      <x:c r="A2323" t="n">
        <x:v>426</x:v>
      </x:c>
      <x:c r="B2323" s="16" t="n">
        <x:v>46143</x:v>
      </x:c>
      <x:c r="C2323" t="n">
        <x:v>1</x:v>
      </x:c>
      <x:c r="D2323" t="n">
        <x:v>8</x:v>
      </x:c>
      <x:c r="E2323" s="18" t="n">
        <x:v>966.37</x:v>
      </x:c>
      <x:c r="F2323" s="18" t="n">
        <x:v>0</x:v>
      </x:c>
      <x:c r="G2323" s="18" t="n">
        <x:v>4.35</x:v>
      </x:c>
      <x:c r="H2323" s="18" t="n">
        <x:v>0.96</x:v>
      </x:c>
      <x:c r="I2323" s="18" t="n">
        <x:v>5.31</x:v>
      </x:c>
      <x:c r="J2323" t="n">
        <x:f>IF(A2323=A2322,IFERROR(IF(B2323=EDATE(B2322,1),C2322,0),0),0)</x:f>
        <x:v>1</x:v>
      </x:c>
      <x:c r="K2323" t="n">
        <x:f>IF(AND(J2323=1,C2323=0),1,0)</x:f>
        <x:v>0</x:v>
      </x:c>
      <x:c r="L2323" t="str">
        <x:f>IFERROR(INDEX(Customers!$C$2:$C$451,MATCH(A2323,Customers!$A$2:$A$451,0)),"Unknown")</x:f>
        <x:v>Standard</x:v>
      </x:c>
    </x:row>
    <x:row r="2324">
      <x:c r="A2324" t="n">
        <x:v>426</x:v>
      </x:c>
      <x:c r="B2324" s="16" t="n">
        <x:v>46174</x:v>
      </x:c>
      <x:c r="C2324" t="n">
        <x:v>1</x:v>
      </x:c>
      <x:c r="D2324" t="n">
        <x:v>24</x:v>
      </x:c>
      <x:c r="E2324" s="18" t="n">
        <x:v>2566.64</x:v>
      </x:c>
      <x:c r="F2324" s="18" t="n">
        <x:v>0</x:v>
      </x:c>
      <x:c r="G2324" s="18" t="n">
        <x:v>11.55</x:v>
      </x:c>
      <x:c r="H2324" s="18" t="n">
        <x:v>3.96</x:v>
      </x:c>
      <x:c r="I2324" s="18" t="n">
        <x:v>15.51</x:v>
      </x:c>
      <x:c r="J2324" t="n">
        <x:f>IF(A2324=A2323,IFERROR(IF(B2324=EDATE(B2323,1),C2323,0),0),0)</x:f>
        <x:v>1</x:v>
      </x:c>
      <x:c r="K2324" t="n">
        <x:f>IF(AND(J2324=1,C2324=0),1,0)</x:f>
        <x:v>0</x:v>
      </x:c>
      <x:c r="L2324" t="str">
        <x:f>IFERROR(INDEX(Customers!$C$2:$C$451,MATCH(A2324,Customers!$A$2:$A$451,0)),"Unknown")</x:f>
        <x:v>Standard</x:v>
      </x:c>
    </x:row>
    <x:row r="2325">
      <x:c r="A2325" t="n">
        <x:v>426</x:v>
      </x:c>
      <x:c r="B2325" s="16" t="n">
        <x:v>46204</x:v>
      </x:c>
      <x:c r="C2325" t="n">
        <x:v>1</x:v>
      </x:c>
      <x:c r="D2325" t="n">
        <x:v>28</x:v>
      </x:c>
      <x:c r="E2325" s="18" t="n">
        <x:v>1255.71</x:v>
      </x:c>
      <x:c r="F2325" s="18" t="n">
        <x:v>0</x:v>
      </x:c>
      <x:c r="G2325" s="18" t="n">
        <x:v>5.65</x:v>
      </x:c>
      <x:c r="H2325" s="18" t="n">
        <x:v>1.15</x:v>
      </x:c>
      <x:c r="I2325" s="18" t="n">
        <x:v>6.8</x:v>
      </x:c>
      <x:c r="J2325" t="n">
        <x:f>IF(A2325=A2324,IFERROR(IF(B2325=EDATE(B2324,1),C2324,0),0),0)</x:f>
        <x:v>1</x:v>
      </x:c>
      <x:c r="K2325" t="n">
        <x:f>IF(AND(J2325=1,C2325=0),1,0)</x:f>
        <x:v>0</x:v>
      </x:c>
      <x:c r="L2325" t="str">
        <x:f>IFERROR(INDEX(Customers!$C$2:$C$451,MATCH(A2325,Customers!$A$2:$A$451,0)),"Unknown")</x:f>
        <x:v>Standard</x:v>
      </x:c>
    </x:row>
    <x:row r="2326">
      <x:c r="A2326" t="n">
        <x:v>426</x:v>
      </x:c>
      <x:c r="B2326" s="16" t="n">
        <x:v>46235</x:v>
      </x:c>
      <x:c r="C2326" t="n">
        <x:v>1</x:v>
      </x:c>
      <x:c r="D2326" t="n">
        <x:v>10</x:v>
      </x:c>
      <x:c r="E2326" s="18" t="n">
        <x:v>915.46</x:v>
      </x:c>
      <x:c r="F2326" s="18" t="n">
        <x:v>0</x:v>
      </x:c>
      <x:c r="G2326" s="18" t="n">
        <x:v>4.12</x:v>
      </x:c>
      <x:c r="H2326" s="18" t="n">
        <x:v>2.03</x:v>
      </x:c>
      <x:c r="I2326" s="18" t="n">
        <x:v>6.15</x:v>
      </x:c>
      <x:c r="J2326" t="n">
        <x:f>IF(A2326=A2325,IFERROR(IF(B2326=EDATE(B2325,1),C2325,0),0),0)</x:f>
        <x:v>1</x:v>
      </x:c>
      <x:c r="K2326" t="n">
        <x:f>IF(AND(J2326=1,C2326=0),1,0)</x:f>
        <x:v>0</x:v>
      </x:c>
      <x:c r="L2326" t="str">
        <x:f>IFERROR(INDEX(Customers!$C$2:$C$451,MATCH(A2326,Customers!$A$2:$A$451,0)),"Unknown")</x:f>
        <x:v>Standard</x:v>
      </x:c>
    </x:row>
    <x:row r="2327">
      <x:c r="A2327" t="n">
        <x:v>426</x:v>
      </x:c>
      <x:c r="B2327" s="16" t="n">
        <x:v>46266</x:v>
      </x:c>
      <x:c r="C2327" t="n">
        <x:v>1</x:v>
      </x:c>
      <x:c r="D2327" t="n">
        <x:v>21</x:v>
      </x:c>
      <x:c r="E2327" s="18" t="n">
        <x:v>1039.41</x:v>
      </x:c>
      <x:c r="F2327" s="18" t="n">
        <x:v>0</x:v>
      </x:c>
      <x:c r="G2327" s="18" t="n">
        <x:v>4.68</x:v>
      </x:c>
      <x:c r="H2327" s="18" t="n">
        <x:v>2.09</x:v>
      </x:c>
      <x:c r="I2327" s="18" t="n">
        <x:v>6.77</x:v>
      </x:c>
      <x:c r="J2327" t="n">
        <x:f>IF(A2327=A2326,IFERROR(IF(B2327=EDATE(B2326,1),C2326,0),0),0)</x:f>
        <x:v>1</x:v>
      </x:c>
      <x:c r="K2327" t="n">
        <x:f>IF(AND(J2327=1,C2327=0),1,0)</x:f>
        <x:v>0</x:v>
      </x:c>
      <x:c r="L2327" t="str">
        <x:f>IFERROR(INDEX(Customers!$C$2:$C$451,MATCH(A2327,Customers!$A$2:$A$451,0)),"Unknown")</x:f>
        <x:v>Standard</x:v>
      </x:c>
    </x:row>
    <x:row r="2328">
      <x:c r="A2328" t="n">
        <x:v>427</x:v>
      </x:c>
      <x:c r="B2328" s="16" t="n">
        <x:v>46174</x:v>
      </x:c>
      <x:c r="C2328" t="n">
        <x:v>1</x:v>
      </x:c>
      <x:c r="D2328" t="n">
        <x:v>34</x:v>
      </x:c>
      <x:c r="E2328" s="18" t="n">
        <x:v>2800.01</x:v>
      </x:c>
      <x:c r="F2328" s="18" t="n">
        <x:v>8</x:v>
      </x:c>
      <x:c r="G2328" s="18" t="n">
        <x:v>12.6</x:v>
      </x:c>
      <x:c r="H2328" s="18" t="n">
        <x:v>9.42</x:v>
      </x:c>
      <x:c r="I2328" s="18" t="n">
        <x:v>30.02</x:v>
      </x:c>
      <x:c r="J2328" t="n">
        <x:f>IF(A2328=A2327,IFERROR(IF(B2328=EDATE(B2327,1),C2327,0),0),0)</x:f>
        <x:v>0</x:v>
      </x:c>
      <x:c r="K2328" t="n">
        <x:f>IF(AND(J2328=1,C2328=0),1,0)</x:f>
        <x:v>0</x:v>
      </x:c>
      <x:c r="L2328" t="str">
        <x:f>IFERROR(INDEX(Customers!$C$2:$C$451,MATCH(A2328,Customers!$A$2:$A$451,0)),"Unknown")</x:f>
        <x:v>Plus</x:v>
      </x:c>
    </x:row>
    <x:row r="2329">
      <x:c r="A2329" t="n">
        <x:v>427</x:v>
      </x:c>
      <x:c r="B2329" s="16" t="n">
        <x:v>46204</x:v>
      </x:c>
      <x:c r="C2329" t="n">
        <x:v>1</x:v>
      </x:c>
      <x:c r="D2329" t="n">
        <x:v>16</x:v>
      </x:c>
      <x:c r="E2329" s="18" t="n">
        <x:v>1910.51</x:v>
      </x:c>
      <x:c r="F2329" s="18" t="n">
        <x:v>8</x:v>
      </x:c>
      <x:c r="G2329" s="18" t="n">
        <x:v>8.6</x:v>
      </x:c>
      <x:c r="H2329" s="18" t="n">
        <x:v>2.16</x:v>
      </x:c>
      <x:c r="I2329" s="18" t="n">
        <x:v>18.76</x:v>
      </x:c>
      <x:c r="J2329" t="n">
        <x:f>IF(A2329=A2328,IFERROR(IF(B2329=EDATE(B2328,1),C2328,0),0),0)</x:f>
        <x:v>1</x:v>
      </x:c>
      <x:c r="K2329" t="n">
        <x:f>IF(AND(J2329=1,C2329=0),1,0)</x:f>
        <x:v>0</x:v>
      </x:c>
      <x:c r="L2329" t="str">
        <x:f>IFERROR(INDEX(Customers!$C$2:$C$451,MATCH(A2329,Customers!$A$2:$A$451,0)),"Unknown")</x:f>
        <x:v>Plus</x:v>
      </x:c>
    </x:row>
    <x:row r="2330">
      <x:c r="A2330" t="n">
        <x:v>427</x:v>
      </x:c>
      <x:c r="B2330" s="16" t="n">
        <x:v>46235</x:v>
      </x:c>
      <x:c r="C2330" t="n">
        <x:v>1</x:v>
      </x:c>
      <x:c r="D2330" t="n">
        <x:v>20</x:v>
      </x:c>
      <x:c r="E2330" s="18" t="n">
        <x:v>2789.34</x:v>
      </x:c>
      <x:c r="F2330" s="18" t="n">
        <x:v>8</x:v>
      </x:c>
      <x:c r="G2330" s="18" t="n">
        <x:v>12.55</x:v>
      </x:c>
      <x:c r="H2330" s="18" t="n">
        <x:v>2.93</x:v>
      </x:c>
      <x:c r="I2330" s="18" t="n">
        <x:v>23.48</x:v>
      </x:c>
      <x:c r="J2330" t="n">
        <x:f>IF(A2330=A2329,IFERROR(IF(B2330=EDATE(B2329,1),C2329,0),0),0)</x:f>
        <x:v>1</x:v>
      </x:c>
      <x:c r="K2330" t="n">
        <x:f>IF(AND(J2330=1,C2330=0),1,0)</x:f>
        <x:v>0</x:v>
      </x:c>
      <x:c r="L2330" t="str">
        <x:f>IFERROR(INDEX(Customers!$C$2:$C$451,MATCH(A2330,Customers!$A$2:$A$451,0)),"Unknown")</x:f>
        <x:v>Plus</x:v>
      </x:c>
    </x:row>
    <x:row r="2331">
      <x:c r="A2331" t="n">
        <x:v>427</x:v>
      </x:c>
      <x:c r="B2331" s="16" t="n">
        <x:v>46266</x:v>
      </x:c>
      <x:c r="C2331" t="n">
        <x:v>1</x:v>
      </x:c>
      <x:c r="D2331" t="n">
        <x:v>13</x:v>
      </x:c>
      <x:c r="E2331" s="18" t="n">
        <x:v>1491.05</x:v>
      </x:c>
      <x:c r="F2331" s="18" t="n">
        <x:v>8</x:v>
      </x:c>
      <x:c r="G2331" s="18" t="n">
        <x:v>6.71</x:v>
      </x:c>
      <x:c r="H2331" s="18" t="n">
        <x:v>2.77</x:v>
      </x:c>
      <x:c r="I2331" s="18" t="n">
        <x:v>17.48</x:v>
      </x:c>
      <x:c r="J2331" t="n">
        <x:f>IF(A2331=A2330,IFERROR(IF(B2331=EDATE(B2330,1),C2330,0),0),0)</x:f>
        <x:v>1</x:v>
      </x:c>
      <x:c r="K2331" t="n">
        <x:f>IF(AND(J2331=1,C2331=0),1,0)</x:f>
        <x:v>0</x:v>
      </x:c>
      <x:c r="L2331" t="str">
        <x:f>IFERROR(INDEX(Customers!$C$2:$C$451,MATCH(A2331,Customers!$A$2:$A$451,0)),"Unknown")</x:f>
        <x:v>Plus</x:v>
      </x:c>
    </x:row>
    <x:row r="2332">
      <x:c r="A2332" t="n">
        <x:v>428</x:v>
      </x:c>
      <x:c r="B2332" s="16" t="n">
        <x:v>46113</x:v>
      </x:c>
      <x:c r="C2332" t="n">
        <x:v>1</x:v>
      </x:c>
      <x:c r="D2332" t="n">
        <x:v>26</x:v>
      </x:c>
      <x:c r="E2332" s="18" t="n">
        <x:v>3073.51</x:v>
      </x:c>
      <x:c r="F2332" s="18" t="n">
        <x:v>8</x:v>
      </x:c>
      <x:c r="G2332" s="18" t="n">
        <x:v>13.83</x:v>
      </x:c>
      <x:c r="H2332" s="18" t="n">
        <x:v>9.53</x:v>
      </x:c>
      <x:c r="I2332" s="18" t="n">
        <x:v>31.36</x:v>
      </x:c>
      <x:c r="J2332" t="n">
        <x:f>IF(A2332=A2331,IFERROR(IF(B2332=EDATE(B2331,1),C2331,0),0),0)</x:f>
        <x:v>0</x:v>
      </x:c>
      <x:c r="K2332" t="n">
        <x:f>IF(AND(J2332=1,C2332=0),1,0)</x:f>
        <x:v>0</x:v>
      </x:c>
      <x:c r="L2332" t="str">
        <x:f>IFERROR(INDEX(Customers!$C$2:$C$451,MATCH(A2332,Customers!$A$2:$A$451,0)),"Unknown")</x:f>
        <x:v>Plus</x:v>
      </x:c>
    </x:row>
    <x:row r="2333">
      <x:c r="A2333" t="n">
        <x:v>428</x:v>
      </x:c>
      <x:c r="B2333" s="16" t="n">
        <x:v>46143</x:v>
      </x:c>
      <x:c r="C2333" t="n">
        <x:v>0</x:v>
      </x:c>
      <x:c r="D2333" t="n">
        <x:v>0</x:v>
      </x:c>
      <x:c r="E2333" s="18" t="n">
        <x:v>0</x:v>
      </x:c>
      <x:c r="F2333" s="18" t="n">
        <x:v>0</x:v>
      </x:c>
      <x:c r="G2333" s="18" t="n">
        <x:v>0</x:v>
      </x:c>
      <x:c r="H2333" s="18" t="n">
        <x:v>0</x:v>
      </x:c>
      <x:c r="I2333" s="18" t="n">
        <x:v>0</x:v>
      </x:c>
      <x:c r="J2333" t="n">
        <x:f>IF(A2333=A2332,IFERROR(IF(B2333=EDATE(B2332,1),C2332,0),0),0)</x:f>
        <x:v>1</x:v>
      </x:c>
      <x:c r="K2333" t="n">
        <x:f>IF(AND(J2333=1,C2333=0),1,0)</x:f>
        <x:v>1</x:v>
      </x:c>
      <x:c r="L2333" t="str">
        <x:f>IFERROR(INDEX(Customers!$C$2:$C$451,MATCH(A2333,Customers!$A$2:$A$451,0)),"Unknown")</x:f>
        <x:v>Plus</x:v>
      </x:c>
    </x:row>
    <x:row r="2334">
      <x:c r="A2334" t="n">
        <x:v>428</x:v>
      </x:c>
      <x:c r="B2334" s="16" t="n">
        <x:v>46174</x:v>
      </x:c>
      <x:c r="C2334" t="n">
        <x:v>1</x:v>
      </x:c>
      <x:c r="D2334" t="n">
        <x:v>32</x:v>
      </x:c>
      <x:c r="E2334" s="18" t="n">
        <x:v>1977.69</x:v>
      </x:c>
      <x:c r="F2334" s="18" t="n">
        <x:v>8</x:v>
      </x:c>
      <x:c r="G2334" s="18" t="n">
        <x:v>8.9</x:v>
      </x:c>
      <x:c r="H2334" s="18" t="n">
        <x:v>3.84</x:v>
      </x:c>
      <x:c r="I2334" s="18" t="n">
        <x:v>20.74</x:v>
      </x:c>
      <x:c r="J2334" t="n">
        <x:f>IF(A2334=A2333,IFERROR(IF(B2334=EDATE(B2333,1),C2333,0),0),0)</x:f>
        <x:v>0</x:v>
      </x:c>
      <x:c r="K2334" t="n">
        <x:f>IF(AND(J2334=1,C2334=0),1,0)</x:f>
        <x:v>0</x:v>
      </x:c>
      <x:c r="L2334" t="str">
        <x:f>IFERROR(INDEX(Customers!$C$2:$C$451,MATCH(A2334,Customers!$A$2:$A$451,0)),"Unknown")</x:f>
        <x:v>Plus</x:v>
      </x:c>
    </x:row>
    <x:row r="2335">
      <x:c r="A2335" t="n">
        <x:v>428</x:v>
      </x:c>
      <x:c r="B2335" s="16" t="n">
        <x:v>46204</x:v>
      </x:c>
      <x:c r="C2335" t="n">
        <x:v>1</x:v>
      </x:c>
      <x:c r="D2335" t="n">
        <x:v>21</x:v>
      </x:c>
      <x:c r="E2335" s="18" t="n">
        <x:v>1716.84</x:v>
      </x:c>
      <x:c r="F2335" s="18" t="n">
        <x:v>8</x:v>
      </x:c>
      <x:c r="G2335" s="18" t="n">
        <x:v>7.73</x:v>
      </x:c>
      <x:c r="H2335" s="18" t="n">
        <x:v>5.87</x:v>
      </x:c>
      <x:c r="I2335" s="18" t="n">
        <x:v>21.6</x:v>
      </x:c>
      <x:c r="J2335" t="n">
        <x:f>IF(A2335=A2334,IFERROR(IF(B2335=EDATE(B2334,1),C2334,0),0),0)</x:f>
        <x:v>1</x:v>
      </x:c>
      <x:c r="K2335" t="n">
        <x:f>IF(AND(J2335=1,C2335=0),1,0)</x:f>
        <x:v>0</x:v>
      </x:c>
      <x:c r="L2335" t="str">
        <x:f>IFERROR(INDEX(Customers!$C$2:$C$451,MATCH(A2335,Customers!$A$2:$A$451,0)),"Unknown")</x:f>
        <x:v>Plus</x:v>
      </x:c>
    </x:row>
    <x:row r="2336">
      <x:c r="A2336" t="n">
        <x:v>428</x:v>
      </x:c>
      <x:c r="B2336" s="16" t="n">
        <x:v>46235</x:v>
      </x:c>
      <x:c r="C2336" t="n">
        <x:v>1</x:v>
      </x:c>
      <x:c r="D2336" t="n">
        <x:v>11</x:v>
      </x:c>
      <x:c r="E2336" s="18" t="n">
        <x:v>1161.62</x:v>
      </x:c>
      <x:c r="F2336" s="18" t="n">
        <x:v>8</x:v>
      </x:c>
      <x:c r="G2336" s="18" t="n">
        <x:v>5.23</x:v>
      </x:c>
      <x:c r="H2336" s="18" t="n">
        <x:v>1.85</x:v>
      </x:c>
      <x:c r="I2336" s="18" t="n">
        <x:v>15.08</x:v>
      </x:c>
      <x:c r="J2336" t="n">
        <x:f>IF(A2336=A2335,IFERROR(IF(B2336=EDATE(B2335,1),C2335,0),0),0)</x:f>
        <x:v>1</x:v>
      </x:c>
      <x:c r="K2336" t="n">
        <x:f>IF(AND(J2336=1,C2336=0),1,0)</x:f>
        <x:v>0</x:v>
      </x:c>
      <x:c r="L2336" t="str">
        <x:f>IFERROR(INDEX(Customers!$C$2:$C$451,MATCH(A2336,Customers!$A$2:$A$451,0)),"Unknown")</x:f>
        <x:v>Plus</x:v>
      </x:c>
    </x:row>
    <x:row r="2337">
      <x:c r="A2337" t="n">
        <x:v>428</x:v>
      </x:c>
      <x:c r="B2337" s="16" t="n">
        <x:v>46266</x:v>
      </x:c>
      <x:c r="C2337" t="n">
        <x:v>1</x:v>
      </x:c>
      <x:c r="D2337" t="n">
        <x:v>14</x:v>
      </x:c>
      <x:c r="E2337" s="18" t="n">
        <x:v>1052.94</x:v>
      </x:c>
      <x:c r="F2337" s="18" t="n">
        <x:v>8</x:v>
      </x:c>
      <x:c r="G2337" s="18" t="n">
        <x:v>4.74</x:v>
      </x:c>
      <x:c r="H2337" s="18" t="n">
        <x:v>1.62</x:v>
      </x:c>
      <x:c r="I2337" s="18" t="n">
        <x:v>14.36</x:v>
      </x:c>
      <x:c r="J2337" t="n">
        <x:f>IF(A2337=A2336,IFERROR(IF(B2337=EDATE(B2336,1),C2336,0),0),0)</x:f>
        <x:v>1</x:v>
      </x:c>
      <x:c r="K2337" t="n">
        <x:f>IF(AND(J2337=1,C2337=0),1,0)</x:f>
        <x:v>0</x:v>
      </x:c>
      <x:c r="L2337" t="str">
        <x:f>IFERROR(INDEX(Customers!$C$2:$C$451,MATCH(A2337,Customers!$A$2:$A$451,0)),"Unknown")</x:f>
        <x:v>Plus</x:v>
      </x:c>
    </x:row>
    <x:row r="2338">
      <x:c r="A2338" t="n">
        <x:v>429</x:v>
      </x:c>
      <x:c r="B2338" s="16" t="n">
        <x:v>46113</x:v>
      </x:c>
      <x:c r="C2338" t="n">
        <x:v>1</x:v>
      </x:c>
      <x:c r="D2338" t="n">
        <x:v>21</x:v>
      </x:c>
      <x:c r="E2338" s="18" t="n">
        <x:v>1484.3</x:v>
      </x:c>
      <x:c r="F2338" s="18" t="n">
        <x:v>8</x:v>
      </x:c>
      <x:c r="G2338" s="18" t="n">
        <x:v>6.68</x:v>
      </x:c>
      <x:c r="H2338" s="18" t="n">
        <x:v>3.98</x:v>
      </x:c>
      <x:c r="I2338" s="18" t="n">
        <x:v>18.66</x:v>
      </x:c>
      <x:c r="J2338" t="n">
        <x:f>IF(A2338=A2337,IFERROR(IF(B2338=EDATE(B2337,1),C2337,0),0),0)</x:f>
        <x:v>0</x:v>
      </x:c>
      <x:c r="K2338" t="n">
        <x:f>IF(AND(J2338=1,C2338=0),1,0)</x:f>
        <x:v>0</x:v>
      </x:c>
      <x:c r="L2338" t="str">
        <x:f>IFERROR(INDEX(Customers!$C$2:$C$451,MATCH(A2338,Customers!$A$2:$A$451,0)),"Unknown")</x:f>
        <x:v>Plus</x:v>
      </x:c>
    </x:row>
    <x:row r="2339">
      <x:c r="A2339" t="n">
        <x:v>429</x:v>
      </x:c>
      <x:c r="B2339" s="16" t="n">
        <x:v>46143</x:v>
      </x:c>
      <x:c r="C2339" t="n">
        <x:v>1</x:v>
      </x:c>
      <x:c r="D2339" t="n">
        <x:v>9</x:v>
      </x:c>
      <x:c r="E2339" s="18" t="n">
        <x:v>820.12</x:v>
      </x:c>
      <x:c r="F2339" s="18" t="n">
        <x:v>8</x:v>
      </x:c>
      <x:c r="G2339" s="18" t="n">
        <x:v>3.69</x:v>
      </x:c>
      <x:c r="H2339" s="18" t="n">
        <x:v>1.55</x:v>
      </x:c>
      <x:c r="I2339" s="18" t="n">
        <x:v>13.24</x:v>
      </x:c>
      <x:c r="J2339" t="n">
        <x:f>IF(A2339=A2338,IFERROR(IF(B2339=EDATE(B2338,1),C2338,0),0),0)</x:f>
        <x:v>1</x:v>
      </x:c>
      <x:c r="K2339" t="n">
        <x:f>IF(AND(J2339=1,C2339=0),1,0)</x:f>
        <x:v>0</x:v>
      </x:c>
      <x:c r="L2339" t="str">
        <x:f>IFERROR(INDEX(Customers!$C$2:$C$451,MATCH(A2339,Customers!$A$2:$A$451,0)),"Unknown")</x:f>
        <x:v>Plus</x:v>
      </x:c>
    </x:row>
    <x:row r="2340">
      <x:c r="A2340" t="n">
        <x:v>429</x:v>
      </x:c>
      <x:c r="B2340" s="16" t="n">
        <x:v>46174</x:v>
      </x:c>
      <x:c r="C2340" t="n">
        <x:v>1</x:v>
      </x:c>
      <x:c r="D2340" t="n">
        <x:v>19</x:v>
      </x:c>
      <x:c r="E2340" s="18" t="n">
        <x:v>1701.7</x:v>
      </x:c>
      <x:c r="F2340" s="18" t="n">
        <x:v>8</x:v>
      </x:c>
      <x:c r="G2340" s="18" t="n">
        <x:v>7.66</x:v>
      </x:c>
      <x:c r="H2340" s="18" t="n">
        <x:v>3.08</x:v>
      </x:c>
      <x:c r="I2340" s="18" t="n">
        <x:v>18.74</x:v>
      </x:c>
      <x:c r="J2340" t="n">
        <x:f>IF(A2340=A2339,IFERROR(IF(B2340=EDATE(B2339,1),C2339,0),0),0)</x:f>
        <x:v>1</x:v>
      </x:c>
      <x:c r="K2340" t="n">
        <x:f>IF(AND(J2340=1,C2340=0),1,0)</x:f>
        <x:v>0</x:v>
      </x:c>
      <x:c r="L2340" t="str">
        <x:f>IFERROR(INDEX(Customers!$C$2:$C$451,MATCH(A2340,Customers!$A$2:$A$451,0)),"Unknown")</x:f>
        <x:v>Plus</x:v>
      </x:c>
    </x:row>
    <x:row r="2341">
      <x:c r="A2341" t="n">
        <x:v>429</x:v>
      </x:c>
      <x:c r="B2341" s="16" t="n">
        <x:v>46204</x:v>
      </x:c>
      <x:c r="C2341" t="n">
        <x:v>1</x:v>
      </x:c>
      <x:c r="D2341" t="n">
        <x:v>29</x:v>
      </x:c>
      <x:c r="E2341" s="18" t="n">
        <x:v>1725.57</x:v>
      </x:c>
      <x:c r="F2341" s="18" t="n">
        <x:v>8</x:v>
      </x:c>
      <x:c r="G2341" s="18" t="n">
        <x:v>7.77</x:v>
      </x:c>
      <x:c r="H2341" s="18" t="n">
        <x:v>5.71</x:v>
      </x:c>
      <x:c r="I2341" s="18" t="n">
        <x:v>21.48</x:v>
      </x:c>
      <x:c r="J2341" t="n">
        <x:f>IF(A2341=A2340,IFERROR(IF(B2341=EDATE(B2340,1),C2340,0),0),0)</x:f>
        <x:v>1</x:v>
      </x:c>
      <x:c r="K2341" t="n">
        <x:f>IF(AND(J2341=1,C2341=0),1,0)</x:f>
        <x:v>0</x:v>
      </x:c>
      <x:c r="L2341" t="str">
        <x:f>IFERROR(INDEX(Customers!$C$2:$C$451,MATCH(A2341,Customers!$A$2:$A$451,0)),"Unknown")</x:f>
        <x:v>Plus</x:v>
      </x:c>
    </x:row>
    <x:row r="2342">
      <x:c r="A2342" t="n">
        <x:v>429</x:v>
      </x:c>
      <x:c r="B2342" s="16" t="n">
        <x:v>46235</x:v>
      </x:c>
      <x:c r="C2342" t="n">
        <x:v>1</x:v>
      </x:c>
      <x:c r="D2342" t="n">
        <x:v>23</x:v>
      </x:c>
      <x:c r="E2342" s="18" t="n">
        <x:v>2866</x:v>
      </x:c>
      <x:c r="F2342" s="18" t="n">
        <x:v>8</x:v>
      </x:c>
      <x:c r="G2342" s="18" t="n">
        <x:v>12.9</x:v>
      </x:c>
      <x:c r="H2342" s="18" t="n">
        <x:v>4.16</x:v>
      </x:c>
      <x:c r="I2342" s="18" t="n">
        <x:v>25.06</x:v>
      </x:c>
      <x:c r="J2342" t="n">
        <x:f>IF(A2342=A2341,IFERROR(IF(B2342=EDATE(B2341,1),C2341,0),0),0)</x:f>
        <x:v>1</x:v>
      </x:c>
      <x:c r="K2342" t="n">
        <x:f>IF(AND(J2342=1,C2342=0),1,0)</x:f>
        <x:v>0</x:v>
      </x:c>
      <x:c r="L2342" t="str">
        <x:f>IFERROR(INDEX(Customers!$C$2:$C$451,MATCH(A2342,Customers!$A$2:$A$451,0)),"Unknown")</x:f>
        <x:v>Plus</x:v>
      </x:c>
    </x:row>
    <x:row r="2343">
      <x:c r="A2343" t="n">
        <x:v>429</x:v>
      </x:c>
      <x:c r="B2343" s="16" t="n">
        <x:v>46266</x:v>
      </x:c>
      <x:c r="C2343" t="n">
        <x:v>1</x:v>
      </x:c>
      <x:c r="D2343" t="n">
        <x:v>22</x:v>
      </x:c>
      <x:c r="E2343" s="18" t="n">
        <x:v>1216.75</x:v>
      </x:c>
      <x:c r="F2343" s="18" t="n">
        <x:v>8</x:v>
      </x:c>
      <x:c r="G2343" s="18" t="n">
        <x:v>5.48</x:v>
      </x:c>
      <x:c r="H2343" s="18" t="n">
        <x:v>4.06</x:v>
      </x:c>
      <x:c r="I2343" s="18" t="n">
        <x:v>17.54</x:v>
      </x:c>
      <x:c r="J2343" t="n">
        <x:f>IF(A2343=A2342,IFERROR(IF(B2343=EDATE(B2342,1),C2342,0),0),0)</x:f>
        <x:v>1</x:v>
      </x:c>
      <x:c r="K2343" t="n">
        <x:f>IF(AND(J2343=1,C2343=0),1,0)</x:f>
        <x:v>0</x:v>
      </x:c>
      <x:c r="L2343" t="str">
        <x:f>IFERROR(INDEX(Customers!$C$2:$C$451,MATCH(A2343,Customers!$A$2:$A$451,0)),"Unknown")</x:f>
        <x:v>Plus</x:v>
      </x:c>
    </x:row>
    <x:row r="2344">
      <x:c r="A2344" t="n">
        <x:v>430</x:v>
      </x:c>
      <x:c r="B2344" s="16" t="n">
        <x:v>46113</x:v>
      </x:c>
      <x:c r="C2344" t="n">
        <x:v>1</x:v>
      </x:c>
      <x:c r="D2344" t="n">
        <x:v>5</x:v>
      </x:c>
      <x:c r="E2344" s="18" t="n">
        <x:v>590.55</x:v>
      </x:c>
      <x:c r="F2344" s="18" t="n">
        <x:v>0</x:v>
      </x:c>
      <x:c r="G2344" s="18" t="n">
        <x:v>2.66</x:v>
      </x:c>
      <x:c r="H2344" s="18" t="n">
        <x:v>1.66</x:v>
      </x:c>
      <x:c r="I2344" s="18" t="n">
        <x:v>4.32</x:v>
      </x:c>
      <x:c r="J2344" t="n">
        <x:f>IF(A2344=A2343,IFERROR(IF(B2344=EDATE(B2343,1),C2343,0),0),0)</x:f>
        <x:v>0</x:v>
      </x:c>
      <x:c r="K2344" t="n">
        <x:f>IF(AND(J2344=1,C2344=0),1,0)</x:f>
        <x:v>0</x:v>
      </x:c>
      <x:c r="L2344" t="str">
        <x:f>IFERROR(INDEX(Customers!$C$2:$C$451,MATCH(A2344,Customers!$A$2:$A$451,0)),"Unknown")</x:f>
        <x:v>Standard</x:v>
      </x:c>
    </x:row>
    <x:row r="2345">
      <x:c r="A2345" t="n">
        <x:v>430</x:v>
      </x:c>
      <x:c r="B2345" s="16" t="n">
        <x:v>46143</x:v>
      </x:c>
      <x:c r="C2345" t="n">
        <x:v>1</x:v>
      </x:c>
      <x:c r="D2345" t="n">
        <x:v>26</x:v>
      </x:c>
      <x:c r="E2345" s="18" t="n">
        <x:v>931.64</x:v>
      </x:c>
      <x:c r="F2345" s="18" t="n">
        <x:v>0</x:v>
      </x:c>
      <x:c r="G2345" s="18" t="n">
        <x:v>4.19</x:v>
      </x:c>
      <x:c r="H2345" s="18" t="n">
        <x:v>0.79</x:v>
      </x:c>
      <x:c r="I2345" s="18" t="n">
        <x:v>4.98</x:v>
      </x:c>
      <x:c r="J2345" t="n">
        <x:f>IF(A2345=A2344,IFERROR(IF(B2345=EDATE(B2344,1),C2344,0),0),0)</x:f>
        <x:v>1</x:v>
      </x:c>
      <x:c r="K2345" t="n">
        <x:f>IF(AND(J2345=1,C2345=0),1,0)</x:f>
        <x:v>0</x:v>
      </x:c>
      <x:c r="L2345" t="str">
        <x:f>IFERROR(INDEX(Customers!$C$2:$C$451,MATCH(A2345,Customers!$A$2:$A$451,0)),"Unknown")</x:f>
        <x:v>Standard</x:v>
      </x:c>
    </x:row>
    <x:row r="2346">
      <x:c r="A2346" t="n">
        <x:v>430</x:v>
      </x:c>
      <x:c r="B2346" s="16" t="n">
        <x:v>46174</x:v>
      </x:c>
      <x:c r="C2346" t="n">
        <x:v>1</x:v>
      </x:c>
      <x:c r="D2346" t="n">
        <x:v>13</x:v>
      </x:c>
      <x:c r="E2346" s="18" t="n">
        <x:v>1581.58</x:v>
      </x:c>
      <x:c r="F2346" s="18" t="n">
        <x:v>0</x:v>
      </x:c>
      <x:c r="G2346" s="18" t="n">
        <x:v>7.12</x:v>
      </x:c>
      <x:c r="H2346" s="18" t="n">
        <x:v>5.79</x:v>
      </x:c>
      <x:c r="I2346" s="18" t="n">
        <x:v>12.91</x:v>
      </x:c>
      <x:c r="J2346" t="n">
        <x:f>IF(A2346=A2345,IFERROR(IF(B2346=EDATE(B2345,1),C2345,0),0),0)</x:f>
        <x:v>1</x:v>
      </x:c>
      <x:c r="K2346" t="n">
        <x:f>IF(AND(J2346=1,C2346=0),1,0)</x:f>
        <x:v>0</x:v>
      </x:c>
      <x:c r="L2346" t="str">
        <x:f>IFERROR(INDEX(Customers!$C$2:$C$451,MATCH(A2346,Customers!$A$2:$A$451,0)),"Unknown")</x:f>
        <x:v>Standard</x:v>
      </x:c>
    </x:row>
    <x:row r="2347">
      <x:c r="A2347" t="n">
        <x:v>430</x:v>
      </x:c>
      <x:c r="B2347" s="16" t="n">
        <x:v>46204</x:v>
      </x:c>
      <x:c r="C2347" t="n">
        <x:v>1</x:v>
      </x:c>
      <x:c r="D2347" t="n">
        <x:v>6</x:v>
      </x:c>
      <x:c r="E2347" s="18" t="n">
        <x:v>720.99</x:v>
      </x:c>
      <x:c r="F2347" s="18" t="n">
        <x:v>0</x:v>
      </x:c>
      <x:c r="G2347" s="18" t="n">
        <x:v>3.24</x:v>
      </x:c>
      <x:c r="H2347" s="18" t="n">
        <x:v>1.61</x:v>
      </x:c>
      <x:c r="I2347" s="18" t="n">
        <x:v>4.85</x:v>
      </x:c>
      <x:c r="J2347" t="n">
        <x:f>IF(A2347=A2346,IFERROR(IF(B2347=EDATE(B2346,1),C2346,0),0),0)</x:f>
        <x:v>1</x:v>
      </x:c>
      <x:c r="K2347" t="n">
        <x:f>IF(AND(J2347=1,C2347=0),1,0)</x:f>
        <x:v>0</x:v>
      </x:c>
      <x:c r="L2347" t="str">
        <x:f>IFERROR(INDEX(Customers!$C$2:$C$451,MATCH(A2347,Customers!$A$2:$A$451,0)),"Unknown")</x:f>
        <x:v>Standard</x:v>
      </x:c>
    </x:row>
    <x:row r="2348">
      <x:c r="A2348" t="n">
        <x:v>430</x:v>
      </x:c>
      <x:c r="B2348" s="16" t="n">
        <x:v>46235</x:v>
      </x:c>
      <x:c r="C2348" t="n">
        <x:v>1</x:v>
      </x:c>
      <x:c r="D2348" t="n">
        <x:v>26</x:v>
      </x:c>
      <x:c r="E2348" s="18" t="n">
        <x:v>1587.65</x:v>
      </x:c>
      <x:c r="F2348" s="18" t="n">
        <x:v>0</x:v>
      </x:c>
      <x:c r="G2348" s="18" t="n">
        <x:v>7.14</x:v>
      </x:c>
      <x:c r="H2348" s="18" t="n">
        <x:v>5.79</x:v>
      </x:c>
      <x:c r="I2348" s="18" t="n">
        <x:v>12.93</x:v>
      </x:c>
      <x:c r="J2348" t="n">
        <x:f>IF(A2348=A2347,IFERROR(IF(B2348=EDATE(B2347,1),C2347,0),0),0)</x:f>
        <x:v>1</x:v>
      </x:c>
      <x:c r="K2348" t="n">
        <x:f>IF(AND(J2348=1,C2348=0),1,0)</x:f>
        <x:v>0</x:v>
      </x:c>
      <x:c r="L2348" t="str">
        <x:f>IFERROR(INDEX(Customers!$C$2:$C$451,MATCH(A2348,Customers!$A$2:$A$451,0)),"Unknown")</x:f>
        <x:v>Standard</x:v>
      </x:c>
    </x:row>
    <x:row r="2349">
      <x:c r="A2349" t="n">
        <x:v>430</x:v>
      </x:c>
      <x:c r="B2349" s="16" t="n">
        <x:v>46266</x:v>
      </x:c>
      <x:c r="C2349" t="n">
        <x:v>0</x:v>
      </x:c>
      <x:c r="D2349" t="n">
        <x:v>0</x:v>
      </x:c>
      <x:c r="E2349" s="18" t="n">
        <x:v>0</x:v>
      </x:c>
      <x:c r="F2349" s="18" t="n">
        <x:v>0</x:v>
      </x:c>
      <x:c r="G2349" s="18" t="n">
        <x:v>0</x:v>
      </x:c>
      <x:c r="H2349" s="18" t="n">
        <x:v>0</x:v>
      </x:c>
      <x:c r="I2349" s="18" t="n">
        <x:v>0</x:v>
      </x:c>
      <x:c r="J2349" t="n">
        <x:f>IF(A2349=A2348,IFERROR(IF(B2349=EDATE(B2348,1),C2348,0),0),0)</x:f>
        <x:v>1</x:v>
      </x:c>
      <x:c r="K2349" t="n">
        <x:f>IF(AND(J2349=1,C2349=0),1,0)</x:f>
        <x:v>1</x:v>
      </x:c>
      <x:c r="L2349" t="str">
        <x:f>IFERROR(INDEX(Customers!$C$2:$C$451,MATCH(A2349,Customers!$A$2:$A$451,0)),"Unknown")</x:f>
        <x:v>Standard</x:v>
      </x:c>
    </x:row>
    <x:row r="2350">
      <x:c r="A2350" t="n">
        <x:v>431</x:v>
      </x:c>
      <x:c r="B2350" s="16" t="n">
        <x:v>46174</x:v>
      </x:c>
      <x:c r="C2350" t="n">
        <x:v>1</x:v>
      </x:c>
      <x:c r="D2350" t="n">
        <x:v>25</x:v>
      </x:c>
      <x:c r="E2350" s="18" t="n">
        <x:v>2540.92</x:v>
      </x:c>
      <x:c r="F2350" s="18" t="n">
        <x:v>0</x:v>
      </x:c>
      <x:c r="G2350" s="18" t="n">
        <x:v>11.43</x:v>
      </x:c>
      <x:c r="H2350" s="18" t="n">
        <x:v>6.2</x:v>
      </x:c>
      <x:c r="I2350" s="18" t="n">
        <x:v>17.63</x:v>
      </x:c>
      <x:c r="J2350" t="n">
        <x:f>IF(A2350=A2349,IFERROR(IF(B2350=EDATE(B2349,1),C2349,0),0),0)</x:f>
        <x:v>0</x:v>
      </x:c>
      <x:c r="K2350" t="n">
        <x:f>IF(AND(J2350=1,C2350=0),1,0)</x:f>
        <x:v>0</x:v>
      </x:c>
      <x:c r="L2350" t="str">
        <x:f>IFERROR(INDEX(Customers!$C$2:$C$451,MATCH(A2350,Customers!$A$2:$A$451,0)),"Unknown")</x:f>
        <x:v>Standard</x:v>
      </x:c>
    </x:row>
    <x:row r="2351">
      <x:c r="A2351" t="n">
        <x:v>431</x:v>
      </x:c>
      <x:c r="B2351" s="16" t="n">
        <x:v>46204</x:v>
      </x:c>
      <x:c r="C2351" t="n">
        <x:v>1</x:v>
      </x:c>
      <x:c r="D2351" t="n">
        <x:v>9</x:v>
      </x:c>
      <x:c r="E2351" s="18" t="n">
        <x:v>1147.54</x:v>
      </x:c>
      <x:c r="F2351" s="18" t="n">
        <x:v>0</x:v>
      </x:c>
      <x:c r="G2351" s="18" t="n">
        <x:v>5.16</x:v>
      </x:c>
      <x:c r="H2351" s="18" t="n">
        <x:v>1.32</x:v>
      </x:c>
      <x:c r="I2351" s="18" t="n">
        <x:v>6.48</x:v>
      </x:c>
      <x:c r="J2351" t="n">
        <x:f>IF(A2351=A2350,IFERROR(IF(B2351=EDATE(B2350,1),C2350,0),0),0)</x:f>
        <x:v>1</x:v>
      </x:c>
      <x:c r="K2351" t="n">
        <x:f>IF(AND(J2351=1,C2351=0),1,0)</x:f>
        <x:v>0</x:v>
      </x:c>
      <x:c r="L2351" t="str">
        <x:f>IFERROR(INDEX(Customers!$C$2:$C$451,MATCH(A2351,Customers!$A$2:$A$451,0)),"Unknown")</x:f>
        <x:v>Standard</x:v>
      </x:c>
    </x:row>
    <x:row r="2352">
      <x:c r="A2352" t="n">
        <x:v>431</x:v>
      </x:c>
      <x:c r="B2352" s="16" t="n">
        <x:v>46235</x:v>
      </x:c>
      <x:c r="C2352" t="n">
        <x:v>1</x:v>
      </x:c>
      <x:c r="D2352" t="n">
        <x:v>23</x:v>
      </x:c>
      <x:c r="E2352" s="18" t="n">
        <x:v>2648.41</x:v>
      </x:c>
      <x:c r="F2352" s="18" t="n">
        <x:v>0</x:v>
      </x:c>
      <x:c r="G2352" s="18" t="n">
        <x:v>11.92</x:v>
      </x:c>
      <x:c r="H2352" s="18" t="n">
        <x:v>9.31</x:v>
      </x:c>
      <x:c r="I2352" s="18" t="n">
        <x:v>21.23</x:v>
      </x:c>
      <x:c r="J2352" t="n">
        <x:f>IF(A2352=A2351,IFERROR(IF(B2352=EDATE(B2351,1),C2351,0),0),0)</x:f>
        <x:v>1</x:v>
      </x:c>
      <x:c r="K2352" t="n">
        <x:f>IF(AND(J2352=1,C2352=0),1,0)</x:f>
        <x:v>0</x:v>
      </x:c>
      <x:c r="L2352" t="str">
        <x:f>IFERROR(INDEX(Customers!$C$2:$C$451,MATCH(A2352,Customers!$A$2:$A$451,0)),"Unknown")</x:f>
        <x:v>Standard</x:v>
      </x:c>
    </x:row>
    <x:row r="2353">
      <x:c r="A2353" t="n">
        <x:v>431</x:v>
      </x:c>
      <x:c r="B2353" s="16" t="n">
        <x:v>46266</x:v>
      </x:c>
      <x:c r="C2353" t="n">
        <x:v>1</x:v>
      </x:c>
      <x:c r="D2353" t="n">
        <x:v>23</x:v>
      </x:c>
      <x:c r="E2353" s="18" t="n">
        <x:v>1511.99</x:v>
      </x:c>
      <x:c r="F2353" s="18" t="n">
        <x:v>0</x:v>
      </x:c>
      <x:c r="G2353" s="18" t="n">
        <x:v>6.8</x:v>
      </x:c>
      <x:c r="H2353" s="18" t="n">
        <x:v>3.89</x:v>
      </x:c>
      <x:c r="I2353" s="18" t="n">
        <x:v>10.69</x:v>
      </x:c>
      <x:c r="J2353" t="n">
        <x:f>IF(A2353=A2352,IFERROR(IF(B2353=EDATE(B2352,1),C2352,0),0),0)</x:f>
        <x:v>1</x:v>
      </x:c>
      <x:c r="K2353" t="n">
        <x:f>IF(AND(J2353=1,C2353=0),1,0)</x:f>
        <x:v>0</x:v>
      </x:c>
      <x:c r="L2353" t="str">
        <x:f>IFERROR(INDEX(Customers!$C$2:$C$451,MATCH(A2353,Customers!$A$2:$A$451,0)),"Unknown")</x:f>
        <x:v>Standard</x:v>
      </x:c>
    </x:row>
    <x:row r="2354">
      <x:c r="A2354" t="n">
        <x:v>432</x:v>
      </x:c>
      <x:c r="B2354" s="16" t="n">
        <x:v>46143</x:v>
      </x:c>
      <x:c r="C2354" t="n">
        <x:v>0</x:v>
      </x:c>
      <x:c r="D2354" t="n">
        <x:v>0</x:v>
      </x:c>
      <x:c r="E2354" s="18" t="n">
        <x:v>0</x:v>
      </x:c>
      <x:c r="F2354" s="18" t="n">
        <x:v>0</x:v>
      </x:c>
      <x:c r="G2354" s="18" t="n">
        <x:v>0</x:v>
      </x:c>
      <x:c r="H2354" s="18" t="n">
        <x:v>0</x:v>
      </x:c>
      <x:c r="I2354" s="18" t="n">
        <x:v>0</x:v>
      </x:c>
      <x:c r="J2354" t="n">
        <x:f>IF(A2354=A2353,IFERROR(IF(B2354=EDATE(B2353,1),C2353,0),0),0)</x:f>
        <x:v>0</x:v>
      </x:c>
      <x:c r="K2354" t="n">
        <x:f>IF(AND(J2354=1,C2354=0),1,0)</x:f>
        <x:v>0</x:v>
      </x:c>
      <x:c r="L2354" t="str">
        <x:f>IFERROR(INDEX(Customers!$C$2:$C$451,MATCH(A2354,Customers!$A$2:$A$451,0)),"Unknown")</x:f>
        <x:v>Standard</x:v>
      </x:c>
    </x:row>
    <x:row r="2355">
      <x:c r="A2355" t="n">
        <x:v>432</x:v>
      </x:c>
      <x:c r="B2355" s="16" t="n">
        <x:v>46174</x:v>
      </x:c>
      <x:c r="C2355" t="n">
        <x:v>0</x:v>
      </x:c>
      <x:c r="D2355" t="n">
        <x:v>0</x:v>
      </x:c>
      <x:c r="E2355" s="18" t="n">
        <x:v>0</x:v>
      </x:c>
      <x:c r="F2355" s="18" t="n">
        <x:v>0</x:v>
      </x:c>
      <x:c r="G2355" s="18" t="n">
        <x:v>0</x:v>
      </x:c>
      <x:c r="H2355" s="18" t="n">
        <x:v>0</x:v>
      </x:c>
      <x:c r="I2355" s="18" t="n">
        <x:v>0</x:v>
      </x:c>
      <x:c r="J2355" t="n">
        <x:f>IF(A2355=A2354,IFERROR(IF(B2355=EDATE(B2354,1),C2354,0),0),0)</x:f>
        <x:v>0</x:v>
      </x:c>
      <x:c r="K2355" t="n">
        <x:f>IF(AND(J2355=1,C2355=0),1,0)</x:f>
        <x:v>0</x:v>
      </x:c>
      <x:c r="L2355" t="str">
        <x:f>IFERROR(INDEX(Customers!$C$2:$C$451,MATCH(A2355,Customers!$A$2:$A$451,0)),"Unknown")</x:f>
        <x:v>Standard</x:v>
      </x:c>
    </x:row>
    <x:row r="2356">
      <x:c r="A2356" t="n">
        <x:v>432</x:v>
      </x:c>
      <x:c r="B2356" s="16" t="n">
        <x:v>46204</x:v>
      </x:c>
      <x:c r="C2356" t="n">
        <x:v>1</x:v>
      </x:c>
      <x:c r="D2356" t="n">
        <x:v>22</x:v>
      </x:c>
      <x:c r="E2356" s="18" t="n">
        <x:v>2053.78</x:v>
      </x:c>
      <x:c r="F2356" s="18" t="n">
        <x:v>0</x:v>
      </x:c>
      <x:c r="G2356" s="18" t="n">
        <x:v>9.24</x:v>
      </x:c>
      <x:c r="H2356" s="18" t="n">
        <x:v>2.95</x:v>
      </x:c>
      <x:c r="I2356" s="18" t="n">
        <x:v>12.19</x:v>
      </x:c>
      <x:c r="J2356" t="n">
        <x:f>IF(A2356=A2355,IFERROR(IF(B2356=EDATE(B2355,1),C2355,0),0),0)</x:f>
        <x:v>0</x:v>
      </x:c>
      <x:c r="K2356" t="n">
        <x:f>IF(AND(J2356=1,C2356=0),1,0)</x:f>
        <x:v>0</x:v>
      </x:c>
      <x:c r="L2356" t="str">
        <x:f>IFERROR(INDEX(Customers!$C$2:$C$451,MATCH(A2356,Customers!$A$2:$A$451,0)),"Unknown")</x:f>
        <x:v>Standard</x:v>
      </x:c>
    </x:row>
    <x:row r="2357">
      <x:c r="A2357" t="n">
        <x:v>432</x:v>
      </x:c>
      <x:c r="B2357" s="16" t="n">
        <x:v>46235</x:v>
      </x:c>
      <x:c r="C2357" t="n">
        <x:v>1</x:v>
      </x:c>
      <x:c r="D2357" t="n">
        <x:v>18</x:v>
      </x:c>
      <x:c r="E2357" s="18" t="n">
        <x:v>1603.69</x:v>
      </x:c>
      <x:c r="F2357" s="18" t="n">
        <x:v>0</x:v>
      </x:c>
      <x:c r="G2357" s="18" t="n">
        <x:v>7.22</x:v>
      </x:c>
      <x:c r="H2357" s="18" t="n">
        <x:v>3.68</x:v>
      </x:c>
      <x:c r="I2357" s="18" t="n">
        <x:v>10.9</x:v>
      </x:c>
      <x:c r="J2357" t="n">
        <x:f>IF(A2357=A2356,IFERROR(IF(B2357=EDATE(B2356,1),C2356,0),0),0)</x:f>
        <x:v>1</x:v>
      </x:c>
      <x:c r="K2357" t="n">
        <x:f>IF(AND(J2357=1,C2357=0),1,0)</x:f>
        <x:v>0</x:v>
      </x:c>
      <x:c r="L2357" t="str">
        <x:f>IFERROR(INDEX(Customers!$C$2:$C$451,MATCH(A2357,Customers!$A$2:$A$451,0)),"Unknown")</x:f>
        <x:v>Standard</x:v>
      </x:c>
    </x:row>
    <x:row r="2358">
      <x:c r="A2358" t="n">
        <x:v>432</x:v>
      </x:c>
      <x:c r="B2358" s="16" t="n">
        <x:v>46266</x:v>
      </x:c>
      <x:c r="C2358" t="n">
        <x:v>0</x:v>
      </x:c>
      <x:c r="D2358" t="n">
        <x:v>0</x:v>
      </x:c>
      <x:c r="E2358" s="18" t="n">
        <x:v>0</x:v>
      </x:c>
      <x:c r="F2358" s="18" t="n">
        <x:v>0</x:v>
      </x:c>
      <x:c r="G2358" s="18" t="n">
        <x:v>0</x:v>
      </x:c>
      <x:c r="H2358" s="18" t="n">
        <x:v>0</x:v>
      </x:c>
      <x:c r="I2358" s="18" t="n">
        <x:v>0</x:v>
      </x:c>
      <x:c r="J2358" t="n">
        <x:f>IF(A2358=A2357,IFERROR(IF(B2358=EDATE(B2357,1),C2357,0),0),0)</x:f>
        <x:v>1</x:v>
      </x:c>
      <x:c r="K2358" t="n">
        <x:f>IF(AND(J2358=1,C2358=0),1,0)</x:f>
        <x:v>1</x:v>
      </x:c>
      <x:c r="L2358" t="str">
        <x:f>IFERROR(INDEX(Customers!$C$2:$C$451,MATCH(A2358,Customers!$A$2:$A$451,0)),"Unknown")</x:f>
        <x:v>Standard</x:v>
      </x:c>
    </x:row>
    <x:row r="2359">
      <x:c r="A2359" t="n">
        <x:v>433</x:v>
      </x:c>
      <x:c r="B2359" s="16" t="n">
        <x:v>46113</x:v>
      </x:c>
      <x:c r="C2359" t="n">
        <x:v>1</x:v>
      </x:c>
      <x:c r="D2359" t="n">
        <x:v>33</x:v>
      </x:c>
      <x:c r="E2359" s="18" t="n">
        <x:v>2765.92</x:v>
      </x:c>
      <x:c r="F2359" s="18" t="n">
        <x:v>0</x:v>
      </x:c>
      <x:c r="G2359" s="18" t="n">
        <x:v>12.45</x:v>
      </x:c>
      <x:c r="H2359" s="18" t="n">
        <x:v>8.74</x:v>
      </x:c>
      <x:c r="I2359" s="18" t="n">
        <x:v>21.19</x:v>
      </x:c>
      <x:c r="J2359" t="n">
        <x:f>IF(A2359=A2358,IFERROR(IF(B2359=EDATE(B2358,1),C2358,0),0),0)</x:f>
        <x:v>0</x:v>
      </x:c>
      <x:c r="K2359" t="n">
        <x:f>IF(AND(J2359=1,C2359=0),1,0)</x:f>
        <x:v>0</x:v>
      </x:c>
      <x:c r="L2359" t="str">
        <x:f>IFERROR(INDEX(Customers!$C$2:$C$451,MATCH(A2359,Customers!$A$2:$A$451,0)),"Unknown")</x:f>
        <x:v>Standard</x:v>
      </x:c>
    </x:row>
    <x:row r="2360">
      <x:c r="A2360" t="n">
        <x:v>433</x:v>
      </x:c>
      <x:c r="B2360" s="16" t="n">
        <x:v>46143</x:v>
      </x:c>
      <x:c r="C2360" t="n">
        <x:v>1</x:v>
      </x:c>
      <x:c r="D2360" t="n">
        <x:v>9</x:v>
      </x:c>
      <x:c r="E2360" s="18" t="n">
        <x:v>1143.82</x:v>
      </x:c>
      <x:c r="F2360" s="18" t="n">
        <x:v>0</x:v>
      </x:c>
      <x:c r="G2360" s="18" t="n">
        <x:v>5.15</x:v>
      </x:c>
      <x:c r="H2360" s="18" t="n">
        <x:v>4.22</x:v>
      </x:c>
      <x:c r="I2360" s="18" t="n">
        <x:v>9.37</x:v>
      </x:c>
      <x:c r="J2360" t="n">
        <x:f>IF(A2360=A2359,IFERROR(IF(B2360=EDATE(B2359,1),C2359,0),0),0)</x:f>
        <x:v>1</x:v>
      </x:c>
      <x:c r="K2360" t="n">
        <x:f>IF(AND(J2360=1,C2360=0),1,0)</x:f>
        <x:v>0</x:v>
      </x:c>
      <x:c r="L2360" t="str">
        <x:f>IFERROR(INDEX(Customers!$C$2:$C$451,MATCH(A2360,Customers!$A$2:$A$451,0)),"Unknown")</x:f>
        <x:v>Standard</x:v>
      </x:c>
    </x:row>
    <x:row r="2361">
      <x:c r="A2361" t="n">
        <x:v>433</x:v>
      </x:c>
      <x:c r="B2361" s="16" t="n">
        <x:v>46174</x:v>
      </x:c>
      <x:c r="C2361" t="n">
        <x:v>0</x:v>
      </x:c>
      <x:c r="D2361" t="n">
        <x:v>0</x:v>
      </x:c>
      <x:c r="E2361" s="18" t="n">
        <x:v>0</x:v>
      </x:c>
      <x:c r="F2361" s="18" t="n">
        <x:v>0</x:v>
      </x:c>
      <x:c r="G2361" s="18" t="n">
        <x:v>0</x:v>
      </x:c>
      <x:c r="H2361" s="18" t="n">
        <x:v>0</x:v>
      </x:c>
      <x:c r="I2361" s="18" t="n">
        <x:v>0</x:v>
      </x:c>
      <x:c r="J2361" t="n">
        <x:f>IF(A2361=A2360,IFERROR(IF(B2361=EDATE(B2360,1),C2360,0),0),0)</x:f>
        <x:v>1</x:v>
      </x:c>
      <x:c r="K2361" t="n">
        <x:f>IF(AND(J2361=1,C2361=0),1,0)</x:f>
        <x:v>1</x:v>
      </x:c>
      <x:c r="L2361" t="str">
        <x:f>IFERROR(INDEX(Customers!$C$2:$C$451,MATCH(A2361,Customers!$A$2:$A$451,0)),"Unknown")</x:f>
        <x:v>Standard</x:v>
      </x:c>
    </x:row>
    <x:row r="2362">
      <x:c r="A2362" t="n">
        <x:v>433</x:v>
      </x:c>
      <x:c r="B2362" s="16" t="n">
        <x:v>46204</x:v>
      </x:c>
      <x:c r="C2362" t="n">
        <x:v>1</x:v>
      </x:c>
      <x:c r="D2362" t="n">
        <x:v>30</x:v>
      </x:c>
      <x:c r="E2362" s="18" t="n">
        <x:v>2450.39</x:v>
      </x:c>
      <x:c r="F2362" s="18" t="n">
        <x:v>0</x:v>
      </x:c>
      <x:c r="G2362" s="18" t="n">
        <x:v>11.03</x:v>
      </x:c>
      <x:c r="H2362" s="18" t="n">
        <x:v>6.2</x:v>
      </x:c>
      <x:c r="I2362" s="18" t="n">
        <x:v>17.23</x:v>
      </x:c>
      <x:c r="J2362" t="n">
        <x:f>IF(A2362=A2361,IFERROR(IF(B2362=EDATE(B2361,1),C2361,0),0),0)</x:f>
        <x:v>0</x:v>
      </x:c>
      <x:c r="K2362" t="n">
        <x:f>IF(AND(J2362=1,C2362=0),1,0)</x:f>
        <x:v>0</x:v>
      </x:c>
      <x:c r="L2362" t="str">
        <x:f>IFERROR(INDEX(Customers!$C$2:$C$451,MATCH(A2362,Customers!$A$2:$A$451,0)),"Unknown")</x:f>
        <x:v>Standard</x:v>
      </x:c>
    </x:row>
    <x:row r="2363">
      <x:c r="A2363" t="n">
        <x:v>433</x:v>
      </x:c>
      <x:c r="B2363" s="16" t="n">
        <x:v>46235</x:v>
      </x:c>
      <x:c r="C2363" t="n">
        <x:v>1</x:v>
      </x:c>
      <x:c r="D2363" t="n">
        <x:v>10</x:v>
      </x:c>
      <x:c r="E2363" s="18" t="n">
        <x:v>653.03</x:v>
      </x:c>
      <x:c r="F2363" s="18" t="n">
        <x:v>0</x:v>
      </x:c>
      <x:c r="G2363" s="18" t="n">
        <x:v>2.94</x:v>
      </x:c>
      <x:c r="H2363" s="18" t="n">
        <x:v>1.2</x:v>
      </x:c>
      <x:c r="I2363" s="18" t="n">
        <x:v>4.14</x:v>
      </x:c>
      <x:c r="J2363" t="n">
        <x:f>IF(A2363=A2362,IFERROR(IF(B2363=EDATE(B2362,1),C2362,0),0),0)</x:f>
        <x:v>1</x:v>
      </x:c>
      <x:c r="K2363" t="n">
        <x:f>IF(AND(J2363=1,C2363=0),1,0)</x:f>
        <x:v>0</x:v>
      </x:c>
      <x:c r="L2363" t="str">
        <x:f>IFERROR(INDEX(Customers!$C$2:$C$451,MATCH(A2363,Customers!$A$2:$A$451,0)),"Unknown")</x:f>
        <x:v>Standard</x:v>
      </x:c>
    </x:row>
    <x:row r="2364">
      <x:c r="A2364" t="n">
        <x:v>433</x:v>
      </x:c>
      <x:c r="B2364" s="16" t="n">
        <x:v>46266</x:v>
      </x:c>
      <x:c r="C2364" t="n">
        <x:v>0</x:v>
      </x:c>
      <x:c r="D2364" t="n">
        <x:v>0</x:v>
      </x:c>
      <x:c r="E2364" s="18" t="n">
        <x:v>0</x:v>
      </x:c>
      <x:c r="F2364" s="18" t="n">
        <x:v>0</x:v>
      </x:c>
      <x:c r="G2364" s="18" t="n">
        <x:v>0</x:v>
      </x:c>
      <x:c r="H2364" s="18" t="n">
        <x:v>0</x:v>
      </x:c>
      <x:c r="I2364" s="18" t="n">
        <x:v>0</x:v>
      </x:c>
      <x:c r="J2364" t="n">
        <x:f>IF(A2364=A2363,IFERROR(IF(B2364=EDATE(B2363,1),C2363,0),0),0)</x:f>
        <x:v>1</x:v>
      </x:c>
      <x:c r="K2364" t="n">
        <x:f>IF(AND(J2364=1,C2364=0),1,0)</x:f>
        <x:v>1</x:v>
      </x:c>
      <x:c r="L2364" t="str">
        <x:f>IFERROR(INDEX(Customers!$C$2:$C$451,MATCH(A2364,Customers!$A$2:$A$451,0)),"Unknown")</x:f>
        <x:v>Standard</x:v>
      </x:c>
    </x:row>
    <x:row r="2365">
      <x:c r="A2365" t="n">
        <x:v>434</x:v>
      </x:c>
      <x:c r="B2365" s="16" t="n">
        <x:v>46113</x:v>
      </x:c>
      <x:c r="C2365" t="n">
        <x:v>0</x:v>
      </x:c>
      <x:c r="D2365" t="n">
        <x:v>0</x:v>
      </x:c>
      <x:c r="E2365" s="18" t="n">
        <x:v>0</x:v>
      </x:c>
      <x:c r="F2365" s="18" t="n">
        <x:v>0</x:v>
      </x:c>
      <x:c r="G2365" s="18" t="n">
        <x:v>0</x:v>
      </x:c>
      <x:c r="H2365" s="18" t="n">
        <x:v>0</x:v>
      </x:c>
      <x:c r="I2365" s="18" t="n">
        <x:v>0</x:v>
      </x:c>
      <x:c r="J2365" t="n">
        <x:f>IF(A2365=A2364,IFERROR(IF(B2365=EDATE(B2364,1),C2364,0),0),0)</x:f>
        <x:v>0</x:v>
      </x:c>
      <x:c r="K2365" t="n">
        <x:f>IF(AND(J2365=1,C2365=0),1,0)</x:f>
        <x:v>0</x:v>
      </x:c>
      <x:c r="L2365" t="str">
        <x:f>IFERROR(INDEX(Customers!$C$2:$C$451,MATCH(A2365,Customers!$A$2:$A$451,0)),"Unknown")</x:f>
        <x:v>Plus</x:v>
      </x:c>
    </x:row>
    <x:row r="2366">
      <x:c r="A2366" t="n">
        <x:v>434</x:v>
      </x:c>
      <x:c r="B2366" s="16" t="n">
        <x:v>46143</x:v>
      </x:c>
      <x:c r="C2366" t="n">
        <x:v>1</x:v>
      </x:c>
      <x:c r="D2366" t="n">
        <x:v>14</x:v>
      </x:c>
      <x:c r="E2366" s="18" t="n">
        <x:v>995.04</x:v>
      </x:c>
      <x:c r="F2366" s="18" t="n">
        <x:v>8</x:v>
      </x:c>
      <x:c r="G2366" s="18" t="n">
        <x:v>4.48</x:v>
      </x:c>
      <x:c r="H2366" s="18" t="n">
        <x:v>3.06</x:v>
      </x:c>
      <x:c r="I2366" s="18" t="n">
        <x:v>15.54</x:v>
      </x:c>
      <x:c r="J2366" t="n">
        <x:f>IF(A2366=A2365,IFERROR(IF(B2366=EDATE(B2365,1),C2365,0),0),0)</x:f>
        <x:v>0</x:v>
      </x:c>
      <x:c r="K2366" t="n">
        <x:f>IF(AND(J2366=1,C2366=0),1,0)</x:f>
        <x:v>0</x:v>
      </x:c>
      <x:c r="L2366" t="str">
        <x:f>IFERROR(INDEX(Customers!$C$2:$C$451,MATCH(A2366,Customers!$A$2:$A$451,0)),"Unknown")</x:f>
        <x:v>Plus</x:v>
      </x:c>
    </x:row>
    <x:row r="2367">
      <x:c r="A2367" t="n">
        <x:v>434</x:v>
      </x:c>
      <x:c r="B2367" s="16" t="n">
        <x:v>46174</x:v>
      </x:c>
      <x:c r="C2367" t="n">
        <x:v>1</x:v>
      </x:c>
      <x:c r="D2367" t="n">
        <x:v>21</x:v>
      </x:c>
      <x:c r="E2367" s="18" t="n">
        <x:v>1739.21</x:v>
      </x:c>
      <x:c r="F2367" s="18" t="n">
        <x:v>8</x:v>
      </x:c>
      <x:c r="G2367" s="18" t="n">
        <x:v>7.83</x:v>
      </x:c>
      <x:c r="H2367" s="18" t="n">
        <x:v>4.55</x:v>
      </x:c>
      <x:c r="I2367" s="18" t="n">
        <x:v>20.38</x:v>
      </x:c>
      <x:c r="J2367" t="n">
        <x:f>IF(A2367=A2366,IFERROR(IF(B2367=EDATE(B2366,1),C2366,0),0),0)</x:f>
        <x:v>1</x:v>
      </x:c>
      <x:c r="K2367" t="n">
        <x:f>IF(AND(J2367=1,C2367=0),1,0)</x:f>
        <x:v>0</x:v>
      </x:c>
      <x:c r="L2367" t="str">
        <x:f>IFERROR(INDEX(Customers!$C$2:$C$451,MATCH(A2367,Customers!$A$2:$A$451,0)),"Unknown")</x:f>
        <x:v>Plus</x:v>
      </x:c>
    </x:row>
    <x:row r="2368">
      <x:c r="A2368" t="n">
        <x:v>434</x:v>
      </x:c>
      <x:c r="B2368" s="16" t="n">
        <x:v>46204</x:v>
      </x:c>
      <x:c r="C2368" t="n">
        <x:v>0</x:v>
      </x:c>
      <x:c r="D2368" t="n">
        <x:v>0</x:v>
      </x:c>
      <x:c r="E2368" s="18" t="n">
        <x:v>0</x:v>
      </x:c>
      <x:c r="F2368" s="18" t="n">
        <x:v>0</x:v>
      </x:c>
      <x:c r="G2368" s="18" t="n">
        <x:v>0</x:v>
      </x:c>
      <x:c r="H2368" s="18" t="n">
        <x:v>0</x:v>
      </x:c>
      <x:c r="I2368" s="18" t="n">
        <x:v>0</x:v>
      </x:c>
      <x:c r="J2368" t="n">
        <x:f>IF(A2368=A2367,IFERROR(IF(B2368=EDATE(B2367,1),C2367,0),0),0)</x:f>
        <x:v>1</x:v>
      </x:c>
      <x:c r="K2368" t="n">
        <x:f>IF(AND(J2368=1,C2368=0),1,0)</x:f>
        <x:v>1</x:v>
      </x:c>
      <x:c r="L2368" t="str">
        <x:f>IFERROR(INDEX(Customers!$C$2:$C$451,MATCH(A2368,Customers!$A$2:$A$451,0)),"Unknown")</x:f>
        <x:v>Plus</x:v>
      </x:c>
    </x:row>
    <x:row r="2369">
      <x:c r="A2369" t="n">
        <x:v>434</x:v>
      </x:c>
      <x:c r="B2369" s="16" t="n">
        <x:v>46235</x:v>
      </x:c>
      <x:c r="C2369" t="n">
        <x:v>1</x:v>
      </x:c>
      <x:c r="D2369" t="n">
        <x:v>9</x:v>
      </x:c>
      <x:c r="E2369" s="18" t="n">
        <x:v>430.72</x:v>
      </x:c>
      <x:c r="F2369" s="18" t="n">
        <x:v>8</x:v>
      </x:c>
      <x:c r="G2369" s="18" t="n">
        <x:v>1.94</x:v>
      </x:c>
      <x:c r="H2369" s="18" t="n">
        <x:v>0.62</x:v>
      </x:c>
      <x:c r="I2369" s="18" t="n">
        <x:v>10.56</x:v>
      </x:c>
      <x:c r="J2369" t="n">
        <x:f>IF(A2369=A2368,IFERROR(IF(B2369=EDATE(B2368,1),C2368,0),0),0)</x:f>
        <x:v>0</x:v>
      </x:c>
      <x:c r="K2369" t="n">
        <x:f>IF(AND(J2369=1,C2369=0),1,0)</x:f>
        <x:v>0</x:v>
      </x:c>
      <x:c r="L2369" t="str">
        <x:f>IFERROR(INDEX(Customers!$C$2:$C$451,MATCH(A2369,Customers!$A$2:$A$451,0)),"Unknown")</x:f>
        <x:v>Plus</x:v>
      </x:c>
    </x:row>
    <x:row r="2370">
      <x:c r="A2370" t="n">
        <x:v>434</x:v>
      </x:c>
      <x:c r="B2370" s="16" t="n">
        <x:v>46266</x:v>
      </x:c>
      <x:c r="C2370" t="n">
        <x:v>0</x:v>
      </x:c>
      <x:c r="D2370" t="n">
        <x:v>0</x:v>
      </x:c>
      <x:c r="E2370" s="18" t="n">
        <x:v>0</x:v>
      </x:c>
      <x:c r="F2370" s="18" t="n">
        <x:v>0</x:v>
      </x:c>
      <x:c r="G2370" s="18" t="n">
        <x:v>0</x:v>
      </x:c>
      <x:c r="H2370" s="18" t="n">
        <x:v>0</x:v>
      </x:c>
      <x:c r="I2370" s="18" t="n">
        <x:v>0</x:v>
      </x:c>
      <x:c r="J2370" t="n">
        <x:f>IF(A2370=A2369,IFERROR(IF(B2370=EDATE(B2369,1),C2369,0),0),0)</x:f>
        <x:v>1</x:v>
      </x:c>
      <x:c r="K2370" t="n">
        <x:f>IF(AND(J2370=1,C2370=0),1,0)</x:f>
        <x:v>1</x:v>
      </x:c>
      <x:c r="L2370" t="str">
        <x:f>IFERROR(INDEX(Customers!$C$2:$C$451,MATCH(A2370,Customers!$A$2:$A$451,0)),"Unknown")</x:f>
        <x:v>Plus</x:v>
      </x:c>
    </x:row>
    <x:row r="2371">
      <x:c r="A2371" t="n">
        <x:v>435</x:v>
      </x:c>
      <x:c r="B2371" s="16" t="n">
        <x:v>46113</x:v>
      </x:c>
      <x:c r="C2371" t="n">
        <x:v>1</x:v>
      </x:c>
      <x:c r="D2371" t="n">
        <x:v>25</x:v>
      </x:c>
      <x:c r="E2371" s="18" t="n">
        <x:v>1399.28</x:v>
      </x:c>
      <x:c r="F2371" s="18" t="n">
        <x:v>0</x:v>
      </x:c>
      <x:c r="G2371" s="18" t="n">
        <x:v>6.3</x:v>
      </x:c>
      <x:c r="H2371" s="18" t="n">
        <x:v>4.27</x:v>
      </x:c>
      <x:c r="I2371" s="18" t="n">
        <x:v>10.57</x:v>
      </x:c>
      <x:c r="J2371" t="n">
        <x:f>IF(A2371=A2370,IFERROR(IF(B2371=EDATE(B2370,1),C2370,0),0),0)</x:f>
        <x:v>0</x:v>
      </x:c>
      <x:c r="K2371" t="n">
        <x:f>IF(AND(J2371=1,C2371=0),1,0)</x:f>
        <x:v>0</x:v>
      </x:c>
      <x:c r="L2371" t="str">
        <x:f>IFERROR(INDEX(Customers!$C$2:$C$451,MATCH(A2371,Customers!$A$2:$A$451,0)),"Unknown")</x:f>
        <x:v>Standard</x:v>
      </x:c>
    </x:row>
    <x:row r="2372">
      <x:c r="A2372" t="n">
        <x:v>435</x:v>
      </x:c>
      <x:c r="B2372" s="16" t="n">
        <x:v>46143</x:v>
      </x:c>
      <x:c r="C2372" t="n">
        <x:v>1</x:v>
      </x:c>
      <x:c r="D2372" t="n">
        <x:v>21</x:v>
      </x:c>
      <x:c r="E2372" s="18" t="n">
        <x:v>2405.64</x:v>
      </x:c>
      <x:c r="F2372" s="18" t="n">
        <x:v>0</x:v>
      </x:c>
      <x:c r="G2372" s="18" t="n">
        <x:v>10.83</x:v>
      </x:c>
      <x:c r="H2372" s="18" t="n">
        <x:v>2.73</x:v>
      </x:c>
      <x:c r="I2372" s="18" t="n">
        <x:v>13.56</x:v>
      </x:c>
      <x:c r="J2372" t="n">
        <x:f>IF(A2372=A2371,IFERROR(IF(B2372=EDATE(B2371,1),C2371,0),0),0)</x:f>
        <x:v>1</x:v>
      </x:c>
      <x:c r="K2372" t="n">
        <x:f>IF(AND(J2372=1,C2372=0),1,0)</x:f>
        <x:v>0</x:v>
      </x:c>
      <x:c r="L2372" t="str">
        <x:f>IFERROR(INDEX(Customers!$C$2:$C$451,MATCH(A2372,Customers!$A$2:$A$451,0)),"Unknown")</x:f>
        <x:v>Standard</x:v>
      </x:c>
    </x:row>
    <x:row r="2373">
      <x:c r="A2373" t="n">
        <x:v>435</x:v>
      </x:c>
      <x:c r="B2373" s="16" t="n">
        <x:v>46174</x:v>
      </x:c>
      <x:c r="C2373" t="n">
        <x:v>1</x:v>
      </x:c>
      <x:c r="D2373" t="n">
        <x:v>25</x:v>
      </x:c>
      <x:c r="E2373" s="18" t="n">
        <x:v>1757.15</x:v>
      </x:c>
      <x:c r="F2373" s="18" t="n">
        <x:v>0</x:v>
      </x:c>
      <x:c r="G2373" s="18" t="n">
        <x:v>7.91</x:v>
      </x:c>
      <x:c r="H2373" s="18" t="n">
        <x:v>4.5</x:v>
      </x:c>
      <x:c r="I2373" s="18" t="n">
        <x:v>12.41</x:v>
      </x:c>
      <x:c r="J2373" t="n">
        <x:f>IF(A2373=A2372,IFERROR(IF(B2373=EDATE(B2372,1),C2372,0),0),0)</x:f>
        <x:v>1</x:v>
      </x:c>
      <x:c r="K2373" t="n">
        <x:f>IF(AND(J2373=1,C2373=0),1,0)</x:f>
        <x:v>0</x:v>
      </x:c>
      <x:c r="L2373" t="str">
        <x:f>IFERROR(INDEX(Customers!$C$2:$C$451,MATCH(A2373,Customers!$A$2:$A$451,0)),"Unknown")</x:f>
        <x:v>Standard</x:v>
      </x:c>
    </x:row>
    <x:row r="2374">
      <x:c r="A2374" t="n">
        <x:v>435</x:v>
      </x:c>
      <x:c r="B2374" s="16" t="n">
        <x:v>46204</x:v>
      </x:c>
      <x:c r="C2374" t="n">
        <x:v>0</x:v>
      </x:c>
      <x:c r="D2374" t="n">
        <x:v>0</x:v>
      </x:c>
      <x:c r="E2374" s="18" t="n">
        <x:v>0</x:v>
      </x:c>
      <x:c r="F2374" s="18" t="n">
        <x:v>0</x:v>
      </x:c>
      <x:c r="G2374" s="18" t="n">
        <x:v>0</x:v>
      </x:c>
      <x:c r="H2374" s="18" t="n">
        <x:v>0</x:v>
      </x:c>
      <x:c r="I2374" s="18" t="n">
        <x:v>0</x:v>
      </x:c>
      <x:c r="J2374" t="n">
        <x:f>IF(A2374=A2373,IFERROR(IF(B2374=EDATE(B2373,1),C2373,0),0),0)</x:f>
        <x:v>1</x:v>
      </x:c>
      <x:c r="K2374" t="n">
        <x:f>IF(AND(J2374=1,C2374=0),1,0)</x:f>
        <x:v>1</x:v>
      </x:c>
      <x:c r="L2374" t="str">
        <x:f>IFERROR(INDEX(Customers!$C$2:$C$451,MATCH(A2374,Customers!$A$2:$A$451,0)),"Unknown")</x:f>
        <x:v>Standard</x:v>
      </x:c>
    </x:row>
    <x:row r="2375">
      <x:c r="A2375" t="n">
        <x:v>435</x:v>
      </x:c>
      <x:c r="B2375" s="16" t="n">
        <x:v>46235</x:v>
      </x:c>
      <x:c r="C2375" t="n">
        <x:v>1</x:v>
      </x:c>
      <x:c r="D2375" t="n">
        <x:v>19</x:v>
      </x:c>
      <x:c r="E2375" s="18" t="n">
        <x:v>1468.46</x:v>
      </x:c>
      <x:c r="F2375" s="18" t="n">
        <x:v>0</x:v>
      </x:c>
      <x:c r="G2375" s="18" t="n">
        <x:v>6.61</x:v>
      </x:c>
      <x:c r="H2375" s="18" t="n">
        <x:v>2.62</x:v>
      </x:c>
      <x:c r="I2375" s="18" t="n">
        <x:v>9.23</x:v>
      </x:c>
      <x:c r="J2375" t="n">
        <x:f>IF(A2375=A2374,IFERROR(IF(B2375=EDATE(B2374,1),C2374,0),0),0)</x:f>
        <x:v>0</x:v>
      </x:c>
      <x:c r="K2375" t="n">
        <x:f>IF(AND(J2375=1,C2375=0),1,0)</x:f>
        <x:v>0</x:v>
      </x:c>
      <x:c r="L2375" t="str">
        <x:f>IFERROR(INDEX(Customers!$C$2:$C$451,MATCH(A2375,Customers!$A$2:$A$451,0)),"Unknown")</x:f>
        <x:v>Standard</x:v>
      </x:c>
    </x:row>
    <x:row r="2376">
      <x:c r="A2376" t="n">
        <x:v>435</x:v>
      </x:c>
      <x:c r="B2376" s="16" t="n">
        <x:v>46266</x:v>
      </x:c>
      <x:c r="C2376" t="n">
        <x:v>0</x:v>
      </x:c>
      <x:c r="D2376" t="n">
        <x:v>0</x:v>
      </x:c>
      <x:c r="E2376" s="18" t="n">
        <x:v>0</x:v>
      </x:c>
      <x:c r="F2376" s="18" t="n">
        <x:v>0</x:v>
      </x:c>
      <x:c r="G2376" s="18" t="n">
        <x:v>0</x:v>
      </x:c>
      <x:c r="H2376" s="18" t="n">
        <x:v>0</x:v>
      </x:c>
      <x:c r="I2376" s="18" t="n">
        <x:v>0</x:v>
      </x:c>
      <x:c r="J2376" t="n">
        <x:f>IF(A2376=A2375,IFERROR(IF(B2376=EDATE(B2375,1),C2375,0),0),0)</x:f>
        <x:v>1</x:v>
      </x:c>
      <x:c r="K2376" t="n">
        <x:f>IF(AND(J2376=1,C2376=0),1,0)</x:f>
        <x:v>1</x:v>
      </x:c>
      <x:c r="L2376" t="str">
        <x:f>IFERROR(INDEX(Customers!$C$2:$C$451,MATCH(A2376,Customers!$A$2:$A$451,0)),"Unknown")</x:f>
        <x:v>Standard</x:v>
      </x:c>
    </x:row>
    <x:row r="2377">
      <x:c r="A2377" t="n">
        <x:v>436</x:v>
      </x:c>
      <x:c r="B2377" s="16" t="n">
        <x:v>46143</x:v>
      </x:c>
      <x:c r="C2377" t="n">
        <x:v>0</x:v>
      </x:c>
      <x:c r="D2377" t="n">
        <x:v>0</x:v>
      </x:c>
      <x:c r="E2377" s="18" t="n">
        <x:v>0</x:v>
      </x:c>
      <x:c r="F2377" s="18" t="n">
        <x:v>0</x:v>
      </x:c>
      <x:c r="G2377" s="18" t="n">
        <x:v>0</x:v>
      </x:c>
      <x:c r="H2377" s="18" t="n">
        <x:v>0</x:v>
      </x:c>
      <x:c r="I2377" s="18" t="n">
        <x:v>0</x:v>
      </x:c>
      <x:c r="J2377" t="n">
        <x:f>IF(A2377=A2376,IFERROR(IF(B2377=EDATE(B2376,1),C2376,0),0),0)</x:f>
        <x:v>0</x:v>
      </x:c>
      <x:c r="K2377" t="n">
        <x:f>IF(AND(J2377=1,C2377=0),1,0)</x:f>
        <x:v>0</x:v>
      </x:c>
      <x:c r="L2377" t="str">
        <x:f>IFERROR(INDEX(Customers!$C$2:$C$451,MATCH(A2377,Customers!$A$2:$A$451,0)),"Unknown")</x:f>
        <x:v>Standard</x:v>
      </x:c>
    </x:row>
    <x:row r="2378">
      <x:c r="A2378" t="n">
        <x:v>436</x:v>
      </x:c>
      <x:c r="B2378" s="16" t="n">
        <x:v>46174</x:v>
      </x:c>
      <x:c r="C2378" t="n">
        <x:v>0</x:v>
      </x:c>
      <x:c r="D2378" t="n">
        <x:v>0</x:v>
      </x:c>
      <x:c r="E2378" s="18" t="n">
        <x:v>0</x:v>
      </x:c>
      <x:c r="F2378" s="18" t="n">
        <x:v>0</x:v>
      </x:c>
      <x:c r="G2378" s="18" t="n">
        <x:v>0</x:v>
      </x:c>
      <x:c r="H2378" s="18" t="n">
        <x:v>0</x:v>
      </x:c>
      <x:c r="I2378" s="18" t="n">
        <x:v>0</x:v>
      </x:c>
      <x:c r="J2378" t="n">
        <x:f>IF(A2378=A2377,IFERROR(IF(B2378=EDATE(B2377,1),C2377,0),0),0)</x:f>
        <x:v>0</x:v>
      </x:c>
      <x:c r="K2378" t="n">
        <x:f>IF(AND(J2378=1,C2378=0),1,0)</x:f>
        <x:v>0</x:v>
      </x:c>
      <x:c r="L2378" t="str">
        <x:f>IFERROR(INDEX(Customers!$C$2:$C$451,MATCH(A2378,Customers!$A$2:$A$451,0)),"Unknown")</x:f>
        <x:v>Standard</x:v>
      </x:c>
    </x:row>
    <x:row r="2379">
      <x:c r="A2379" t="n">
        <x:v>436</x:v>
      </x:c>
      <x:c r="B2379" s="16" t="n">
        <x:v>46204</x:v>
      </x:c>
      <x:c r="C2379" t="n">
        <x:v>1</x:v>
      </x:c>
      <x:c r="D2379" t="n">
        <x:v>26</x:v>
      </x:c>
      <x:c r="E2379" s="18" t="n">
        <x:v>3637.87</x:v>
      </x:c>
      <x:c r="F2379" s="18" t="n">
        <x:v>0</x:v>
      </x:c>
      <x:c r="G2379" s="18" t="n">
        <x:v>16.37</x:v>
      </x:c>
      <x:c r="H2379" s="18" t="n">
        <x:v>11.18</x:v>
      </x:c>
      <x:c r="I2379" s="18" t="n">
        <x:v>27.55</x:v>
      </x:c>
      <x:c r="J2379" t="n">
        <x:f>IF(A2379=A2378,IFERROR(IF(B2379=EDATE(B2378,1),C2378,0),0),0)</x:f>
        <x:v>0</x:v>
      </x:c>
      <x:c r="K2379" t="n">
        <x:f>IF(AND(J2379=1,C2379=0),1,0)</x:f>
        <x:v>0</x:v>
      </x:c>
      <x:c r="L2379" t="str">
        <x:f>IFERROR(INDEX(Customers!$C$2:$C$451,MATCH(A2379,Customers!$A$2:$A$451,0)),"Unknown")</x:f>
        <x:v>Standard</x:v>
      </x:c>
    </x:row>
    <x:row r="2380">
      <x:c r="A2380" t="n">
        <x:v>436</x:v>
      </x:c>
      <x:c r="B2380" s="16" t="n">
        <x:v>46235</x:v>
      </x:c>
      <x:c r="C2380" t="n">
        <x:v>1</x:v>
      </x:c>
      <x:c r="D2380" t="n">
        <x:v>25</x:v>
      </x:c>
      <x:c r="E2380" s="18" t="n">
        <x:v>3410.39</x:v>
      </x:c>
      <x:c r="F2380" s="18" t="n">
        <x:v>0</x:v>
      </x:c>
      <x:c r="G2380" s="18" t="n">
        <x:v>15.35</x:v>
      </x:c>
      <x:c r="H2380" s="18" t="n">
        <x:v>8.42</x:v>
      </x:c>
      <x:c r="I2380" s="18" t="n">
        <x:v>23.77</x:v>
      </x:c>
      <x:c r="J2380" t="n">
        <x:f>IF(A2380=A2379,IFERROR(IF(B2380=EDATE(B2379,1),C2379,0),0),0)</x:f>
        <x:v>1</x:v>
      </x:c>
      <x:c r="K2380" t="n">
        <x:f>IF(AND(J2380=1,C2380=0),1,0)</x:f>
        <x:v>0</x:v>
      </x:c>
      <x:c r="L2380" t="str">
        <x:f>IFERROR(INDEX(Customers!$C$2:$C$451,MATCH(A2380,Customers!$A$2:$A$451,0)),"Unknown")</x:f>
        <x:v>Standard</x:v>
      </x:c>
    </x:row>
    <x:row r="2381">
      <x:c r="A2381" t="n">
        <x:v>436</x:v>
      </x:c>
      <x:c r="B2381" s="16" t="n">
        <x:v>46266</x:v>
      </x:c>
      <x:c r="C2381" t="n">
        <x:v>1</x:v>
      </x:c>
      <x:c r="D2381" t="n">
        <x:v>28</x:v>
      </x:c>
      <x:c r="E2381" s="18" t="n">
        <x:v>2207.39</x:v>
      </x:c>
      <x:c r="F2381" s="18" t="n">
        <x:v>0</x:v>
      </x:c>
      <x:c r="G2381" s="18" t="n">
        <x:v>9.93</x:v>
      </x:c>
      <x:c r="H2381" s="18" t="n">
        <x:v>3.32</x:v>
      </x:c>
      <x:c r="I2381" s="18" t="n">
        <x:v>13.25</x:v>
      </x:c>
      <x:c r="J2381" t="n">
        <x:f>IF(A2381=A2380,IFERROR(IF(B2381=EDATE(B2380,1),C2380,0),0),0)</x:f>
        <x:v>1</x:v>
      </x:c>
      <x:c r="K2381" t="n">
        <x:f>IF(AND(J2381=1,C2381=0),1,0)</x:f>
        <x:v>0</x:v>
      </x:c>
      <x:c r="L2381" t="str">
        <x:f>IFERROR(INDEX(Customers!$C$2:$C$451,MATCH(A2381,Customers!$A$2:$A$451,0)),"Unknown")</x:f>
        <x:v>Standard</x:v>
      </x:c>
    </x:row>
    <x:row r="2382">
      <x:c r="A2382" t="n">
        <x:v>437</x:v>
      </x:c>
      <x:c r="B2382" s="16" t="n">
        <x:v>46143</x:v>
      </x:c>
      <x:c r="C2382" t="n">
        <x:v>1</x:v>
      </x:c>
      <x:c r="D2382" t="n">
        <x:v>19</x:v>
      </x:c>
      <x:c r="E2382" s="18" t="n">
        <x:v>1116.91</x:v>
      </x:c>
      <x:c r="F2382" s="18" t="n">
        <x:v>8</x:v>
      </x:c>
      <x:c r="G2382" s="18" t="n">
        <x:v>5.03</x:v>
      </x:c>
      <x:c r="H2382" s="18" t="n">
        <x:v>1.55</x:v>
      </x:c>
      <x:c r="I2382" s="18" t="n">
        <x:v>14.58</x:v>
      </x:c>
      <x:c r="J2382" t="n">
        <x:f>IF(A2382=A2381,IFERROR(IF(B2382=EDATE(B2381,1),C2381,0),0),0)</x:f>
        <x:v>0</x:v>
      </x:c>
      <x:c r="K2382" t="n">
        <x:f>IF(AND(J2382=1,C2382=0),1,0)</x:f>
        <x:v>0</x:v>
      </x:c>
      <x:c r="L2382" t="str">
        <x:f>IFERROR(INDEX(Customers!$C$2:$C$451,MATCH(A2382,Customers!$A$2:$A$451,0)),"Unknown")</x:f>
        <x:v>Plus</x:v>
      </x:c>
    </x:row>
    <x:row r="2383">
      <x:c r="A2383" t="n">
        <x:v>437</x:v>
      </x:c>
      <x:c r="B2383" s="16" t="n">
        <x:v>46174</x:v>
      </x:c>
      <x:c r="C2383" t="n">
        <x:v>1</x:v>
      </x:c>
      <x:c r="D2383" t="n">
        <x:v>26</x:v>
      </x:c>
      <x:c r="E2383" s="18" t="n">
        <x:v>1414.39</x:v>
      </x:c>
      <x:c r="F2383" s="18" t="n">
        <x:v>8</x:v>
      </x:c>
      <x:c r="G2383" s="18" t="n">
        <x:v>6.36</x:v>
      </x:c>
      <x:c r="H2383" s="18" t="n">
        <x:v>4.27</x:v>
      </x:c>
      <x:c r="I2383" s="18" t="n">
        <x:v>18.63</x:v>
      </x:c>
      <x:c r="J2383" t="n">
        <x:f>IF(A2383=A2382,IFERROR(IF(B2383=EDATE(B2382,1),C2382,0),0),0)</x:f>
        <x:v>1</x:v>
      </x:c>
      <x:c r="K2383" t="n">
        <x:f>IF(AND(J2383=1,C2383=0),1,0)</x:f>
        <x:v>0</x:v>
      </x:c>
      <x:c r="L2383" t="str">
        <x:f>IFERROR(INDEX(Customers!$C$2:$C$451,MATCH(A2383,Customers!$A$2:$A$451,0)),"Unknown")</x:f>
        <x:v>Plus</x:v>
      </x:c>
    </x:row>
    <x:row r="2384">
      <x:c r="A2384" t="n">
        <x:v>437</x:v>
      </x:c>
      <x:c r="B2384" s="16" t="n">
        <x:v>46204</x:v>
      </x:c>
      <x:c r="C2384" t="n">
        <x:v>1</x:v>
      </x:c>
      <x:c r="D2384" t="n">
        <x:v>12</x:v>
      </x:c>
      <x:c r="E2384" s="18" t="n">
        <x:v>857.9</x:v>
      </x:c>
      <x:c r="F2384" s="18" t="n">
        <x:v>8</x:v>
      </x:c>
      <x:c r="G2384" s="18" t="n">
        <x:v>3.86</x:v>
      </x:c>
      <x:c r="H2384" s="18" t="n">
        <x:v>2.61</x:v>
      </x:c>
      <x:c r="I2384" s="18" t="n">
        <x:v>14.47</x:v>
      </x:c>
      <x:c r="J2384" t="n">
        <x:f>IF(A2384=A2383,IFERROR(IF(B2384=EDATE(B2383,1),C2383,0),0),0)</x:f>
        <x:v>1</x:v>
      </x:c>
      <x:c r="K2384" t="n">
        <x:f>IF(AND(J2384=1,C2384=0),1,0)</x:f>
        <x:v>0</x:v>
      </x:c>
      <x:c r="L2384" t="str">
        <x:f>IFERROR(INDEX(Customers!$C$2:$C$451,MATCH(A2384,Customers!$A$2:$A$451,0)),"Unknown")</x:f>
        <x:v>Plus</x:v>
      </x:c>
    </x:row>
    <x:row r="2385">
      <x:c r="A2385" t="n">
        <x:v>437</x:v>
      </x:c>
      <x:c r="B2385" s="16" t="n">
        <x:v>46235</x:v>
      </x:c>
      <x:c r="C2385" t="n">
        <x:v>1</x:v>
      </x:c>
      <x:c r="D2385" t="n">
        <x:v>4</x:v>
      </x:c>
      <x:c r="E2385" s="18" t="n">
        <x:v>422.58</x:v>
      </x:c>
      <x:c r="F2385" s="18" t="n">
        <x:v>8</x:v>
      </x:c>
      <x:c r="G2385" s="18" t="n">
        <x:v>1.9</x:v>
      </x:c>
      <x:c r="H2385" s="18" t="n">
        <x:v>0.35</x:v>
      </x:c>
      <x:c r="I2385" s="18" t="n">
        <x:v>10.25</x:v>
      </x:c>
      <x:c r="J2385" t="n">
        <x:f>IF(A2385=A2384,IFERROR(IF(B2385=EDATE(B2384,1),C2384,0),0),0)</x:f>
        <x:v>1</x:v>
      </x:c>
      <x:c r="K2385" t="n">
        <x:f>IF(AND(J2385=1,C2385=0),1,0)</x:f>
        <x:v>0</x:v>
      </x:c>
      <x:c r="L2385" t="str">
        <x:f>IFERROR(INDEX(Customers!$C$2:$C$451,MATCH(A2385,Customers!$A$2:$A$451,0)),"Unknown")</x:f>
        <x:v>Plus</x:v>
      </x:c>
    </x:row>
    <x:row r="2386">
      <x:c r="A2386" t="n">
        <x:v>437</x:v>
      </x:c>
      <x:c r="B2386" s="16" t="n">
        <x:v>46266</x:v>
      </x:c>
      <x:c r="C2386" t="n">
        <x:v>1</x:v>
      </x:c>
      <x:c r="D2386" t="n">
        <x:v>21</x:v>
      </x:c>
      <x:c r="E2386" s="18" t="n">
        <x:v>1549.09</x:v>
      </x:c>
      <x:c r="F2386" s="18" t="n">
        <x:v>8</x:v>
      </x:c>
      <x:c r="G2386" s="18" t="n">
        <x:v>6.97</x:v>
      </x:c>
      <x:c r="H2386" s="18" t="n">
        <x:v>4.56</x:v>
      </x:c>
      <x:c r="I2386" s="18" t="n">
        <x:v>19.53</x:v>
      </x:c>
      <x:c r="J2386" t="n">
        <x:f>IF(A2386=A2385,IFERROR(IF(B2386=EDATE(B2385,1),C2385,0),0),0)</x:f>
        <x:v>1</x:v>
      </x:c>
      <x:c r="K2386" t="n">
        <x:f>IF(AND(J2386=1,C2386=0),1,0)</x:f>
        <x:v>0</x:v>
      </x:c>
      <x:c r="L2386" t="str">
        <x:f>IFERROR(INDEX(Customers!$C$2:$C$451,MATCH(A2386,Customers!$A$2:$A$451,0)),"Unknown")</x:f>
        <x:v>Plus</x:v>
      </x:c>
    </x:row>
    <x:row r="2387">
      <x:c r="A2387" t="n">
        <x:v>438</x:v>
      </x:c>
      <x:c r="B2387" s="16" t="n">
        <x:v>46113</x:v>
      </x:c>
      <x:c r="C2387" t="n">
        <x:v>1</x:v>
      </x:c>
      <x:c r="D2387" t="n">
        <x:v>28</x:v>
      </x:c>
      <x:c r="E2387" s="18" t="n">
        <x:v>2060.17</x:v>
      </x:c>
      <x:c r="F2387" s="18" t="n">
        <x:v>34</x:v>
      </x:c>
      <x:c r="G2387" s="18" t="n">
        <x:v>9.27</x:v>
      </x:c>
      <x:c r="H2387" s="18" t="n">
        <x:v>6.53</x:v>
      </x:c>
      <x:c r="I2387" s="18" t="n">
        <x:v>49.8</x:v>
      </x:c>
      <x:c r="J2387" t="n">
        <x:f>IF(A2387=A2386,IFERROR(IF(B2387=EDATE(B2386,1),C2386,0),0),0)</x:f>
        <x:v>0</x:v>
      </x:c>
      <x:c r="K2387" t="n">
        <x:f>IF(AND(J2387=1,C2387=0),1,0)</x:f>
        <x:v>0</x:v>
      </x:c>
      <x:c r="L2387" t="str">
        <x:f>IFERROR(INDEX(Customers!$C$2:$C$451,MATCH(A2387,Customers!$A$2:$A$451,0)),"Unknown")</x:f>
        <x:v>Metal</x:v>
      </x:c>
    </x:row>
    <x:row r="2388">
      <x:c r="A2388" t="n">
        <x:v>438</x:v>
      </x:c>
      <x:c r="B2388" s="16" t="n">
        <x:v>46143</x:v>
      </x:c>
      <x:c r="C2388" t="n">
        <x:v>1</x:v>
      </x:c>
      <x:c r="D2388" t="n">
        <x:v>7</x:v>
      </x:c>
      <x:c r="E2388" s="18" t="n">
        <x:v>729.75</x:v>
      </x:c>
      <x:c r="F2388" s="18" t="n">
        <x:v>34</x:v>
      </x:c>
      <x:c r="G2388" s="18" t="n">
        <x:v>3.28</x:v>
      </x:c>
      <x:c r="H2388" s="18" t="n">
        <x:v>1.55</x:v>
      </x:c>
      <x:c r="I2388" s="18" t="n">
        <x:v>38.83</x:v>
      </x:c>
      <x:c r="J2388" t="n">
        <x:f>IF(A2388=A2387,IFERROR(IF(B2388=EDATE(B2387,1),C2387,0),0),0)</x:f>
        <x:v>1</x:v>
      </x:c>
      <x:c r="K2388" t="n">
        <x:f>IF(AND(J2388=1,C2388=0),1,0)</x:f>
        <x:v>0</x:v>
      </x:c>
      <x:c r="L2388" t="str">
        <x:f>IFERROR(INDEX(Customers!$C$2:$C$451,MATCH(A2388,Customers!$A$2:$A$451,0)),"Unknown")</x:f>
        <x:v>Metal</x:v>
      </x:c>
    </x:row>
    <x:row r="2389">
      <x:c r="A2389" t="n">
        <x:v>438</x:v>
      </x:c>
      <x:c r="B2389" s="16" t="n">
        <x:v>46174</x:v>
      </x:c>
      <x:c r="C2389" t="n">
        <x:v>1</x:v>
      </x:c>
      <x:c r="D2389" t="n">
        <x:v>24</x:v>
      </x:c>
      <x:c r="E2389" s="18" t="n">
        <x:v>3015.13</x:v>
      </x:c>
      <x:c r="F2389" s="18" t="n">
        <x:v>34</x:v>
      </x:c>
      <x:c r="G2389" s="18" t="n">
        <x:v>13.57</x:v>
      </x:c>
      <x:c r="H2389" s="18" t="n">
        <x:v>5.16</x:v>
      </x:c>
      <x:c r="I2389" s="18" t="n">
        <x:v>52.73</x:v>
      </x:c>
      <x:c r="J2389" t="n">
        <x:f>IF(A2389=A2388,IFERROR(IF(B2389=EDATE(B2388,1),C2388,0),0),0)</x:f>
        <x:v>1</x:v>
      </x:c>
      <x:c r="K2389" t="n">
        <x:f>IF(AND(J2389=1,C2389=0),1,0)</x:f>
        <x:v>0</x:v>
      </x:c>
      <x:c r="L2389" t="str">
        <x:f>IFERROR(INDEX(Customers!$C$2:$C$451,MATCH(A2389,Customers!$A$2:$A$451,0)),"Unknown")</x:f>
        <x:v>Metal</x:v>
      </x:c>
    </x:row>
    <x:row r="2390">
      <x:c r="A2390" t="n">
        <x:v>438</x:v>
      </x:c>
      <x:c r="B2390" s="16" t="n">
        <x:v>46204</x:v>
      </x:c>
      <x:c r="C2390" t="n">
        <x:v>1</x:v>
      </x:c>
      <x:c r="D2390" t="n">
        <x:v>18</x:v>
      </x:c>
      <x:c r="E2390" s="18" t="n">
        <x:v>818.9</x:v>
      </x:c>
      <x:c r="F2390" s="18" t="n">
        <x:v>34</x:v>
      </x:c>
      <x:c r="G2390" s="18" t="n">
        <x:v>3.69</x:v>
      </x:c>
      <x:c r="H2390" s="18" t="n">
        <x:v>2.6</x:v>
      </x:c>
      <x:c r="I2390" s="18" t="n">
        <x:v>40.29</x:v>
      </x:c>
      <x:c r="J2390" t="n">
        <x:f>IF(A2390=A2389,IFERROR(IF(B2390=EDATE(B2389,1),C2389,0),0),0)</x:f>
        <x:v>1</x:v>
      </x:c>
      <x:c r="K2390" t="n">
        <x:f>IF(AND(J2390=1,C2390=0),1,0)</x:f>
        <x:v>0</x:v>
      </x:c>
      <x:c r="L2390" t="str">
        <x:f>IFERROR(INDEX(Customers!$C$2:$C$451,MATCH(A2390,Customers!$A$2:$A$451,0)),"Unknown")</x:f>
        <x:v>Metal</x:v>
      </x:c>
    </x:row>
    <x:row r="2391">
      <x:c r="A2391" t="n">
        <x:v>438</x:v>
      </x:c>
      <x:c r="B2391" s="16" t="n">
        <x:v>46235</x:v>
      </x:c>
      <x:c r="C2391" t="n">
        <x:v>0</x:v>
      </x:c>
      <x:c r="D2391" t="n">
        <x:v>0</x:v>
      </x:c>
      <x:c r="E2391" s="18" t="n">
        <x:v>0</x:v>
      </x:c>
      <x:c r="F2391" s="18" t="n">
        <x:v>0</x:v>
      </x:c>
      <x:c r="G2391" s="18" t="n">
        <x:v>0</x:v>
      </x:c>
      <x:c r="H2391" s="18" t="n">
        <x:v>0</x:v>
      </x:c>
      <x:c r="I2391" s="18" t="n">
        <x:v>0</x:v>
      </x:c>
      <x:c r="J2391" t="n">
        <x:f>IF(A2391=A2390,IFERROR(IF(B2391=EDATE(B2390,1),C2390,0),0),0)</x:f>
        <x:v>1</x:v>
      </x:c>
      <x:c r="K2391" t="n">
        <x:f>IF(AND(J2391=1,C2391=0),1,0)</x:f>
        <x:v>1</x:v>
      </x:c>
      <x:c r="L2391" t="str">
        <x:f>IFERROR(INDEX(Customers!$C$2:$C$451,MATCH(A2391,Customers!$A$2:$A$451,0)),"Unknown")</x:f>
        <x:v>Metal</x:v>
      </x:c>
    </x:row>
    <x:row r="2392">
      <x:c r="A2392" t="n">
        <x:v>438</x:v>
      </x:c>
      <x:c r="B2392" s="16" t="n">
        <x:v>46266</x:v>
      </x:c>
      <x:c r="C2392" t="n">
        <x:v>0</x:v>
      </x:c>
      <x:c r="D2392" t="n">
        <x:v>0</x:v>
      </x:c>
      <x:c r="E2392" s="18" t="n">
        <x:v>0</x:v>
      </x:c>
      <x:c r="F2392" s="18" t="n">
        <x:v>0</x:v>
      </x:c>
      <x:c r="G2392" s="18" t="n">
        <x:v>0</x:v>
      </x:c>
      <x:c r="H2392" s="18" t="n">
        <x:v>0</x:v>
      </x:c>
      <x:c r="I2392" s="18" t="n">
        <x:v>0</x:v>
      </x:c>
      <x:c r="J2392" t="n">
        <x:f>IF(A2392=A2391,IFERROR(IF(B2392=EDATE(B2391,1),C2391,0),0),0)</x:f>
        <x:v>0</x:v>
      </x:c>
      <x:c r="K2392" t="n">
        <x:f>IF(AND(J2392=1,C2392=0),1,0)</x:f>
        <x:v>0</x:v>
      </x:c>
      <x:c r="L2392" t="str">
        <x:f>IFERROR(INDEX(Customers!$C$2:$C$451,MATCH(A2392,Customers!$A$2:$A$451,0)),"Unknown")</x:f>
        <x:v>Metal</x:v>
      </x:c>
    </x:row>
    <x:row r="2393">
      <x:c r="A2393" t="n">
        <x:v>439</x:v>
      </x:c>
      <x:c r="B2393" s="16" t="n">
        <x:v>46113</x:v>
      </x:c>
      <x:c r="C2393" t="n">
        <x:v>1</x:v>
      </x:c>
      <x:c r="D2393" t="n">
        <x:v>24</x:v>
      </x:c>
      <x:c r="E2393" s="18" t="n">
        <x:v>2754.46</x:v>
      </x:c>
      <x:c r="F2393" s="18" t="n">
        <x:v>0</x:v>
      </x:c>
      <x:c r="G2393" s="18" t="n">
        <x:v>12.4</x:v>
      </x:c>
      <x:c r="H2393" s="18" t="n">
        <x:v>9.35</x:v>
      </x:c>
      <x:c r="I2393" s="18" t="n">
        <x:v>21.75</x:v>
      </x:c>
      <x:c r="J2393" t="n">
        <x:f>IF(A2393=A2392,IFERROR(IF(B2393=EDATE(B2392,1),C2392,0),0),0)</x:f>
        <x:v>0</x:v>
      </x:c>
      <x:c r="K2393" t="n">
        <x:f>IF(AND(J2393=1,C2393=0),1,0)</x:f>
        <x:v>0</x:v>
      </x:c>
      <x:c r="L2393" t="str">
        <x:f>IFERROR(INDEX(Customers!$C$2:$C$451,MATCH(A2393,Customers!$A$2:$A$451,0)),"Unknown")</x:f>
        <x:v>Standard</x:v>
      </x:c>
    </x:row>
    <x:row r="2394">
      <x:c r="A2394" t="n">
        <x:v>439</x:v>
      </x:c>
      <x:c r="B2394" s="16" t="n">
        <x:v>46143</x:v>
      </x:c>
      <x:c r="C2394" t="n">
        <x:v>0</x:v>
      </x:c>
      <x:c r="D2394" t="n">
        <x:v>0</x:v>
      </x:c>
      <x:c r="E2394" s="18" t="n">
        <x:v>0</x:v>
      </x:c>
      <x:c r="F2394" s="18" t="n">
        <x:v>0</x:v>
      </x:c>
      <x:c r="G2394" s="18" t="n">
        <x:v>0</x:v>
      </x:c>
      <x:c r="H2394" s="18" t="n">
        <x:v>0</x:v>
      </x:c>
      <x:c r="I2394" s="18" t="n">
        <x:v>0</x:v>
      </x:c>
      <x:c r="J2394" t="n">
        <x:f>IF(A2394=A2393,IFERROR(IF(B2394=EDATE(B2393,1),C2393,0),0),0)</x:f>
        <x:v>1</x:v>
      </x:c>
      <x:c r="K2394" t="n">
        <x:f>IF(AND(J2394=1,C2394=0),1,0)</x:f>
        <x:v>1</x:v>
      </x:c>
      <x:c r="L2394" t="str">
        <x:f>IFERROR(INDEX(Customers!$C$2:$C$451,MATCH(A2394,Customers!$A$2:$A$451,0)),"Unknown")</x:f>
        <x:v>Standard</x:v>
      </x:c>
    </x:row>
    <x:row r="2395">
      <x:c r="A2395" t="n">
        <x:v>439</x:v>
      </x:c>
      <x:c r="B2395" s="16" t="n">
        <x:v>46174</x:v>
      </x:c>
      <x:c r="C2395" t="n">
        <x:v>0</x:v>
      </x:c>
      <x:c r="D2395" t="n">
        <x:v>0</x:v>
      </x:c>
      <x:c r="E2395" s="18" t="n">
        <x:v>0</x:v>
      </x:c>
      <x:c r="F2395" s="18" t="n">
        <x:v>0</x:v>
      </x:c>
      <x:c r="G2395" s="18" t="n">
        <x:v>0</x:v>
      </x:c>
      <x:c r="H2395" s="18" t="n">
        <x:v>0</x:v>
      </x:c>
      <x:c r="I2395" s="18" t="n">
        <x:v>0</x:v>
      </x:c>
      <x:c r="J2395" t="n">
        <x:f>IF(A2395=A2394,IFERROR(IF(B2395=EDATE(B2394,1),C2394,0),0),0)</x:f>
        <x:v>0</x:v>
      </x:c>
      <x:c r="K2395" t="n">
        <x:f>IF(AND(J2395=1,C2395=0),1,0)</x:f>
        <x:v>0</x:v>
      </x:c>
      <x:c r="L2395" t="str">
        <x:f>IFERROR(INDEX(Customers!$C$2:$C$451,MATCH(A2395,Customers!$A$2:$A$451,0)),"Unknown")</x:f>
        <x:v>Standard</x:v>
      </x:c>
    </x:row>
    <x:row r="2396">
      <x:c r="A2396" t="n">
        <x:v>439</x:v>
      </x:c>
      <x:c r="B2396" s="16" t="n">
        <x:v>46204</x:v>
      </x:c>
      <x:c r="C2396" t="n">
        <x:v>0</x:v>
      </x:c>
      <x:c r="D2396" t="n">
        <x:v>0</x:v>
      </x:c>
      <x:c r="E2396" s="18" t="n">
        <x:v>0</x:v>
      </x:c>
      <x:c r="F2396" s="18" t="n">
        <x:v>0</x:v>
      </x:c>
      <x:c r="G2396" s="18" t="n">
        <x:v>0</x:v>
      </x:c>
      <x:c r="H2396" s="18" t="n">
        <x:v>0</x:v>
      </x:c>
      <x:c r="I2396" s="18" t="n">
        <x:v>0</x:v>
      </x:c>
      <x:c r="J2396" t="n">
        <x:f>IF(A2396=A2395,IFERROR(IF(B2396=EDATE(B2395,1),C2395,0),0),0)</x:f>
        <x:v>0</x:v>
      </x:c>
      <x:c r="K2396" t="n">
        <x:f>IF(AND(J2396=1,C2396=0),1,0)</x:f>
        <x:v>0</x:v>
      </x:c>
      <x:c r="L2396" t="str">
        <x:f>IFERROR(INDEX(Customers!$C$2:$C$451,MATCH(A2396,Customers!$A$2:$A$451,0)),"Unknown")</x:f>
        <x:v>Standard</x:v>
      </x:c>
    </x:row>
    <x:row r="2397">
      <x:c r="A2397" t="n">
        <x:v>439</x:v>
      </x:c>
      <x:c r="B2397" s="16" t="n">
        <x:v>46235</x:v>
      </x:c>
      <x:c r="C2397" t="n">
        <x:v>0</x:v>
      </x:c>
      <x:c r="D2397" t="n">
        <x:v>0</x:v>
      </x:c>
      <x:c r="E2397" s="18" t="n">
        <x:v>0</x:v>
      </x:c>
      <x:c r="F2397" s="18" t="n">
        <x:v>0</x:v>
      </x:c>
      <x:c r="G2397" s="18" t="n">
        <x:v>0</x:v>
      </x:c>
      <x:c r="H2397" s="18" t="n">
        <x:v>0</x:v>
      </x:c>
      <x:c r="I2397" s="18" t="n">
        <x:v>0</x:v>
      </x:c>
      <x:c r="J2397" t="n">
        <x:f>IF(A2397=A2396,IFERROR(IF(B2397=EDATE(B2396,1),C2396,0),0),0)</x:f>
        <x:v>0</x:v>
      </x:c>
      <x:c r="K2397" t="n">
        <x:f>IF(AND(J2397=1,C2397=0),1,0)</x:f>
        <x:v>0</x:v>
      </x:c>
      <x:c r="L2397" t="str">
        <x:f>IFERROR(INDEX(Customers!$C$2:$C$451,MATCH(A2397,Customers!$A$2:$A$451,0)),"Unknown")</x:f>
        <x:v>Standard</x:v>
      </x:c>
    </x:row>
    <x:row r="2398">
      <x:c r="A2398" t="n">
        <x:v>439</x:v>
      </x:c>
      <x:c r="B2398" s="16" t="n">
        <x:v>46266</x:v>
      </x:c>
      <x:c r="C2398" t="n">
        <x:v>0</x:v>
      </x:c>
      <x:c r="D2398" t="n">
        <x:v>0</x:v>
      </x:c>
      <x:c r="E2398" s="18" t="n">
        <x:v>0</x:v>
      </x:c>
      <x:c r="F2398" s="18" t="n">
        <x:v>0</x:v>
      </x:c>
      <x:c r="G2398" s="18" t="n">
        <x:v>0</x:v>
      </x:c>
      <x:c r="H2398" s="18" t="n">
        <x:v>0</x:v>
      </x:c>
      <x:c r="I2398" s="18" t="n">
        <x:v>0</x:v>
      </x:c>
      <x:c r="J2398" t="n">
        <x:f>IF(A2398=A2397,IFERROR(IF(B2398=EDATE(B2397,1),C2397,0),0),0)</x:f>
        <x:v>0</x:v>
      </x:c>
      <x:c r="K2398" t="n">
        <x:f>IF(AND(J2398=1,C2398=0),1,0)</x:f>
        <x:v>0</x:v>
      </x:c>
      <x:c r="L2398" t="str">
        <x:f>IFERROR(INDEX(Customers!$C$2:$C$451,MATCH(A2398,Customers!$A$2:$A$451,0)),"Unknown")</x:f>
        <x:v>Standard</x:v>
      </x:c>
    </x:row>
    <x:row r="2399">
      <x:c r="A2399" t="n">
        <x:v>440</x:v>
      </x:c>
      <x:c r="B2399" s="16" t="n">
        <x:v>46113</x:v>
      </x:c>
      <x:c r="C2399" t="n">
        <x:v>1</x:v>
      </x:c>
      <x:c r="D2399" t="n">
        <x:v>23</x:v>
      </x:c>
      <x:c r="E2399" s="18" t="n">
        <x:v>3152.72</x:v>
      </x:c>
      <x:c r="F2399" s="18" t="n">
        <x:v>0</x:v>
      </x:c>
      <x:c r="G2399" s="18" t="n">
        <x:v>14.19</x:v>
      </x:c>
      <x:c r="H2399" s="18" t="n">
        <x:v>7.76</x:v>
      </x:c>
      <x:c r="I2399" s="18" t="n">
        <x:v>21.95</x:v>
      </x:c>
      <x:c r="J2399" t="n">
        <x:f>IF(A2399=A2398,IFERROR(IF(B2399=EDATE(B2398,1),C2398,0),0),0)</x:f>
        <x:v>0</x:v>
      </x:c>
      <x:c r="K2399" t="n">
        <x:f>IF(AND(J2399=1,C2399=0),1,0)</x:f>
        <x:v>0</x:v>
      </x:c>
      <x:c r="L2399" t="str">
        <x:f>IFERROR(INDEX(Customers!$C$2:$C$451,MATCH(A2399,Customers!$A$2:$A$451,0)),"Unknown")</x:f>
        <x:v>Standard</x:v>
      </x:c>
    </x:row>
    <x:row r="2400">
      <x:c r="A2400" t="n">
        <x:v>440</x:v>
      </x:c>
      <x:c r="B2400" s="16" t="n">
        <x:v>46143</x:v>
      </x:c>
      <x:c r="C2400" t="n">
        <x:v>1</x:v>
      </x:c>
      <x:c r="D2400" t="n">
        <x:v>20</x:v>
      </x:c>
      <x:c r="E2400" s="18" t="n">
        <x:v>935.87</x:v>
      </x:c>
      <x:c r="F2400" s="18" t="n">
        <x:v>0</x:v>
      </x:c>
      <x:c r="G2400" s="18" t="n">
        <x:v>4.21</x:v>
      </x:c>
      <x:c r="H2400" s="18" t="n">
        <x:v>1</x:v>
      </x:c>
      <x:c r="I2400" s="18" t="n">
        <x:v>5.21</x:v>
      </x:c>
      <x:c r="J2400" t="n">
        <x:f>IF(A2400=A2399,IFERROR(IF(B2400=EDATE(B2399,1),C2399,0),0),0)</x:f>
        <x:v>1</x:v>
      </x:c>
      <x:c r="K2400" t="n">
        <x:f>IF(AND(J2400=1,C2400=0),1,0)</x:f>
        <x:v>0</x:v>
      </x:c>
      <x:c r="L2400" t="str">
        <x:f>IFERROR(INDEX(Customers!$C$2:$C$451,MATCH(A2400,Customers!$A$2:$A$451,0)),"Unknown")</x:f>
        <x:v>Standard</x:v>
      </x:c>
    </x:row>
    <x:row r="2401">
      <x:c r="A2401" t="n">
        <x:v>440</x:v>
      </x:c>
      <x:c r="B2401" s="16" t="n">
        <x:v>46174</x:v>
      </x:c>
      <x:c r="C2401" t="n">
        <x:v>1</x:v>
      </x:c>
      <x:c r="D2401" t="n">
        <x:v>13</x:v>
      </x:c>
      <x:c r="E2401" s="18" t="n">
        <x:v>610.65</x:v>
      </x:c>
      <x:c r="F2401" s="18" t="n">
        <x:v>0</x:v>
      </x:c>
      <x:c r="G2401" s="18" t="n">
        <x:v>2.75</x:v>
      </x:c>
      <x:c r="H2401" s="18" t="n">
        <x:v>2.17</x:v>
      </x:c>
      <x:c r="I2401" s="18" t="n">
        <x:v>4.92</x:v>
      </x:c>
      <x:c r="J2401" t="n">
        <x:f>IF(A2401=A2400,IFERROR(IF(B2401=EDATE(B2400,1),C2400,0),0),0)</x:f>
        <x:v>1</x:v>
      </x:c>
      <x:c r="K2401" t="n">
        <x:f>IF(AND(J2401=1,C2401=0),1,0)</x:f>
        <x:v>0</x:v>
      </x:c>
      <x:c r="L2401" t="str">
        <x:f>IFERROR(INDEX(Customers!$C$2:$C$451,MATCH(A2401,Customers!$A$2:$A$451,0)),"Unknown")</x:f>
        <x:v>Standard</x:v>
      </x:c>
    </x:row>
    <x:row r="2402">
      <x:c r="A2402" t="n">
        <x:v>440</x:v>
      </x:c>
      <x:c r="B2402" s="16" t="n">
        <x:v>46204</x:v>
      </x:c>
      <x:c r="C2402" t="n">
        <x:v>0</x:v>
      </x:c>
      <x:c r="D2402" t="n">
        <x:v>0</x:v>
      </x:c>
      <x:c r="E2402" s="18" t="n">
        <x:v>0</x:v>
      </x:c>
      <x:c r="F2402" s="18" t="n">
        <x:v>0</x:v>
      </x:c>
      <x:c r="G2402" s="18" t="n">
        <x:v>0</x:v>
      </x:c>
      <x:c r="H2402" s="18" t="n">
        <x:v>0</x:v>
      </x:c>
      <x:c r="I2402" s="18" t="n">
        <x:v>0</x:v>
      </x:c>
      <x:c r="J2402" t="n">
        <x:f>IF(A2402=A2401,IFERROR(IF(B2402=EDATE(B2401,1),C2401,0),0),0)</x:f>
        <x:v>1</x:v>
      </x:c>
      <x:c r="K2402" t="n">
        <x:f>IF(AND(J2402=1,C2402=0),1,0)</x:f>
        <x:v>1</x:v>
      </x:c>
      <x:c r="L2402" t="str">
        <x:f>IFERROR(INDEX(Customers!$C$2:$C$451,MATCH(A2402,Customers!$A$2:$A$451,0)),"Unknown")</x:f>
        <x:v>Standard</x:v>
      </x:c>
    </x:row>
    <x:row r="2403">
      <x:c r="A2403" t="n">
        <x:v>440</x:v>
      </x:c>
      <x:c r="B2403" s="16" t="n">
        <x:v>46235</x:v>
      </x:c>
      <x:c r="C2403" t="n">
        <x:v>1</x:v>
      </x:c>
      <x:c r="D2403" t="n">
        <x:v>6</x:v>
      </x:c>
      <x:c r="E2403" s="18" t="n">
        <x:v>228.46</x:v>
      </x:c>
      <x:c r="F2403" s="18" t="n">
        <x:v>0</x:v>
      </x:c>
      <x:c r="G2403" s="18" t="n">
        <x:v>1.03</x:v>
      </x:c>
      <x:c r="H2403" s="18" t="n">
        <x:v>0.38</x:v>
      </x:c>
      <x:c r="I2403" s="18" t="n">
        <x:v>1.41</x:v>
      </x:c>
      <x:c r="J2403" t="n">
        <x:f>IF(A2403=A2402,IFERROR(IF(B2403=EDATE(B2402,1),C2402,0),0),0)</x:f>
        <x:v>0</x:v>
      </x:c>
      <x:c r="K2403" t="n">
        <x:f>IF(AND(J2403=1,C2403=0),1,0)</x:f>
        <x:v>0</x:v>
      </x:c>
      <x:c r="L2403" t="str">
        <x:f>IFERROR(INDEX(Customers!$C$2:$C$451,MATCH(A2403,Customers!$A$2:$A$451,0)),"Unknown")</x:f>
        <x:v>Standard</x:v>
      </x:c>
    </x:row>
    <x:row r="2404">
      <x:c r="A2404" t="n">
        <x:v>440</x:v>
      </x:c>
      <x:c r="B2404" s="16" t="n">
        <x:v>46266</x:v>
      </x:c>
      <x:c r="C2404" t="n">
        <x:v>0</x:v>
      </x:c>
      <x:c r="D2404" t="n">
        <x:v>0</x:v>
      </x:c>
      <x:c r="E2404" s="18" t="n">
        <x:v>0</x:v>
      </x:c>
      <x:c r="F2404" s="18" t="n">
        <x:v>0</x:v>
      </x:c>
      <x:c r="G2404" s="18" t="n">
        <x:v>0</x:v>
      </x:c>
      <x:c r="H2404" s="18" t="n">
        <x:v>0</x:v>
      </x:c>
      <x:c r="I2404" s="18" t="n">
        <x:v>0</x:v>
      </x:c>
      <x:c r="J2404" t="n">
        <x:f>IF(A2404=A2403,IFERROR(IF(B2404=EDATE(B2403,1),C2403,0),0),0)</x:f>
        <x:v>1</x:v>
      </x:c>
      <x:c r="K2404" t="n">
        <x:f>IF(AND(J2404=1,C2404=0),1,0)</x:f>
        <x:v>1</x:v>
      </x:c>
      <x:c r="L2404" t="str">
        <x:f>IFERROR(INDEX(Customers!$C$2:$C$451,MATCH(A2404,Customers!$A$2:$A$451,0)),"Unknown")</x:f>
        <x:v>Standard</x:v>
      </x:c>
    </x:row>
    <x:row r="2405">
      <x:c r="A2405" t="n">
        <x:v>441</x:v>
      </x:c>
      <x:c r="B2405" s="16" t="n">
        <x:v>46143</x:v>
      </x:c>
      <x:c r="C2405" t="n">
        <x:v>1</x:v>
      </x:c>
      <x:c r="D2405" t="n">
        <x:v>19</x:v>
      </x:c>
      <x:c r="E2405" s="18" t="n">
        <x:v>843.93</x:v>
      </x:c>
      <x:c r="F2405" s="18" t="n">
        <x:v>17</x:v>
      </x:c>
      <x:c r="G2405" s="18" t="n">
        <x:v>3.8</x:v>
      </x:c>
      <x:c r="H2405" s="18" t="n">
        <x:v>3.05</x:v>
      </x:c>
      <x:c r="I2405" s="18" t="n">
        <x:v>23.85</x:v>
      </x:c>
      <x:c r="J2405" t="n">
        <x:f>IF(A2405=A2404,IFERROR(IF(B2405=EDATE(B2404,1),C2404,0),0),0)</x:f>
        <x:v>0</x:v>
      </x:c>
      <x:c r="K2405" t="n">
        <x:f>IF(AND(J2405=1,C2405=0),1,0)</x:f>
        <x:v>0</x:v>
      </x:c>
      <x:c r="L2405" t="str">
        <x:f>IFERROR(INDEX(Customers!$C$2:$C$451,MATCH(A2405,Customers!$A$2:$A$451,0)),"Unknown")</x:f>
        <x:v>Premium</x:v>
      </x:c>
    </x:row>
    <x:row r="2406">
      <x:c r="A2406" t="n">
        <x:v>441</x:v>
      </x:c>
      <x:c r="B2406" s="16" t="n">
        <x:v>46174</x:v>
      </x:c>
      <x:c r="C2406" t="n">
        <x:v>1</x:v>
      </x:c>
      <x:c r="D2406" t="n">
        <x:v>35</x:v>
      </x:c>
      <x:c r="E2406" s="18" t="n">
        <x:v>2762</x:v>
      </x:c>
      <x:c r="F2406" s="18" t="n">
        <x:v>17</x:v>
      </x:c>
      <x:c r="G2406" s="18" t="n">
        <x:v>12.43</x:v>
      </x:c>
      <x:c r="H2406" s="18" t="n">
        <x:v>7.27</x:v>
      </x:c>
      <x:c r="I2406" s="18" t="n">
        <x:v>36.7</x:v>
      </x:c>
      <x:c r="J2406" t="n">
        <x:f>IF(A2406=A2405,IFERROR(IF(B2406=EDATE(B2405,1),C2405,0),0),0)</x:f>
        <x:v>1</x:v>
      </x:c>
      <x:c r="K2406" t="n">
        <x:f>IF(AND(J2406=1,C2406=0),1,0)</x:f>
        <x:v>0</x:v>
      </x:c>
      <x:c r="L2406" t="str">
        <x:f>IFERROR(INDEX(Customers!$C$2:$C$451,MATCH(A2406,Customers!$A$2:$A$451,0)),"Unknown")</x:f>
        <x:v>Premium</x:v>
      </x:c>
    </x:row>
    <x:row r="2407">
      <x:c r="A2407" t="n">
        <x:v>441</x:v>
      </x:c>
      <x:c r="B2407" s="16" t="n">
        <x:v>46204</x:v>
      </x:c>
      <x:c r="C2407" t="n">
        <x:v>1</x:v>
      </x:c>
      <x:c r="D2407" t="n">
        <x:v>24</x:v>
      </x:c>
      <x:c r="E2407" s="18" t="n">
        <x:v>1138.87</x:v>
      </x:c>
      <x:c r="F2407" s="18" t="n">
        <x:v>17</x:v>
      </x:c>
      <x:c r="G2407" s="18" t="n">
        <x:v>5.12</x:v>
      </x:c>
      <x:c r="H2407" s="18" t="n">
        <x:v>1.34</x:v>
      </x:c>
      <x:c r="I2407" s="18" t="n">
        <x:v>23.46</x:v>
      </x:c>
      <x:c r="J2407" t="n">
        <x:f>IF(A2407=A2406,IFERROR(IF(B2407=EDATE(B2406,1),C2406,0),0),0)</x:f>
        <x:v>1</x:v>
      </x:c>
      <x:c r="K2407" t="n">
        <x:f>IF(AND(J2407=1,C2407=0),1,0)</x:f>
        <x:v>0</x:v>
      </x:c>
      <x:c r="L2407" t="str">
        <x:f>IFERROR(INDEX(Customers!$C$2:$C$451,MATCH(A2407,Customers!$A$2:$A$451,0)),"Unknown")</x:f>
        <x:v>Premium</x:v>
      </x:c>
    </x:row>
    <x:row r="2408">
      <x:c r="A2408" t="n">
        <x:v>441</x:v>
      </x:c>
      <x:c r="B2408" s="16" t="n">
        <x:v>46235</x:v>
      </x:c>
      <x:c r="C2408" t="n">
        <x:v>0</x:v>
      </x:c>
      <x:c r="D2408" t="n">
        <x:v>0</x:v>
      </x:c>
      <x:c r="E2408" s="18" t="n">
        <x:v>0</x:v>
      </x:c>
      <x:c r="F2408" s="18" t="n">
        <x:v>0</x:v>
      </x:c>
      <x:c r="G2408" s="18" t="n">
        <x:v>0</x:v>
      </x:c>
      <x:c r="H2408" s="18" t="n">
        <x:v>0</x:v>
      </x:c>
      <x:c r="I2408" s="18" t="n">
        <x:v>0</x:v>
      </x:c>
      <x:c r="J2408" t="n">
        <x:f>IF(A2408=A2407,IFERROR(IF(B2408=EDATE(B2407,1),C2407,0),0),0)</x:f>
        <x:v>1</x:v>
      </x:c>
      <x:c r="K2408" t="n">
        <x:f>IF(AND(J2408=1,C2408=0),1,0)</x:f>
        <x:v>1</x:v>
      </x:c>
      <x:c r="L2408" t="str">
        <x:f>IFERROR(INDEX(Customers!$C$2:$C$451,MATCH(A2408,Customers!$A$2:$A$451,0)),"Unknown")</x:f>
        <x:v>Premium</x:v>
      </x:c>
    </x:row>
    <x:row r="2409">
      <x:c r="A2409" t="n">
        <x:v>441</x:v>
      </x:c>
      <x:c r="B2409" s="16" t="n">
        <x:v>46266</x:v>
      </x:c>
      <x:c r="C2409" t="n">
        <x:v>1</x:v>
      </x:c>
      <x:c r="D2409" t="n">
        <x:v>21</x:v>
      </x:c>
      <x:c r="E2409" s="18" t="n">
        <x:v>1420.49</x:v>
      </x:c>
      <x:c r="F2409" s="18" t="n">
        <x:v>17</x:v>
      </x:c>
      <x:c r="G2409" s="18" t="n">
        <x:v>6.39</x:v>
      </x:c>
      <x:c r="H2409" s="18" t="n">
        <x:v>2.59</x:v>
      </x:c>
      <x:c r="I2409" s="18" t="n">
        <x:v>25.98</x:v>
      </x:c>
      <x:c r="J2409" t="n">
        <x:f>IF(A2409=A2408,IFERROR(IF(B2409=EDATE(B2408,1),C2408,0),0),0)</x:f>
        <x:v>0</x:v>
      </x:c>
      <x:c r="K2409" t="n">
        <x:f>IF(AND(J2409=1,C2409=0),1,0)</x:f>
        <x:v>0</x:v>
      </x:c>
      <x:c r="L2409" t="str">
        <x:f>IFERROR(INDEX(Customers!$C$2:$C$451,MATCH(A2409,Customers!$A$2:$A$451,0)),"Unknown")</x:f>
        <x:v>Premium</x:v>
      </x:c>
    </x:row>
    <x:row r="2410">
      <x:c r="A2410" t="n">
        <x:v>442</x:v>
      </x:c>
      <x:c r="B2410" s="16" t="n">
        <x:v>46113</x:v>
      </x:c>
      <x:c r="C2410" t="n">
        <x:v>1</x:v>
      </x:c>
      <x:c r="D2410" t="n">
        <x:v>9</x:v>
      </x:c>
      <x:c r="E2410" s="18" t="n">
        <x:v>662.06</x:v>
      </x:c>
      <x:c r="F2410" s="18" t="n">
        <x:v>8</x:v>
      </x:c>
      <x:c r="G2410" s="18" t="n">
        <x:v>2.98</x:v>
      </x:c>
      <x:c r="H2410" s="18" t="n">
        <x:v>0.61</x:v>
      </x:c>
      <x:c r="I2410" s="18" t="n">
        <x:v>11.59</x:v>
      </x:c>
      <x:c r="J2410" t="n">
        <x:f>IF(A2410=A2409,IFERROR(IF(B2410=EDATE(B2409,1),C2409,0),0),0)</x:f>
        <x:v>0</x:v>
      </x:c>
      <x:c r="K2410" t="n">
        <x:f>IF(AND(J2410=1,C2410=0),1,0)</x:f>
        <x:v>0</x:v>
      </x:c>
      <x:c r="L2410" t="str">
        <x:f>IFERROR(INDEX(Customers!$C$2:$C$451,MATCH(A2410,Customers!$A$2:$A$451,0)),"Unknown")</x:f>
        <x:v>Plus</x:v>
      </x:c>
    </x:row>
    <x:row r="2411">
      <x:c r="A2411" t="n">
        <x:v>442</x:v>
      </x:c>
      <x:c r="B2411" s="16" t="n">
        <x:v>46143</x:v>
      </x:c>
      <x:c r="C2411" t="n">
        <x:v>1</x:v>
      </x:c>
      <x:c r="D2411" t="n">
        <x:v>30</x:v>
      </x:c>
      <x:c r="E2411" s="18" t="n">
        <x:v>2069.53</x:v>
      </x:c>
      <x:c r="F2411" s="18" t="n">
        <x:v>8</x:v>
      </x:c>
      <x:c r="G2411" s="18" t="n">
        <x:v>9.31</x:v>
      </x:c>
      <x:c r="H2411" s="18" t="n">
        <x:v>6.54</x:v>
      </x:c>
      <x:c r="I2411" s="18" t="n">
        <x:v>23.85</x:v>
      </x:c>
      <x:c r="J2411" t="n">
        <x:f>IF(A2411=A2410,IFERROR(IF(B2411=EDATE(B2410,1),C2410,0),0),0)</x:f>
        <x:v>1</x:v>
      </x:c>
      <x:c r="K2411" t="n">
        <x:f>IF(AND(J2411=1,C2411=0),1,0)</x:f>
        <x:v>0</x:v>
      </x:c>
      <x:c r="L2411" t="str">
        <x:f>IFERROR(INDEX(Customers!$C$2:$C$451,MATCH(A2411,Customers!$A$2:$A$451,0)),"Unknown")</x:f>
        <x:v>Plus</x:v>
      </x:c>
    </x:row>
    <x:row r="2412">
      <x:c r="A2412" t="n">
        <x:v>442</x:v>
      </x:c>
      <x:c r="B2412" s="16" t="n">
        <x:v>46174</x:v>
      </x:c>
      <x:c r="C2412" t="n">
        <x:v>1</x:v>
      </x:c>
      <x:c r="D2412" t="n">
        <x:v>29</x:v>
      </x:c>
      <x:c r="E2412" s="18" t="n">
        <x:v>2323.98</x:v>
      </x:c>
      <x:c r="F2412" s="18" t="n">
        <x:v>8</x:v>
      </x:c>
      <x:c r="G2412" s="18" t="n">
        <x:v>10.46</x:v>
      </x:c>
      <x:c r="H2412" s="18" t="n">
        <x:v>7.25</x:v>
      </x:c>
      <x:c r="I2412" s="18" t="n">
        <x:v>25.71</x:v>
      </x:c>
      <x:c r="J2412" t="n">
        <x:f>IF(A2412=A2411,IFERROR(IF(B2412=EDATE(B2411,1),C2411,0),0),0)</x:f>
        <x:v>1</x:v>
      </x:c>
      <x:c r="K2412" t="n">
        <x:f>IF(AND(J2412=1,C2412=0),1,0)</x:f>
        <x:v>0</x:v>
      </x:c>
      <x:c r="L2412" t="str">
        <x:f>IFERROR(INDEX(Customers!$C$2:$C$451,MATCH(A2412,Customers!$A$2:$A$451,0)),"Unknown")</x:f>
        <x:v>Plus</x:v>
      </x:c>
    </x:row>
    <x:row r="2413">
      <x:c r="A2413" t="n">
        <x:v>442</x:v>
      </x:c>
      <x:c r="B2413" s="16" t="n">
        <x:v>46204</x:v>
      </x:c>
      <x:c r="C2413" t="n">
        <x:v>1</x:v>
      </x:c>
      <x:c r="D2413" t="n">
        <x:v>4</x:v>
      </x:c>
      <x:c r="E2413" s="18" t="n">
        <x:v>349.64</x:v>
      </x:c>
      <x:c r="F2413" s="18" t="n">
        <x:v>8</x:v>
      </x:c>
      <x:c r="G2413" s="18" t="n">
        <x:v>1.57</x:v>
      </x:c>
      <x:c r="H2413" s="18" t="n">
        <x:v>0.54</x:v>
      </x:c>
      <x:c r="I2413" s="18" t="n">
        <x:v>10.11</x:v>
      </x:c>
      <x:c r="J2413" t="n">
        <x:f>IF(A2413=A2412,IFERROR(IF(B2413=EDATE(B2412,1),C2412,0),0),0)</x:f>
        <x:v>1</x:v>
      </x:c>
      <x:c r="K2413" t="n">
        <x:f>IF(AND(J2413=1,C2413=0),1,0)</x:f>
        <x:v>0</x:v>
      </x:c>
      <x:c r="L2413" t="str">
        <x:f>IFERROR(INDEX(Customers!$C$2:$C$451,MATCH(A2413,Customers!$A$2:$A$451,0)),"Unknown")</x:f>
        <x:v>Plus</x:v>
      </x:c>
    </x:row>
    <x:row r="2414">
      <x:c r="A2414" t="n">
        <x:v>442</x:v>
      </x:c>
      <x:c r="B2414" s="16" t="n">
        <x:v>46235</x:v>
      </x:c>
      <x:c r="C2414" t="n">
        <x:v>1</x:v>
      </x:c>
      <x:c r="D2414" t="n">
        <x:v>14</x:v>
      </x:c>
      <x:c r="E2414" s="18" t="n">
        <x:v>1422.52</x:v>
      </x:c>
      <x:c r="F2414" s="18" t="n">
        <x:v>8</x:v>
      </x:c>
      <x:c r="G2414" s="18" t="n">
        <x:v>6.4</x:v>
      </x:c>
      <x:c r="H2414" s="18" t="n">
        <x:v>3.63</x:v>
      </x:c>
      <x:c r="I2414" s="18" t="n">
        <x:v>18.03</x:v>
      </x:c>
      <x:c r="J2414" t="n">
        <x:f>IF(A2414=A2413,IFERROR(IF(B2414=EDATE(B2413,1),C2413,0),0),0)</x:f>
        <x:v>1</x:v>
      </x:c>
      <x:c r="K2414" t="n">
        <x:f>IF(AND(J2414=1,C2414=0),1,0)</x:f>
        <x:v>0</x:v>
      </x:c>
      <x:c r="L2414" t="str">
        <x:f>IFERROR(INDEX(Customers!$C$2:$C$451,MATCH(A2414,Customers!$A$2:$A$451,0)),"Unknown")</x:f>
        <x:v>Plus</x:v>
      </x:c>
    </x:row>
    <x:row r="2415">
      <x:c r="A2415" t="n">
        <x:v>442</x:v>
      </x:c>
      <x:c r="B2415" s="16" t="n">
        <x:v>46266</x:v>
      </x:c>
      <x:c r="C2415" t="n">
        <x:v>1</x:v>
      </x:c>
      <x:c r="D2415" t="n">
        <x:v>14</x:v>
      </x:c>
      <x:c r="E2415" s="18" t="n">
        <x:v>1230.38</x:v>
      </x:c>
      <x:c r="F2415" s="18" t="n">
        <x:v>8</x:v>
      </x:c>
      <x:c r="G2415" s="18" t="n">
        <x:v>5.54</x:v>
      </x:c>
      <x:c r="H2415" s="18" t="n">
        <x:v>4.29</x:v>
      </x:c>
      <x:c r="I2415" s="18" t="n">
        <x:v>17.83</x:v>
      </x:c>
      <x:c r="J2415" t="n">
        <x:f>IF(A2415=A2414,IFERROR(IF(B2415=EDATE(B2414,1),C2414,0),0),0)</x:f>
        <x:v>1</x:v>
      </x:c>
      <x:c r="K2415" t="n">
        <x:f>IF(AND(J2415=1,C2415=0),1,0)</x:f>
        <x:v>0</x:v>
      </x:c>
      <x:c r="L2415" t="str">
        <x:f>IFERROR(INDEX(Customers!$C$2:$C$451,MATCH(A2415,Customers!$A$2:$A$451,0)),"Unknown")</x:f>
        <x:v>Plus</x:v>
      </x:c>
    </x:row>
    <x:row r="2416">
      <x:c r="A2416" t="n">
        <x:v>443</x:v>
      </x:c>
      <x:c r="B2416" s="16" t="n">
        <x:v>46113</x:v>
      </x:c>
      <x:c r="C2416" t="n">
        <x:v>1</x:v>
      </x:c>
      <x:c r="D2416" t="n">
        <x:v>12</x:v>
      </x:c>
      <x:c r="E2416" s="18" t="n">
        <x:v>1275.76</x:v>
      </x:c>
      <x:c r="F2416" s="18" t="n">
        <x:v>0</x:v>
      </x:c>
      <x:c r="G2416" s="18" t="n">
        <x:v>5.74</x:v>
      </x:c>
      <x:c r="H2416" s="18" t="n">
        <x:v>2.08</x:v>
      </x:c>
      <x:c r="I2416" s="18" t="n">
        <x:v>7.82</x:v>
      </x:c>
      <x:c r="J2416" t="n">
        <x:f>IF(A2416=A2415,IFERROR(IF(B2416=EDATE(B2415,1),C2415,0),0),0)</x:f>
        <x:v>0</x:v>
      </x:c>
      <x:c r="K2416" t="n">
        <x:f>IF(AND(J2416=1,C2416=0),1,0)</x:f>
        <x:v>0</x:v>
      </x:c>
      <x:c r="L2416" t="str">
        <x:f>IFERROR(INDEX(Customers!$C$2:$C$451,MATCH(A2416,Customers!$A$2:$A$451,0)),"Unknown")</x:f>
        <x:v>Standard</x:v>
      </x:c>
    </x:row>
    <x:row r="2417">
      <x:c r="A2417" t="n">
        <x:v>443</x:v>
      </x:c>
      <x:c r="B2417" s="16" t="n">
        <x:v>46143</x:v>
      </x:c>
      <x:c r="C2417" t="n">
        <x:v>0</x:v>
      </x:c>
      <x:c r="D2417" t="n">
        <x:v>0</x:v>
      </x:c>
      <x:c r="E2417" s="18" t="n">
        <x:v>0</x:v>
      </x:c>
      <x:c r="F2417" s="18" t="n">
        <x:v>0</x:v>
      </x:c>
      <x:c r="G2417" s="18" t="n">
        <x:v>0</x:v>
      </x:c>
      <x:c r="H2417" s="18" t="n">
        <x:v>0</x:v>
      </x:c>
      <x:c r="I2417" s="18" t="n">
        <x:v>0</x:v>
      </x:c>
      <x:c r="J2417" t="n">
        <x:f>IF(A2417=A2416,IFERROR(IF(B2417=EDATE(B2416,1),C2416,0),0),0)</x:f>
        <x:v>1</x:v>
      </x:c>
      <x:c r="K2417" t="n">
        <x:f>IF(AND(J2417=1,C2417=0),1,0)</x:f>
        <x:v>1</x:v>
      </x:c>
      <x:c r="L2417" t="str">
        <x:f>IFERROR(INDEX(Customers!$C$2:$C$451,MATCH(A2417,Customers!$A$2:$A$451,0)),"Unknown")</x:f>
        <x:v>Standard</x:v>
      </x:c>
    </x:row>
    <x:row r="2418">
      <x:c r="A2418" t="n">
        <x:v>443</x:v>
      </x:c>
      <x:c r="B2418" s="16" t="n">
        <x:v>46174</x:v>
      </x:c>
      <x:c r="C2418" t="n">
        <x:v>1</x:v>
      </x:c>
      <x:c r="D2418" t="n">
        <x:v>4</x:v>
      </x:c>
      <x:c r="E2418" s="18" t="n">
        <x:v>360.92</x:v>
      </x:c>
      <x:c r="F2418" s="18" t="n">
        <x:v>0</x:v>
      </x:c>
      <x:c r="G2418" s="18" t="n">
        <x:v>1.62</x:v>
      </x:c>
      <x:c r="H2418" s="18" t="n">
        <x:v>1.18</x:v>
      </x:c>
      <x:c r="I2418" s="18" t="n">
        <x:v>2.8</x:v>
      </x:c>
      <x:c r="J2418" t="n">
        <x:f>IF(A2418=A2417,IFERROR(IF(B2418=EDATE(B2417,1),C2417,0),0),0)</x:f>
        <x:v>0</x:v>
      </x:c>
      <x:c r="K2418" t="n">
        <x:f>IF(AND(J2418=1,C2418=0),1,0)</x:f>
        <x:v>0</x:v>
      </x:c>
      <x:c r="L2418" t="str">
        <x:f>IFERROR(INDEX(Customers!$C$2:$C$451,MATCH(A2418,Customers!$A$2:$A$451,0)),"Unknown")</x:f>
        <x:v>Standard</x:v>
      </x:c>
    </x:row>
    <x:row r="2419">
      <x:c r="A2419" t="n">
        <x:v>443</x:v>
      </x:c>
      <x:c r="B2419" s="16" t="n">
        <x:v>46204</x:v>
      </x:c>
      <x:c r="C2419" t="n">
        <x:v>1</x:v>
      </x:c>
      <x:c r="D2419" t="n">
        <x:v>21</x:v>
      </x:c>
      <x:c r="E2419" s="18" t="n">
        <x:v>2298.96</x:v>
      </x:c>
      <x:c r="F2419" s="18" t="n">
        <x:v>0</x:v>
      </x:c>
      <x:c r="G2419" s="18" t="n">
        <x:v>10.35</x:v>
      </x:c>
      <x:c r="H2419" s="18" t="n">
        <x:v>8.26</x:v>
      </x:c>
      <x:c r="I2419" s="18" t="n">
        <x:v>18.61</x:v>
      </x:c>
      <x:c r="J2419" t="n">
        <x:f>IF(A2419=A2418,IFERROR(IF(B2419=EDATE(B2418,1),C2418,0),0),0)</x:f>
        <x:v>1</x:v>
      </x:c>
      <x:c r="K2419" t="n">
        <x:f>IF(AND(J2419=1,C2419=0),1,0)</x:f>
        <x:v>0</x:v>
      </x:c>
      <x:c r="L2419" t="str">
        <x:f>IFERROR(INDEX(Customers!$C$2:$C$451,MATCH(A2419,Customers!$A$2:$A$451,0)),"Unknown")</x:f>
        <x:v>Standard</x:v>
      </x:c>
    </x:row>
    <x:row r="2420">
      <x:c r="A2420" t="n">
        <x:v>443</x:v>
      </x:c>
      <x:c r="B2420" s="16" t="n">
        <x:v>46235</x:v>
      </x:c>
      <x:c r="C2420" t="n">
        <x:v>1</x:v>
      </x:c>
      <x:c r="D2420" t="n">
        <x:v>27</x:v>
      </x:c>
      <x:c r="E2420" s="18" t="n">
        <x:v>1767.92</x:v>
      </x:c>
      <x:c r="F2420" s="18" t="n">
        <x:v>0</x:v>
      </x:c>
      <x:c r="G2420" s="18" t="n">
        <x:v>7.96</x:v>
      </x:c>
      <x:c r="H2420" s="18" t="n">
        <x:v>5.03</x:v>
      </x:c>
      <x:c r="I2420" s="18" t="n">
        <x:v>12.99</x:v>
      </x:c>
      <x:c r="J2420" t="n">
        <x:f>IF(A2420=A2419,IFERROR(IF(B2420=EDATE(B2419,1),C2419,0),0),0)</x:f>
        <x:v>1</x:v>
      </x:c>
      <x:c r="K2420" t="n">
        <x:f>IF(AND(J2420=1,C2420=0),1,0)</x:f>
        <x:v>0</x:v>
      </x:c>
      <x:c r="L2420" t="str">
        <x:f>IFERROR(INDEX(Customers!$C$2:$C$451,MATCH(A2420,Customers!$A$2:$A$451,0)),"Unknown")</x:f>
        <x:v>Standard</x:v>
      </x:c>
    </x:row>
    <x:row r="2421">
      <x:c r="A2421" t="n">
        <x:v>443</x:v>
      </x:c>
      <x:c r="B2421" s="16" t="n">
        <x:v>46266</x:v>
      </x:c>
      <x:c r="C2421" t="n">
        <x:v>1</x:v>
      </x:c>
      <x:c r="D2421" t="n">
        <x:v>31</x:v>
      </x:c>
      <x:c r="E2421" s="18" t="n">
        <x:v>1486.47</x:v>
      </x:c>
      <x:c r="F2421" s="18" t="n">
        <x:v>0</x:v>
      </x:c>
      <x:c r="G2421" s="18" t="n">
        <x:v>6.69</x:v>
      </x:c>
      <x:c r="H2421" s="18" t="n">
        <x:v>2.66</x:v>
      </x:c>
      <x:c r="I2421" s="18" t="n">
        <x:v>9.35</x:v>
      </x:c>
      <x:c r="J2421" t="n">
        <x:f>IF(A2421=A2420,IFERROR(IF(B2421=EDATE(B2420,1),C2420,0),0),0)</x:f>
        <x:v>1</x:v>
      </x:c>
      <x:c r="K2421" t="n">
        <x:f>IF(AND(J2421=1,C2421=0),1,0)</x:f>
        <x:v>0</x:v>
      </x:c>
      <x:c r="L2421" t="str">
        <x:f>IFERROR(INDEX(Customers!$C$2:$C$451,MATCH(A2421,Customers!$A$2:$A$451,0)),"Unknown")</x:f>
        <x:v>Standard</x:v>
      </x:c>
    </x:row>
    <x:row r="2422">
      <x:c r="A2422" t="n">
        <x:v>444</x:v>
      </x:c>
      <x:c r="B2422" s="16" t="n">
        <x:v>46174</x:v>
      </x:c>
      <x:c r="C2422" t="n">
        <x:v>0</x:v>
      </x:c>
      <x:c r="D2422" t="n">
        <x:v>0</x:v>
      </x:c>
      <x:c r="E2422" s="18" t="n">
        <x:v>0</x:v>
      </x:c>
      <x:c r="F2422" s="18" t="n">
        <x:v>0</x:v>
      </x:c>
      <x:c r="G2422" s="18" t="n">
        <x:v>0</x:v>
      </x:c>
      <x:c r="H2422" s="18" t="n">
        <x:v>0</x:v>
      </x:c>
      <x:c r="I2422" s="18" t="n">
        <x:v>0</x:v>
      </x:c>
      <x:c r="J2422" t="n">
        <x:f>IF(A2422=A2421,IFERROR(IF(B2422=EDATE(B2421,1),C2421,0),0),0)</x:f>
        <x:v>0</x:v>
      </x:c>
      <x:c r="K2422" t="n">
        <x:f>IF(AND(J2422=1,C2422=0),1,0)</x:f>
        <x:v>0</x:v>
      </x:c>
      <x:c r="L2422" t="str">
        <x:f>IFERROR(INDEX(Customers!$C$2:$C$451,MATCH(A2422,Customers!$A$2:$A$451,0)),"Unknown")</x:f>
        <x:v>Standard</x:v>
      </x:c>
    </x:row>
    <x:row r="2423">
      <x:c r="A2423" t="n">
        <x:v>444</x:v>
      </x:c>
      <x:c r="B2423" s="16" t="n">
        <x:v>46204</x:v>
      </x:c>
      <x:c r="C2423" t="n">
        <x:v>0</x:v>
      </x:c>
      <x:c r="D2423" t="n">
        <x:v>0</x:v>
      </x:c>
      <x:c r="E2423" s="18" t="n">
        <x:v>0</x:v>
      </x:c>
      <x:c r="F2423" s="18" t="n">
        <x:v>0</x:v>
      </x:c>
      <x:c r="G2423" s="18" t="n">
        <x:v>0</x:v>
      </x:c>
      <x:c r="H2423" s="18" t="n">
        <x:v>0</x:v>
      </x:c>
      <x:c r="I2423" s="18" t="n">
        <x:v>0</x:v>
      </x:c>
      <x:c r="J2423" t="n">
        <x:f>IF(A2423=A2422,IFERROR(IF(B2423=EDATE(B2422,1),C2422,0),0),0)</x:f>
        <x:v>0</x:v>
      </x:c>
      <x:c r="K2423" t="n">
        <x:f>IF(AND(J2423=1,C2423=0),1,0)</x:f>
        <x:v>0</x:v>
      </x:c>
      <x:c r="L2423" t="str">
        <x:f>IFERROR(INDEX(Customers!$C$2:$C$451,MATCH(A2423,Customers!$A$2:$A$451,0)),"Unknown")</x:f>
        <x:v>Standard</x:v>
      </x:c>
    </x:row>
    <x:row r="2424">
      <x:c r="A2424" t="n">
        <x:v>444</x:v>
      </x:c>
      <x:c r="B2424" s="16" t="n">
        <x:v>46235</x:v>
      </x:c>
      <x:c r="C2424" t="n">
        <x:v>1</x:v>
      </x:c>
      <x:c r="D2424" t="n">
        <x:v>17</x:v>
      </x:c>
      <x:c r="E2424" s="18" t="n">
        <x:v>1228.84</x:v>
      </x:c>
      <x:c r="F2424" s="18" t="n">
        <x:v>0</x:v>
      </x:c>
      <x:c r="G2424" s="18" t="n">
        <x:v>5.53</x:v>
      </x:c>
      <x:c r="H2424" s="18" t="n">
        <x:v>4.19</x:v>
      </x:c>
      <x:c r="I2424" s="18" t="n">
        <x:v>9.72</x:v>
      </x:c>
      <x:c r="J2424" t="n">
        <x:f>IF(A2424=A2423,IFERROR(IF(B2424=EDATE(B2423,1),C2423,0),0),0)</x:f>
        <x:v>0</x:v>
      </x:c>
      <x:c r="K2424" t="n">
        <x:f>IF(AND(J2424=1,C2424=0),1,0)</x:f>
        <x:v>0</x:v>
      </x:c>
      <x:c r="L2424" t="str">
        <x:f>IFERROR(INDEX(Customers!$C$2:$C$451,MATCH(A2424,Customers!$A$2:$A$451,0)),"Unknown")</x:f>
        <x:v>Standard</x:v>
      </x:c>
    </x:row>
    <x:row r="2425">
      <x:c r="A2425" t="n">
        <x:v>444</x:v>
      </x:c>
      <x:c r="B2425" s="16" t="n">
        <x:v>46266</x:v>
      </x:c>
      <x:c r="C2425" t="n">
        <x:v>0</x:v>
      </x:c>
      <x:c r="D2425" t="n">
        <x:v>0</x:v>
      </x:c>
      <x:c r="E2425" s="18" t="n">
        <x:v>0</x:v>
      </x:c>
      <x:c r="F2425" s="18" t="n">
        <x:v>0</x:v>
      </x:c>
      <x:c r="G2425" s="18" t="n">
        <x:v>0</x:v>
      </x:c>
      <x:c r="H2425" s="18" t="n">
        <x:v>0</x:v>
      </x:c>
      <x:c r="I2425" s="18" t="n">
        <x:v>0</x:v>
      </x:c>
      <x:c r="J2425" t="n">
        <x:f>IF(A2425=A2424,IFERROR(IF(B2425=EDATE(B2424,1),C2424,0),0),0)</x:f>
        <x:v>1</x:v>
      </x:c>
      <x:c r="K2425" t="n">
        <x:f>IF(AND(J2425=1,C2425=0),1,0)</x:f>
        <x:v>1</x:v>
      </x:c>
      <x:c r="L2425" t="str">
        <x:f>IFERROR(INDEX(Customers!$C$2:$C$451,MATCH(A2425,Customers!$A$2:$A$451,0)),"Unknown")</x:f>
        <x:v>Standard</x:v>
      </x:c>
    </x:row>
    <x:row r="2426">
      <x:c r="A2426" t="n">
        <x:v>445</x:v>
      </x:c>
      <x:c r="B2426" s="16" t="n">
        <x:v>46113</x:v>
      </x:c>
      <x:c r="C2426" t="n">
        <x:v>1</x:v>
      </x:c>
      <x:c r="D2426" t="n">
        <x:v>32</x:v>
      </x:c>
      <x:c r="E2426" s="18" t="n">
        <x:v>1635.31</x:v>
      </x:c>
      <x:c r="F2426" s="18" t="n">
        <x:v>17</x:v>
      </x:c>
      <x:c r="G2426" s="18" t="n">
        <x:v>7.36</x:v>
      </x:c>
      <x:c r="H2426" s="18" t="n">
        <x:v>6</x:v>
      </x:c>
      <x:c r="I2426" s="18" t="n">
        <x:v>30.36</x:v>
      </x:c>
      <x:c r="J2426" t="n">
        <x:f>IF(A2426=A2425,IFERROR(IF(B2426=EDATE(B2425,1),C2425,0),0),0)</x:f>
        <x:v>0</x:v>
      </x:c>
      <x:c r="K2426" t="n">
        <x:f>IF(AND(J2426=1,C2426=0),1,0)</x:f>
        <x:v>0</x:v>
      </x:c>
      <x:c r="L2426" t="str">
        <x:f>IFERROR(INDEX(Customers!$C$2:$C$451,MATCH(A2426,Customers!$A$2:$A$451,0)),"Unknown")</x:f>
        <x:v>Premium</x:v>
      </x:c>
    </x:row>
    <x:row r="2427">
      <x:c r="A2427" t="n">
        <x:v>445</x:v>
      </x:c>
      <x:c r="B2427" s="16" t="n">
        <x:v>46143</x:v>
      </x:c>
      <x:c r="C2427" t="n">
        <x:v>1</x:v>
      </x:c>
      <x:c r="D2427" t="n">
        <x:v>5</x:v>
      </x:c>
      <x:c r="E2427" s="18" t="n">
        <x:v>198.05</x:v>
      </x:c>
      <x:c r="F2427" s="18" t="n">
        <x:v>17</x:v>
      </x:c>
      <x:c r="G2427" s="18" t="n">
        <x:v>0.89</x:v>
      </x:c>
      <x:c r="H2427" s="18" t="n">
        <x:v>0.71</x:v>
      </x:c>
      <x:c r="I2427" s="18" t="n">
        <x:v>18.6</x:v>
      </x:c>
      <x:c r="J2427" t="n">
        <x:f>IF(A2427=A2426,IFERROR(IF(B2427=EDATE(B2426,1),C2426,0),0),0)</x:f>
        <x:v>1</x:v>
      </x:c>
      <x:c r="K2427" t="n">
        <x:f>IF(AND(J2427=1,C2427=0),1,0)</x:f>
        <x:v>0</x:v>
      </x:c>
      <x:c r="L2427" t="str">
        <x:f>IFERROR(INDEX(Customers!$C$2:$C$451,MATCH(A2427,Customers!$A$2:$A$451,0)),"Unknown")</x:f>
        <x:v>Premium</x:v>
      </x:c>
    </x:row>
    <x:row r="2428">
      <x:c r="A2428" t="n">
        <x:v>445</x:v>
      </x:c>
      <x:c r="B2428" s="16" t="n">
        <x:v>46174</x:v>
      </x:c>
      <x:c r="C2428" t="n">
        <x:v>1</x:v>
      </x:c>
      <x:c r="D2428" t="n">
        <x:v>11</x:v>
      </x:c>
      <x:c r="E2428" s="18" t="n">
        <x:v>412.81</x:v>
      </x:c>
      <x:c r="F2428" s="18" t="n">
        <x:v>17</x:v>
      </x:c>
      <x:c r="G2428" s="18" t="n">
        <x:v>1.86</x:v>
      </x:c>
      <x:c r="H2428" s="18" t="n">
        <x:v>0.88</x:v>
      </x:c>
      <x:c r="I2428" s="18" t="n">
        <x:v>19.74</x:v>
      </x:c>
      <x:c r="J2428" t="n">
        <x:f>IF(A2428=A2427,IFERROR(IF(B2428=EDATE(B2427,1),C2427,0),0),0)</x:f>
        <x:v>1</x:v>
      </x:c>
      <x:c r="K2428" t="n">
        <x:f>IF(AND(J2428=1,C2428=0),1,0)</x:f>
        <x:v>0</x:v>
      </x:c>
      <x:c r="L2428" t="str">
        <x:f>IFERROR(INDEX(Customers!$C$2:$C$451,MATCH(A2428,Customers!$A$2:$A$451,0)),"Unknown")</x:f>
        <x:v>Premium</x:v>
      </x:c>
    </x:row>
    <x:row r="2429">
      <x:c r="A2429" t="n">
        <x:v>445</x:v>
      </x:c>
      <x:c r="B2429" s="16" t="n">
        <x:v>46204</x:v>
      </x:c>
      <x:c r="C2429" t="n">
        <x:v>1</x:v>
      </x:c>
      <x:c r="D2429" t="n">
        <x:v>24</x:v>
      </x:c>
      <x:c r="E2429" s="18" t="n">
        <x:v>3161.17</x:v>
      </x:c>
      <x:c r="F2429" s="18" t="n">
        <x:v>17</x:v>
      </x:c>
      <x:c r="G2429" s="18" t="n">
        <x:v>14.23</x:v>
      </x:c>
      <x:c r="H2429" s="18" t="n">
        <x:v>8.04</x:v>
      </x:c>
      <x:c r="I2429" s="18" t="n">
        <x:v>39.27</x:v>
      </x:c>
      <x:c r="J2429" t="n">
        <x:f>IF(A2429=A2428,IFERROR(IF(B2429=EDATE(B2428,1),C2428,0),0),0)</x:f>
        <x:v>1</x:v>
      </x:c>
      <x:c r="K2429" t="n">
        <x:f>IF(AND(J2429=1,C2429=0),1,0)</x:f>
        <x:v>0</x:v>
      </x:c>
      <x:c r="L2429" t="str">
        <x:f>IFERROR(INDEX(Customers!$C$2:$C$451,MATCH(A2429,Customers!$A$2:$A$451,0)),"Unknown")</x:f>
        <x:v>Premium</x:v>
      </x:c>
    </x:row>
    <x:row r="2430">
      <x:c r="A2430" t="n">
        <x:v>445</x:v>
      </x:c>
      <x:c r="B2430" s="16" t="n">
        <x:v>46235</x:v>
      </x:c>
      <x:c r="C2430" t="n">
        <x:v>0</x:v>
      </x:c>
      <x:c r="D2430" t="n">
        <x:v>0</x:v>
      </x:c>
      <x:c r="E2430" s="18" t="n">
        <x:v>0</x:v>
      </x:c>
      <x:c r="F2430" s="18" t="n">
        <x:v>0</x:v>
      </x:c>
      <x:c r="G2430" s="18" t="n">
        <x:v>0</x:v>
      </x:c>
      <x:c r="H2430" s="18" t="n">
        <x:v>0</x:v>
      </x:c>
      <x:c r="I2430" s="18" t="n">
        <x:v>0</x:v>
      </x:c>
      <x:c r="J2430" t="n">
        <x:f>IF(A2430=A2429,IFERROR(IF(B2430=EDATE(B2429,1),C2429,0),0),0)</x:f>
        <x:v>1</x:v>
      </x:c>
      <x:c r="K2430" t="n">
        <x:f>IF(AND(J2430=1,C2430=0),1,0)</x:f>
        <x:v>1</x:v>
      </x:c>
      <x:c r="L2430" t="str">
        <x:f>IFERROR(INDEX(Customers!$C$2:$C$451,MATCH(A2430,Customers!$A$2:$A$451,0)),"Unknown")</x:f>
        <x:v>Premium</x:v>
      </x:c>
    </x:row>
    <x:row r="2431">
      <x:c r="A2431" t="n">
        <x:v>445</x:v>
      </x:c>
      <x:c r="B2431" s="16" t="n">
        <x:v>46266</x:v>
      </x:c>
      <x:c r="C2431" t="n">
        <x:v>0</x:v>
      </x:c>
      <x:c r="D2431" t="n">
        <x:v>0</x:v>
      </x:c>
      <x:c r="E2431" s="18" t="n">
        <x:v>0</x:v>
      </x:c>
      <x:c r="F2431" s="18" t="n">
        <x:v>0</x:v>
      </x:c>
      <x:c r="G2431" s="18" t="n">
        <x:v>0</x:v>
      </x:c>
      <x:c r="H2431" s="18" t="n">
        <x:v>0</x:v>
      </x:c>
      <x:c r="I2431" s="18" t="n">
        <x:v>0</x:v>
      </x:c>
      <x:c r="J2431" t="n">
        <x:f>IF(A2431=A2430,IFERROR(IF(B2431=EDATE(B2430,1),C2430,0),0),0)</x:f>
        <x:v>0</x:v>
      </x:c>
      <x:c r="K2431" t="n">
        <x:f>IF(AND(J2431=1,C2431=0),1,0)</x:f>
        <x:v>0</x:v>
      </x:c>
      <x:c r="L2431" t="str">
        <x:f>IFERROR(INDEX(Customers!$C$2:$C$451,MATCH(A2431,Customers!$A$2:$A$451,0)),"Unknown")</x:f>
        <x:v>Premium</x:v>
      </x:c>
    </x:row>
    <x:row r="2432">
      <x:c r="A2432" t="n">
        <x:v>446</x:v>
      </x:c>
      <x:c r="B2432" s="16" t="n">
        <x:v>46113</x:v>
      </x:c>
      <x:c r="C2432" t="n">
        <x:v>1</x:v>
      </x:c>
      <x:c r="D2432" t="n">
        <x:v>24</x:v>
      </x:c>
      <x:c r="E2432" s="18" t="n">
        <x:v>2641.11</x:v>
      </x:c>
      <x:c r="F2432" s="18" t="n">
        <x:v>0</x:v>
      </x:c>
      <x:c r="G2432" s="18" t="n">
        <x:v>11.88</x:v>
      </x:c>
      <x:c r="H2432" s="18" t="n">
        <x:v>8.39</x:v>
      </x:c>
      <x:c r="I2432" s="18" t="n">
        <x:v>20.27</x:v>
      </x:c>
      <x:c r="J2432" t="n">
        <x:f>IF(A2432=A2431,IFERROR(IF(B2432=EDATE(B2431,1),C2431,0),0),0)</x:f>
        <x:v>0</x:v>
      </x:c>
      <x:c r="K2432" t="n">
        <x:f>IF(AND(J2432=1,C2432=0),1,0)</x:f>
        <x:v>0</x:v>
      </x:c>
      <x:c r="L2432" t="str">
        <x:f>IFERROR(INDEX(Customers!$C$2:$C$451,MATCH(A2432,Customers!$A$2:$A$451,0)),"Unknown")</x:f>
        <x:v>Standard</x:v>
      </x:c>
    </x:row>
    <x:row r="2433">
      <x:c r="A2433" t="n">
        <x:v>446</x:v>
      </x:c>
      <x:c r="B2433" s="16" t="n">
        <x:v>46143</x:v>
      </x:c>
      <x:c r="C2433" t="n">
        <x:v>1</x:v>
      </x:c>
      <x:c r="D2433" t="n">
        <x:v>36</x:v>
      </x:c>
      <x:c r="E2433" s="18" t="n">
        <x:v>3170.58</x:v>
      </x:c>
      <x:c r="F2433" s="18" t="n">
        <x:v>0</x:v>
      </x:c>
      <x:c r="G2433" s="18" t="n">
        <x:v>14.27</x:v>
      </x:c>
      <x:c r="H2433" s="18" t="n">
        <x:v>3.64</x:v>
      </x:c>
      <x:c r="I2433" s="18" t="n">
        <x:v>17.91</x:v>
      </x:c>
      <x:c r="J2433" t="n">
        <x:f>IF(A2433=A2432,IFERROR(IF(B2433=EDATE(B2432,1),C2432,0),0),0)</x:f>
        <x:v>1</x:v>
      </x:c>
      <x:c r="K2433" t="n">
        <x:f>IF(AND(J2433=1,C2433=0),1,0)</x:f>
        <x:v>0</x:v>
      </x:c>
      <x:c r="L2433" t="str">
        <x:f>IFERROR(INDEX(Customers!$C$2:$C$451,MATCH(A2433,Customers!$A$2:$A$451,0)),"Unknown")</x:f>
        <x:v>Standard</x:v>
      </x:c>
    </x:row>
    <x:row r="2434">
      <x:c r="A2434" t="n">
        <x:v>446</x:v>
      </x:c>
      <x:c r="B2434" s="16" t="n">
        <x:v>46174</x:v>
      </x:c>
      <x:c r="C2434" t="n">
        <x:v>1</x:v>
      </x:c>
      <x:c r="D2434" t="n">
        <x:v>36</x:v>
      </x:c>
      <x:c r="E2434" s="18" t="n">
        <x:v>1549.05</x:v>
      </x:c>
      <x:c r="F2434" s="18" t="n">
        <x:v>0</x:v>
      </x:c>
      <x:c r="G2434" s="18" t="n">
        <x:v>6.97</x:v>
      </x:c>
      <x:c r="H2434" s="18" t="n">
        <x:v>3.45</x:v>
      </x:c>
      <x:c r="I2434" s="18" t="n">
        <x:v>10.42</x:v>
      </x:c>
      <x:c r="J2434" t="n">
        <x:f>IF(A2434=A2433,IFERROR(IF(B2434=EDATE(B2433,1),C2433,0),0),0)</x:f>
        <x:v>1</x:v>
      </x:c>
      <x:c r="K2434" t="n">
        <x:f>IF(AND(J2434=1,C2434=0),1,0)</x:f>
        <x:v>0</x:v>
      </x:c>
      <x:c r="L2434" t="str">
        <x:f>IFERROR(INDEX(Customers!$C$2:$C$451,MATCH(A2434,Customers!$A$2:$A$451,0)),"Unknown")</x:f>
        <x:v>Standard</x:v>
      </x:c>
    </x:row>
    <x:row r="2435">
      <x:c r="A2435" t="n">
        <x:v>446</x:v>
      </x:c>
      <x:c r="B2435" s="16" t="n">
        <x:v>46204</x:v>
      </x:c>
      <x:c r="C2435" t="n">
        <x:v>1</x:v>
      </x:c>
      <x:c r="D2435" t="n">
        <x:v>9</x:v>
      </x:c>
      <x:c r="E2435" s="18" t="n">
        <x:v>1061.28</x:v>
      </x:c>
      <x:c r="F2435" s="18" t="n">
        <x:v>0</x:v>
      </x:c>
      <x:c r="G2435" s="18" t="n">
        <x:v>4.78</x:v>
      </x:c>
      <x:c r="H2435" s="18" t="n">
        <x:v>1.23</x:v>
      </x:c>
      <x:c r="I2435" s="18" t="n">
        <x:v>6.01</x:v>
      </x:c>
      <x:c r="J2435" t="n">
        <x:f>IF(A2435=A2434,IFERROR(IF(B2435=EDATE(B2434,1),C2434,0),0),0)</x:f>
        <x:v>1</x:v>
      </x:c>
      <x:c r="K2435" t="n">
        <x:f>IF(AND(J2435=1,C2435=0),1,0)</x:f>
        <x:v>0</x:v>
      </x:c>
      <x:c r="L2435" t="str">
        <x:f>IFERROR(INDEX(Customers!$C$2:$C$451,MATCH(A2435,Customers!$A$2:$A$451,0)),"Unknown")</x:f>
        <x:v>Standard</x:v>
      </x:c>
    </x:row>
    <x:row r="2436">
      <x:c r="A2436" t="n">
        <x:v>446</x:v>
      </x:c>
      <x:c r="B2436" s="16" t="n">
        <x:v>46235</x:v>
      </x:c>
      <x:c r="C2436" t="n">
        <x:v>1</x:v>
      </x:c>
      <x:c r="D2436" t="n">
        <x:v>17</x:v>
      </x:c>
      <x:c r="E2436" s="18" t="n">
        <x:v>685.76</x:v>
      </x:c>
      <x:c r="F2436" s="18" t="n">
        <x:v>0</x:v>
      </x:c>
      <x:c r="G2436" s="18" t="n">
        <x:v>3.09</x:v>
      </x:c>
      <x:c r="H2436" s="18" t="n">
        <x:v>2.42</x:v>
      </x:c>
      <x:c r="I2436" s="18" t="n">
        <x:v>5.51</x:v>
      </x:c>
      <x:c r="J2436" t="n">
        <x:f>IF(A2436=A2435,IFERROR(IF(B2436=EDATE(B2435,1),C2435,0),0),0)</x:f>
        <x:v>1</x:v>
      </x:c>
      <x:c r="K2436" t="n">
        <x:f>IF(AND(J2436=1,C2436=0),1,0)</x:f>
        <x:v>0</x:v>
      </x:c>
      <x:c r="L2436" t="str">
        <x:f>IFERROR(INDEX(Customers!$C$2:$C$451,MATCH(A2436,Customers!$A$2:$A$451,0)),"Unknown")</x:f>
        <x:v>Standard</x:v>
      </x:c>
    </x:row>
    <x:row r="2437">
      <x:c r="A2437" t="n">
        <x:v>446</x:v>
      </x:c>
      <x:c r="B2437" s="16" t="n">
        <x:v>46266</x:v>
      </x:c>
      <x:c r="C2437" t="n">
        <x:v>0</x:v>
      </x:c>
      <x:c r="D2437" t="n">
        <x:v>0</x:v>
      </x:c>
      <x:c r="E2437" s="18" t="n">
        <x:v>0</x:v>
      </x:c>
      <x:c r="F2437" s="18" t="n">
        <x:v>0</x:v>
      </x:c>
      <x:c r="G2437" s="18" t="n">
        <x:v>0</x:v>
      </x:c>
      <x:c r="H2437" s="18" t="n">
        <x:v>0</x:v>
      </x:c>
      <x:c r="I2437" s="18" t="n">
        <x:v>0</x:v>
      </x:c>
      <x:c r="J2437" t="n">
        <x:f>IF(A2437=A2436,IFERROR(IF(B2437=EDATE(B2436,1),C2436,0),0),0)</x:f>
        <x:v>1</x:v>
      </x:c>
      <x:c r="K2437" t="n">
        <x:f>IF(AND(J2437=1,C2437=0),1,0)</x:f>
        <x:v>1</x:v>
      </x:c>
      <x:c r="L2437" t="str">
        <x:f>IFERROR(INDEX(Customers!$C$2:$C$451,MATCH(A2437,Customers!$A$2:$A$451,0)),"Unknown")</x:f>
        <x:v>Standard</x:v>
      </x:c>
    </x:row>
    <x:row r="2438">
      <x:c r="A2438" t="n">
        <x:v>447</x:v>
      </x:c>
      <x:c r="B2438" s="16" t="n">
        <x:v>46143</x:v>
      </x:c>
      <x:c r="C2438" t="n">
        <x:v>0</x:v>
      </x:c>
      <x:c r="D2438" t="n">
        <x:v>0</x:v>
      </x:c>
      <x:c r="E2438" s="18" t="n">
        <x:v>0</x:v>
      </x:c>
      <x:c r="F2438" s="18" t="n">
        <x:v>0</x:v>
      </x:c>
      <x:c r="G2438" s="18" t="n">
        <x:v>0</x:v>
      </x:c>
      <x:c r="H2438" s="18" t="n">
        <x:v>0</x:v>
      </x:c>
      <x:c r="I2438" s="18" t="n">
        <x:v>0</x:v>
      </x:c>
      <x:c r="J2438" t="n">
        <x:f>IF(A2438=A2437,IFERROR(IF(B2438=EDATE(B2437,1),C2437,0),0),0)</x:f>
        <x:v>0</x:v>
      </x:c>
      <x:c r="K2438" t="n">
        <x:f>IF(AND(J2438=1,C2438=0),1,0)</x:f>
        <x:v>0</x:v>
      </x:c>
      <x:c r="L2438" t="str">
        <x:f>IFERROR(INDEX(Customers!$C$2:$C$451,MATCH(A2438,Customers!$A$2:$A$451,0)),"Unknown")</x:f>
        <x:v>Standard</x:v>
      </x:c>
    </x:row>
    <x:row r="2439">
      <x:c r="A2439" t="n">
        <x:v>447</x:v>
      </x:c>
      <x:c r="B2439" s="16" t="n">
        <x:v>46174</x:v>
      </x:c>
      <x:c r="C2439" t="n">
        <x:v>1</x:v>
      </x:c>
      <x:c r="D2439" t="n">
        <x:v>9</x:v>
      </x:c>
      <x:c r="E2439" s="18" t="n">
        <x:v>1085.59</x:v>
      </x:c>
      <x:c r="F2439" s="18" t="n">
        <x:v>0</x:v>
      </x:c>
      <x:c r="G2439" s="18" t="n">
        <x:v>4.89</x:v>
      </x:c>
      <x:c r="H2439" s="18" t="n">
        <x:v>1.05</x:v>
      </x:c>
      <x:c r="I2439" s="18" t="n">
        <x:v>5.94</x:v>
      </x:c>
      <x:c r="J2439" t="n">
        <x:f>IF(A2439=A2438,IFERROR(IF(B2439=EDATE(B2438,1),C2438,0),0),0)</x:f>
        <x:v>0</x:v>
      </x:c>
      <x:c r="K2439" t="n">
        <x:f>IF(AND(J2439=1,C2439=0),1,0)</x:f>
        <x:v>0</x:v>
      </x:c>
      <x:c r="L2439" t="str">
        <x:f>IFERROR(INDEX(Customers!$C$2:$C$451,MATCH(A2439,Customers!$A$2:$A$451,0)),"Unknown")</x:f>
        <x:v>Standard</x:v>
      </x:c>
    </x:row>
    <x:row r="2440">
      <x:c r="A2440" t="n">
        <x:v>447</x:v>
      </x:c>
      <x:c r="B2440" s="16" t="n">
        <x:v>46204</x:v>
      </x:c>
      <x:c r="C2440" t="n">
        <x:v>1</x:v>
      </x:c>
      <x:c r="D2440" t="n">
        <x:v>33</x:v>
      </x:c>
      <x:c r="E2440" s="18" t="n">
        <x:v>2673.39</x:v>
      </x:c>
      <x:c r="F2440" s="18" t="n">
        <x:v>0</x:v>
      </x:c>
      <x:c r="G2440" s="18" t="n">
        <x:v>12.03</x:v>
      </x:c>
      <x:c r="H2440" s="18" t="n">
        <x:v>4.57</x:v>
      </x:c>
      <x:c r="I2440" s="18" t="n">
        <x:v>16.6</x:v>
      </x:c>
      <x:c r="J2440" t="n">
        <x:f>IF(A2440=A2439,IFERROR(IF(B2440=EDATE(B2439,1),C2439,0),0),0)</x:f>
        <x:v>1</x:v>
      </x:c>
      <x:c r="K2440" t="n">
        <x:f>IF(AND(J2440=1,C2440=0),1,0)</x:f>
        <x:v>0</x:v>
      </x:c>
      <x:c r="L2440" t="str">
        <x:f>IFERROR(INDEX(Customers!$C$2:$C$451,MATCH(A2440,Customers!$A$2:$A$451,0)),"Unknown")</x:f>
        <x:v>Standard</x:v>
      </x:c>
    </x:row>
    <x:row r="2441">
      <x:c r="A2441" t="n">
        <x:v>447</x:v>
      </x:c>
      <x:c r="B2441" s="16" t="n">
        <x:v>46235</x:v>
      </x:c>
      <x:c r="C2441" t="n">
        <x:v>1</x:v>
      </x:c>
      <x:c r="D2441" t="n">
        <x:v>21</x:v>
      </x:c>
      <x:c r="E2441" s="18" t="n">
        <x:v>2304.93</x:v>
      </x:c>
      <x:c r="F2441" s="18" t="n">
        <x:v>0</x:v>
      </x:c>
      <x:c r="G2441" s="18" t="n">
        <x:v>10.37</x:v>
      </x:c>
      <x:c r="H2441" s="18" t="n">
        <x:v>8.47</x:v>
      </x:c>
      <x:c r="I2441" s="18" t="n">
        <x:v>18.84</x:v>
      </x:c>
      <x:c r="J2441" t="n">
        <x:f>IF(A2441=A2440,IFERROR(IF(B2441=EDATE(B2440,1),C2440,0),0),0)</x:f>
        <x:v>1</x:v>
      </x:c>
      <x:c r="K2441" t="n">
        <x:f>IF(AND(J2441=1,C2441=0),1,0)</x:f>
        <x:v>0</x:v>
      </x:c>
      <x:c r="L2441" t="str">
        <x:f>IFERROR(INDEX(Customers!$C$2:$C$451,MATCH(A2441,Customers!$A$2:$A$451,0)),"Unknown")</x:f>
        <x:v>Standard</x:v>
      </x:c>
    </x:row>
    <x:row r="2442">
      <x:c r="A2442" t="n">
        <x:v>447</x:v>
      </x:c>
      <x:c r="B2442" s="16" t="n">
        <x:v>46266</x:v>
      </x:c>
      <x:c r="C2442" t="n">
        <x:v>0</x:v>
      </x:c>
      <x:c r="D2442" t="n">
        <x:v>0</x:v>
      </x:c>
      <x:c r="E2442" s="18" t="n">
        <x:v>0</x:v>
      </x:c>
      <x:c r="F2442" s="18" t="n">
        <x:v>0</x:v>
      </x:c>
      <x:c r="G2442" s="18" t="n">
        <x:v>0</x:v>
      </x:c>
      <x:c r="H2442" s="18" t="n">
        <x:v>0</x:v>
      </x:c>
      <x:c r="I2442" s="18" t="n">
        <x:v>0</x:v>
      </x:c>
      <x:c r="J2442" t="n">
        <x:f>IF(A2442=A2441,IFERROR(IF(B2442=EDATE(B2441,1),C2441,0),0),0)</x:f>
        <x:v>1</x:v>
      </x:c>
      <x:c r="K2442" t="n">
        <x:f>IF(AND(J2442=1,C2442=0),1,0)</x:f>
        <x:v>1</x:v>
      </x:c>
      <x:c r="L2442" t="str">
        <x:f>IFERROR(INDEX(Customers!$C$2:$C$451,MATCH(A2442,Customers!$A$2:$A$451,0)),"Unknown")</x:f>
        <x:v>Standard</x:v>
      </x:c>
    </x:row>
    <x:row r="2443">
      <x:c r="A2443" t="n">
        <x:v>448</x:v>
      </x:c>
      <x:c r="B2443" s="16" t="n">
        <x:v>46113</x:v>
      </x:c>
      <x:c r="C2443" t="n">
        <x:v>1</x:v>
      </x:c>
      <x:c r="D2443" t="n">
        <x:v>4</x:v>
      </x:c>
      <x:c r="E2443" s="18" t="n">
        <x:v>182.86</x:v>
      </x:c>
      <x:c r="F2443" s="18" t="n">
        <x:v>8</x:v>
      </x:c>
      <x:c r="G2443" s="18" t="n">
        <x:v>0.82</x:v>
      </x:c>
      <x:c r="H2443" s="18" t="n">
        <x:v>0.26</x:v>
      </x:c>
      <x:c r="I2443" s="18" t="n">
        <x:v>9.08</x:v>
      </x:c>
      <x:c r="J2443" t="n">
        <x:f>IF(A2443=A2442,IFERROR(IF(B2443=EDATE(B2442,1),C2442,0),0),0)</x:f>
        <x:v>0</x:v>
      </x:c>
      <x:c r="K2443" t="n">
        <x:f>IF(AND(J2443=1,C2443=0),1,0)</x:f>
        <x:v>0</x:v>
      </x:c>
      <x:c r="L2443" t="str">
        <x:f>IFERROR(INDEX(Customers!$C$2:$C$451,MATCH(A2443,Customers!$A$2:$A$451,0)),"Unknown")</x:f>
        <x:v>Plus</x:v>
      </x:c>
    </x:row>
    <x:row r="2444">
      <x:c r="A2444" t="n">
        <x:v>448</x:v>
      </x:c>
      <x:c r="B2444" s="16" t="n">
        <x:v>46143</x:v>
      </x:c>
      <x:c r="C2444" t="n">
        <x:v>0</x:v>
      </x:c>
      <x:c r="D2444" t="n">
        <x:v>0</x:v>
      </x:c>
      <x:c r="E2444" s="18" t="n">
        <x:v>0</x:v>
      </x:c>
      <x:c r="F2444" s="18" t="n">
        <x:v>0</x:v>
      </x:c>
      <x:c r="G2444" s="18" t="n">
        <x:v>0</x:v>
      </x:c>
      <x:c r="H2444" s="18" t="n">
        <x:v>0</x:v>
      </x:c>
      <x:c r="I2444" s="18" t="n">
        <x:v>0</x:v>
      </x:c>
      <x:c r="J2444" t="n">
        <x:f>IF(A2444=A2443,IFERROR(IF(B2444=EDATE(B2443,1),C2443,0),0),0)</x:f>
        <x:v>1</x:v>
      </x:c>
      <x:c r="K2444" t="n">
        <x:f>IF(AND(J2444=1,C2444=0),1,0)</x:f>
        <x:v>1</x:v>
      </x:c>
      <x:c r="L2444" t="str">
        <x:f>IFERROR(INDEX(Customers!$C$2:$C$451,MATCH(A2444,Customers!$A$2:$A$451,0)),"Unknown")</x:f>
        <x:v>Plus</x:v>
      </x:c>
    </x:row>
    <x:row r="2445">
      <x:c r="A2445" t="n">
        <x:v>448</x:v>
      </x:c>
      <x:c r="B2445" s="16" t="n">
        <x:v>46174</x:v>
      </x:c>
      <x:c r="C2445" t="n">
        <x:v>1</x:v>
      </x:c>
      <x:c r="D2445" t="n">
        <x:v>4</x:v>
      </x:c>
      <x:c r="E2445" s="18" t="n">
        <x:v>291.54</x:v>
      </x:c>
      <x:c r="F2445" s="18" t="n">
        <x:v>8</x:v>
      </x:c>
      <x:c r="G2445" s="18" t="n">
        <x:v>1.31</x:v>
      </x:c>
      <x:c r="H2445" s="18" t="n">
        <x:v>1.06</x:v>
      </x:c>
      <x:c r="I2445" s="18" t="n">
        <x:v>10.37</x:v>
      </x:c>
      <x:c r="J2445" t="n">
        <x:f>IF(A2445=A2444,IFERROR(IF(B2445=EDATE(B2444,1),C2444,0),0),0)</x:f>
        <x:v>0</x:v>
      </x:c>
      <x:c r="K2445" t="n">
        <x:f>IF(AND(J2445=1,C2445=0),1,0)</x:f>
        <x:v>0</x:v>
      </x:c>
      <x:c r="L2445" t="str">
        <x:f>IFERROR(INDEX(Customers!$C$2:$C$451,MATCH(A2445,Customers!$A$2:$A$451,0)),"Unknown")</x:f>
        <x:v>Plus</x:v>
      </x:c>
    </x:row>
    <x:row r="2446">
      <x:c r="A2446" t="n">
        <x:v>448</x:v>
      </x:c>
      <x:c r="B2446" s="16" t="n">
        <x:v>46204</x:v>
      </x:c>
      <x:c r="C2446" t="n">
        <x:v>1</x:v>
      </x:c>
      <x:c r="D2446" t="n">
        <x:v>29</x:v>
      </x:c>
      <x:c r="E2446" s="18" t="n">
        <x:v>2192.35</x:v>
      </x:c>
      <x:c r="F2446" s="18" t="n">
        <x:v>8</x:v>
      </x:c>
      <x:c r="G2446" s="18" t="n">
        <x:v>9.87</x:v>
      </x:c>
      <x:c r="H2446" s="18" t="n">
        <x:v>6.19</x:v>
      </x:c>
      <x:c r="I2446" s="18" t="n">
        <x:v>24.06</x:v>
      </x:c>
      <x:c r="J2446" t="n">
        <x:f>IF(A2446=A2445,IFERROR(IF(B2446=EDATE(B2445,1),C2445,0),0),0)</x:f>
        <x:v>1</x:v>
      </x:c>
      <x:c r="K2446" t="n">
        <x:f>IF(AND(J2446=1,C2446=0),1,0)</x:f>
        <x:v>0</x:v>
      </x:c>
      <x:c r="L2446" t="str">
        <x:f>IFERROR(INDEX(Customers!$C$2:$C$451,MATCH(A2446,Customers!$A$2:$A$451,0)),"Unknown")</x:f>
        <x:v>Plus</x:v>
      </x:c>
    </x:row>
    <x:row r="2447">
      <x:c r="A2447" t="n">
        <x:v>448</x:v>
      </x:c>
      <x:c r="B2447" s="16" t="n">
        <x:v>46235</x:v>
      </x:c>
      <x:c r="C2447" t="n">
        <x:v>1</x:v>
      </x:c>
      <x:c r="D2447" t="n">
        <x:v>21</x:v>
      </x:c>
      <x:c r="E2447" s="18" t="n">
        <x:v>1448.35</x:v>
      </x:c>
      <x:c r="F2447" s="18" t="n">
        <x:v>8</x:v>
      </x:c>
      <x:c r="G2447" s="18" t="n">
        <x:v>6.52</x:v>
      </x:c>
      <x:c r="H2447" s="18" t="n">
        <x:v>2.97</x:v>
      </x:c>
      <x:c r="I2447" s="18" t="n">
        <x:v>17.49</x:v>
      </x:c>
      <x:c r="J2447" t="n">
        <x:f>IF(A2447=A2446,IFERROR(IF(B2447=EDATE(B2446,1),C2446,0),0),0)</x:f>
        <x:v>1</x:v>
      </x:c>
      <x:c r="K2447" t="n">
        <x:f>IF(AND(J2447=1,C2447=0),1,0)</x:f>
        <x:v>0</x:v>
      </x:c>
      <x:c r="L2447" t="str">
        <x:f>IFERROR(INDEX(Customers!$C$2:$C$451,MATCH(A2447,Customers!$A$2:$A$451,0)),"Unknown")</x:f>
        <x:v>Plus</x:v>
      </x:c>
    </x:row>
    <x:row r="2448">
      <x:c r="A2448" t="n">
        <x:v>448</x:v>
      </x:c>
      <x:c r="B2448" s="16" t="n">
        <x:v>46266</x:v>
      </x:c>
      <x:c r="C2448" t="n">
        <x:v>0</x:v>
      </x:c>
      <x:c r="D2448" t="n">
        <x:v>0</x:v>
      </x:c>
      <x:c r="E2448" s="18" t="n">
        <x:v>0</x:v>
      </x:c>
      <x:c r="F2448" s="18" t="n">
        <x:v>0</x:v>
      </x:c>
      <x:c r="G2448" s="18" t="n">
        <x:v>0</x:v>
      </x:c>
      <x:c r="H2448" s="18" t="n">
        <x:v>0</x:v>
      </x:c>
      <x:c r="I2448" s="18" t="n">
        <x:v>0</x:v>
      </x:c>
      <x:c r="J2448" t="n">
        <x:f>IF(A2448=A2447,IFERROR(IF(B2448=EDATE(B2447,1),C2447,0),0),0)</x:f>
        <x:v>1</x:v>
      </x:c>
      <x:c r="K2448" t="n">
        <x:f>IF(AND(J2448=1,C2448=0),1,0)</x:f>
        <x:v>1</x:v>
      </x:c>
      <x:c r="L2448" t="str">
        <x:f>IFERROR(INDEX(Customers!$C$2:$C$451,MATCH(A2448,Customers!$A$2:$A$451,0)),"Unknown")</x:f>
        <x:v>Plus</x:v>
      </x:c>
    </x:row>
    <x:row r="2449">
      <x:c r="A2449" t="n">
        <x:v>449</x:v>
      </x:c>
      <x:c r="B2449" s="16" t="n">
        <x:v>46113</x:v>
      </x:c>
      <x:c r="C2449" t="n">
        <x:v>1</x:v>
      </x:c>
      <x:c r="D2449" t="n">
        <x:v>10</x:v>
      </x:c>
      <x:c r="E2449" s="18" t="n">
        <x:v>1264.66</x:v>
      </x:c>
      <x:c r="F2449" s="18" t="n">
        <x:v>17</x:v>
      </x:c>
      <x:c r="G2449" s="18" t="n">
        <x:v>5.69</x:v>
      </x:c>
      <x:c r="H2449" s="18" t="n">
        <x:v>2.62</x:v>
      </x:c>
      <x:c r="I2449" s="18" t="n">
        <x:v>25.31</x:v>
      </x:c>
      <x:c r="J2449" t="n">
        <x:f>IF(A2449=A2448,IFERROR(IF(B2449=EDATE(B2448,1),C2448,0),0),0)</x:f>
        <x:v>0</x:v>
      </x:c>
      <x:c r="K2449" t="n">
        <x:f>IF(AND(J2449=1,C2449=0),1,0)</x:f>
        <x:v>0</x:v>
      </x:c>
      <x:c r="L2449" t="str">
        <x:f>IFERROR(INDEX(Customers!$C$2:$C$451,MATCH(A2449,Customers!$A$2:$A$451,0)),"Unknown")</x:f>
        <x:v>Premium</x:v>
      </x:c>
    </x:row>
    <x:row r="2450">
      <x:c r="A2450" t="n">
        <x:v>449</x:v>
      </x:c>
      <x:c r="B2450" s="16" t="n">
        <x:v>46143</x:v>
      </x:c>
      <x:c r="C2450" t="n">
        <x:v>1</x:v>
      </x:c>
      <x:c r="D2450" t="n">
        <x:v>36</x:v>
      </x:c>
      <x:c r="E2450" s="18" t="n">
        <x:v>4853.71</x:v>
      </x:c>
      <x:c r="F2450" s="18" t="n">
        <x:v>17</x:v>
      </x:c>
      <x:c r="G2450" s="18" t="n">
        <x:v>21.84</x:v>
      </x:c>
      <x:c r="H2450" s="18" t="n">
        <x:v>7.62</x:v>
      </x:c>
      <x:c r="I2450" s="18" t="n">
        <x:v>46.46</x:v>
      </x:c>
      <x:c r="J2450" t="n">
        <x:f>IF(A2450=A2449,IFERROR(IF(B2450=EDATE(B2449,1),C2449,0),0),0)</x:f>
        <x:v>1</x:v>
      </x:c>
      <x:c r="K2450" t="n">
        <x:f>IF(AND(J2450=1,C2450=0),1,0)</x:f>
        <x:v>0</x:v>
      </x:c>
      <x:c r="L2450" t="str">
        <x:f>IFERROR(INDEX(Customers!$C$2:$C$451,MATCH(A2450,Customers!$A$2:$A$451,0)),"Unknown")</x:f>
        <x:v>Premium</x:v>
      </x:c>
    </x:row>
    <x:row r="2451">
      <x:c r="A2451" t="n">
        <x:v>449</x:v>
      </x:c>
      <x:c r="B2451" s="16" t="n">
        <x:v>46174</x:v>
      </x:c>
      <x:c r="C2451" t="n">
        <x:v>0</x:v>
      </x:c>
      <x:c r="D2451" t="n">
        <x:v>0</x:v>
      </x:c>
      <x:c r="E2451" s="18" t="n">
        <x:v>0</x:v>
      </x:c>
      <x:c r="F2451" s="18" t="n">
        <x:v>0</x:v>
      </x:c>
      <x:c r="G2451" s="18" t="n">
        <x:v>0</x:v>
      </x:c>
      <x:c r="H2451" s="18" t="n">
        <x:v>0</x:v>
      </x:c>
      <x:c r="I2451" s="18" t="n">
        <x:v>0</x:v>
      </x:c>
      <x:c r="J2451" t="n">
        <x:f>IF(A2451=A2450,IFERROR(IF(B2451=EDATE(B2450,1),C2450,0),0),0)</x:f>
        <x:v>1</x:v>
      </x:c>
      <x:c r="K2451" t="n">
        <x:f>IF(AND(J2451=1,C2451=0),1,0)</x:f>
        <x:v>1</x:v>
      </x:c>
      <x:c r="L2451" t="str">
        <x:f>IFERROR(INDEX(Customers!$C$2:$C$451,MATCH(A2451,Customers!$A$2:$A$451,0)),"Unknown")</x:f>
        <x:v>Premium</x:v>
      </x:c>
    </x:row>
    <x:row r="2452">
      <x:c r="A2452" t="n">
        <x:v>449</x:v>
      </x:c>
      <x:c r="B2452" s="16" t="n">
        <x:v>46204</x:v>
      </x:c>
      <x:c r="C2452" t="n">
        <x:v>1</x:v>
      </x:c>
      <x:c r="D2452" t="n">
        <x:v>10</x:v>
      </x:c>
      <x:c r="E2452" s="18" t="n">
        <x:v>1368.46</x:v>
      </x:c>
      <x:c r="F2452" s="18" t="n">
        <x:v>17</x:v>
      </x:c>
      <x:c r="G2452" s="18" t="n">
        <x:v>6.16</x:v>
      </x:c>
      <x:c r="H2452" s="18" t="n">
        <x:v>4.16</x:v>
      </x:c>
      <x:c r="I2452" s="18" t="n">
        <x:v>27.32</x:v>
      </x:c>
      <x:c r="J2452" t="n">
        <x:f>IF(A2452=A2451,IFERROR(IF(B2452=EDATE(B2451,1),C2451,0),0),0)</x:f>
        <x:v>0</x:v>
      </x:c>
      <x:c r="K2452" t="n">
        <x:f>IF(AND(J2452=1,C2452=0),1,0)</x:f>
        <x:v>0</x:v>
      </x:c>
      <x:c r="L2452" t="str">
        <x:f>IFERROR(INDEX(Customers!$C$2:$C$451,MATCH(A2452,Customers!$A$2:$A$451,0)),"Unknown")</x:f>
        <x:v>Premium</x:v>
      </x:c>
    </x:row>
    <x:row r="2453">
      <x:c r="A2453" t="n">
        <x:v>449</x:v>
      </x:c>
      <x:c r="B2453" s="16" t="n">
        <x:v>46235</x:v>
      </x:c>
      <x:c r="C2453" t="n">
        <x:v>1</x:v>
      </x:c>
      <x:c r="D2453" t="n">
        <x:v>17</x:v>
      </x:c>
      <x:c r="E2453" s="18" t="n">
        <x:v>1638.71</x:v>
      </x:c>
      <x:c r="F2453" s="18" t="n">
        <x:v>17</x:v>
      </x:c>
      <x:c r="G2453" s="18" t="n">
        <x:v>7.37</x:v>
      </x:c>
      <x:c r="H2453" s="18" t="n">
        <x:v>2.96</x:v>
      </x:c>
      <x:c r="I2453" s="18" t="n">
        <x:v>27.33</x:v>
      </x:c>
      <x:c r="J2453" t="n">
        <x:f>IF(A2453=A2452,IFERROR(IF(B2453=EDATE(B2452,1),C2452,0),0),0)</x:f>
        <x:v>1</x:v>
      </x:c>
      <x:c r="K2453" t="n">
        <x:f>IF(AND(J2453=1,C2453=0),1,0)</x:f>
        <x:v>0</x:v>
      </x:c>
      <x:c r="L2453" t="str">
        <x:f>IFERROR(INDEX(Customers!$C$2:$C$451,MATCH(A2453,Customers!$A$2:$A$451,0)),"Unknown")</x:f>
        <x:v>Premium</x:v>
      </x:c>
    </x:row>
    <x:row r="2454">
      <x:c r="A2454" t="n">
        <x:v>449</x:v>
      </x:c>
      <x:c r="B2454" s="16" t="n">
        <x:v>46266</x:v>
      </x:c>
      <x:c r="C2454" t="n">
        <x:v>0</x:v>
      </x:c>
      <x:c r="D2454" t="n">
        <x:v>0</x:v>
      </x:c>
      <x:c r="E2454" s="18" t="n">
        <x:v>0</x:v>
      </x:c>
      <x:c r="F2454" s="18" t="n">
        <x:v>0</x:v>
      </x:c>
      <x:c r="G2454" s="18" t="n">
        <x:v>0</x:v>
      </x:c>
      <x:c r="H2454" s="18" t="n">
        <x:v>0</x:v>
      </x:c>
      <x:c r="I2454" s="18" t="n">
        <x:v>0</x:v>
      </x:c>
      <x:c r="J2454" t="n">
        <x:f>IF(A2454=A2453,IFERROR(IF(B2454=EDATE(B2453,1),C2453,0),0),0)</x:f>
        <x:v>1</x:v>
      </x:c>
      <x:c r="K2454" t="n">
        <x:f>IF(AND(J2454=1,C2454=0),1,0)</x:f>
        <x:v>1</x:v>
      </x:c>
      <x:c r="L2454" t="str">
        <x:f>IFERROR(INDEX(Customers!$C$2:$C$451,MATCH(A2454,Customers!$A$2:$A$451,0)),"Unknown")</x:f>
        <x:v>Premium</x:v>
      </x:c>
    </x:row>
    <x:row r="2455">
      <x:c r="A2455" t="n">
        <x:v>450</x:v>
      </x:c>
      <x:c r="B2455" s="16" t="n">
        <x:v>46143</x:v>
      </x:c>
      <x:c r="C2455" t="n">
        <x:v>1</x:v>
      </x:c>
      <x:c r="D2455" t="n">
        <x:v>31</x:v>
      </x:c>
      <x:c r="E2455" s="18" t="n">
        <x:v>3913.8</x:v>
      </x:c>
      <x:c r="F2455" s="18" t="n">
        <x:v>17</x:v>
      </x:c>
      <x:c r="G2455" s="18" t="n">
        <x:v>17.61</x:v>
      </x:c>
      <x:c r="H2455" s="18" t="n">
        <x:v>8.65</x:v>
      </x:c>
      <x:c r="I2455" s="18" t="n">
        <x:v>43.26</x:v>
      </x:c>
      <x:c r="J2455" t="n">
        <x:f>IF(A2455=A2454,IFERROR(IF(B2455=EDATE(B2454,1),C2454,0),0),0)</x:f>
        <x:v>0</x:v>
      </x:c>
      <x:c r="K2455" t="n">
        <x:f>IF(AND(J2455=1,C2455=0),1,0)</x:f>
        <x:v>0</x:v>
      </x:c>
      <x:c r="L2455" t="str">
        <x:f>IFERROR(INDEX(Customers!$C$2:$C$451,MATCH(A2455,Customers!$A$2:$A$451,0)),"Unknown")</x:f>
        <x:v>Premium</x:v>
      </x:c>
    </x:row>
    <x:row r="2456">
      <x:c r="A2456" t="n">
        <x:v>450</x:v>
      </x:c>
      <x:c r="B2456" s="16" t="n">
        <x:v>46174</x:v>
      </x:c>
      <x:c r="C2456" t="n">
        <x:v>1</x:v>
      </x:c>
      <x:c r="D2456" t="n">
        <x:v>25</x:v>
      </x:c>
      <x:c r="E2456" s="18" t="n">
        <x:v>2209.98</x:v>
      </x:c>
      <x:c r="F2456" s="18" t="n">
        <x:v>17</x:v>
      </x:c>
      <x:c r="G2456" s="18" t="n">
        <x:v>9.94</x:v>
      </x:c>
      <x:c r="H2456" s="18" t="n">
        <x:v>2.28</x:v>
      </x:c>
      <x:c r="I2456" s="18" t="n">
        <x:v>29.22</x:v>
      </x:c>
      <x:c r="J2456" t="n">
        <x:f>IF(A2456=A2455,IFERROR(IF(B2456=EDATE(B2455,1),C2455,0),0),0)</x:f>
        <x:v>1</x:v>
      </x:c>
      <x:c r="K2456" t="n">
        <x:f>IF(AND(J2456=1,C2456=0),1,0)</x:f>
        <x:v>0</x:v>
      </x:c>
      <x:c r="L2456" t="str">
        <x:f>IFERROR(INDEX(Customers!$C$2:$C$451,MATCH(A2456,Customers!$A$2:$A$451,0)),"Unknown")</x:f>
        <x:v>Premium</x:v>
      </x:c>
    </x:row>
    <x:row r="2457">
      <x:c r="A2457" t="n">
        <x:v>450</x:v>
      </x:c>
      <x:c r="B2457" s="16" t="n">
        <x:v>46204</x:v>
      </x:c>
      <x:c r="C2457" t="n">
        <x:v>1</x:v>
      </x:c>
      <x:c r="D2457" t="n">
        <x:v>12</x:v>
      </x:c>
      <x:c r="E2457" s="18" t="n">
        <x:v>541.18</x:v>
      </x:c>
      <x:c r="F2457" s="18" t="n">
        <x:v>17</x:v>
      </x:c>
      <x:c r="G2457" s="18" t="n">
        <x:v>2.44</x:v>
      </x:c>
      <x:c r="H2457" s="18" t="n">
        <x:v>0.93</x:v>
      </x:c>
      <x:c r="I2457" s="18" t="n">
        <x:v>20.37</x:v>
      </x:c>
      <x:c r="J2457" t="n">
        <x:f>IF(A2457=A2456,IFERROR(IF(B2457=EDATE(B2456,1),C2456,0),0),0)</x:f>
        <x:v>1</x:v>
      </x:c>
      <x:c r="K2457" t="n">
        <x:f>IF(AND(J2457=1,C2457=0),1,0)</x:f>
        <x:v>0</x:v>
      </x:c>
      <x:c r="L2457" t="str">
        <x:f>IFERROR(INDEX(Customers!$C$2:$C$451,MATCH(A2457,Customers!$A$2:$A$451,0)),"Unknown")</x:f>
        <x:v>Premium</x:v>
      </x:c>
    </x:row>
    <x:row r="2458">
      <x:c r="A2458" t="n">
        <x:v>450</x:v>
      </x:c>
      <x:c r="B2458" s="16" t="n">
        <x:v>46235</x:v>
      </x:c>
      <x:c r="C2458" t="n">
        <x:v>1</x:v>
      </x:c>
      <x:c r="D2458" t="n">
        <x:v>28</x:v>
      </x:c>
      <x:c r="E2458" s="18" t="n">
        <x:v>3448.95</x:v>
      </x:c>
      <x:c r="F2458" s="18" t="n">
        <x:v>17</x:v>
      </x:c>
      <x:c r="G2458" s="18" t="n">
        <x:v>15.52</x:v>
      </x:c>
      <x:c r="H2458" s="18" t="n">
        <x:v>8.48</x:v>
      </x:c>
      <x:c r="I2458" s="18" t="n">
        <x:v>41</x:v>
      </x:c>
      <x:c r="J2458" t="n">
        <x:f>IF(A2458=A2457,IFERROR(IF(B2458=EDATE(B2457,1),C2457,0),0),0)</x:f>
        <x:v>1</x:v>
      </x:c>
      <x:c r="K2458" t="n">
        <x:f>IF(AND(J2458=1,C2458=0),1,0)</x:f>
        <x:v>0</x:v>
      </x:c>
      <x:c r="L2458" t="str">
        <x:f>IFERROR(INDEX(Customers!$C$2:$C$451,MATCH(A2458,Customers!$A$2:$A$451,0)),"Unknown")</x:f>
        <x:v>Premium</x:v>
      </x:c>
    </x:row>
    <x:row r="2459">
      <x:c r="A2459" t="n">
        <x:v>450</x:v>
      </x:c>
      <x:c r="B2459" s="16" t="n">
        <x:v>46266</x:v>
      </x:c>
      <x:c r="C2459" t="n">
        <x:v>1</x:v>
      </x:c>
      <x:c r="D2459" t="n">
        <x:v>20</x:v>
      </x:c>
      <x:c r="E2459" s="18" t="n">
        <x:v>2734.89</x:v>
      </x:c>
      <x:c r="F2459" s="18" t="n">
        <x:v>17</x:v>
      </x:c>
      <x:c r="G2459" s="18" t="n">
        <x:v>12.31</x:v>
      </x:c>
      <x:c r="H2459" s="18" t="n">
        <x:v>8.45</x:v>
      </x:c>
      <x:c r="I2459" s="18" t="n">
        <x:v>37.76</x:v>
      </x:c>
      <x:c r="J2459" t="n">
        <x:f>IF(A2459=A2458,IFERROR(IF(B2459=EDATE(B2458,1),C2458,0),0),0)</x:f>
        <x:v>1</x:v>
      </x:c>
      <x:c r="K2459" t="n">
        <x:f>IF(AND(J2459=1,C2459=0),1,0)</x:f>
        <x:v>0</x:v>
      </x:c>
      <x:c r="L2459" t="str">
        <x:f>IFERROR(INDEX(Customers!$C$2:$C$451,MATCH(A2459,Customers!$A$2:$A$451,0)),"Unknown")</x:f>
        <x:v>Premium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</x:cols>
  <x:sheetData>
    <x:row r="1" ht="29" customHeight="1">
      <x:c r="A1" s="12" t="str">
        <x:v>ticket_id</x:v>
      </x:c>
      <x:c r="B1" s="12" t="str">
        <x:v>customer_id</x:v>
      </x:c>
      <x:c r="C1" s="12" t="str">
        <x:v>created_date</x:v>
      </x:c>
      <x:c r="D1" s="12" t="str">
        <x:v>issue_type</x:v>
      </x:c>
      <x:c r="E1" s="12" t="str">
        <x:v>status</x:v>
      </x:c>
      <x:c r="F1" s="12" t="str">
        <x:v>resolution_hours</x:v>
      </x:c>
      <x:c r="G1" s="12" t="str">
        <x:v>satisfaction_score</x:v>
      </x:c>
    </x:row>
    <x:row r="2">
      <x:c r="A2" t="n">
        <x:v>1</x:v>
      </x:c>
      <x:c r="B2" t="n">
        <x:v>2</x:v>
      </x:c>
      <x:c r="C2" s="16" t="n">
        <x:v>46118</x:v>
      </x:c>
      <x:c r="D2" t="str">
        <x:v>FX Dispute</x:v>
      </x:c>
      <x:c r="E2" t="str">
        <x:v>Resolved</x:v>
      </x:c>
      <x:c r="F2" t="n">
        <x:v>7</x:v>
      </x:c>
      <x:c r="G2" t="n">
        <x:v>3</x:v>
      </x:c>
    </x:row>
    <x:row r="3">
      <x:c r="A3" t="n">
        <x:v>2</x:v>
      </x:c>
      <x:c r="B3" t="n">
        <x:v>3</x:v>
      </x:c>
      <x:c r="C3" s="16" t="n">
        <x:v>46119</x:v>
      </x:c>
      <x:c r="D3" t="str">
        <x:v>Other</x:v>
      </x:c>
      <x:c r="E3" t="str">
        <x:v>Resolved</x:v>
      </x:c>
      <x:c r="F3" t="n">
        <x:v>96</x:v>
      </x:c>
      <x:c r="G3" t="n">
        <x:v>5</x:v>
      </x:c>
    </x:row>
    <x:row r="4">
      <x:c r="A4" t="n">
        <x:v>3</x:v>
      </x:c>
      <x:c r="B4" t="n">
        <x:v>4</x:v>
      </x:c>
      <x:c r="C4" s="16" t="n">
        <x:v>46131</x:v>
      </x:c>
      <x:c r="D4" t="str">
        <x:v>Account Access</x:v>
      </x:c>
      <x:c r="E4" t="str">
        <x:v>Resolved</x:v>
      </x:c>
      <x:c r="F4" t="n">
        <x:v>72</x:v>
      </x:c>
      <x:c r="G4" t="n">
        <x:v>1</x:v>
      </x:c>
    </x:row>
    <x:row r="5">
      <x:c r="A5" t="n">
        <x:v>4</x:v>
      </x:c>
      <x:c r="B5" t="n">
        <x:v>4</x:v>
      </x:c>
      <x:c r="C5" s="16" t="n">
        <x:v>46282</x:v>
      </x:c>
      <x:c r="D5" t="str">
        <x:v>Account Access</x:v>
      </x:c>
      <x:c r="E5" t="str">
        <x:v>Resolved</x:v>
      </x:c>
      <x:c r="F5" t="n">
        <x:v>3</x:v>
      </x:c>
      <x:c r="G5" t="n">
        <x:v>4</x:v>
      </x:c>
    </x:row>
    <x:row r="6">
      <x:c r="A6" t="n">
        <x:v>5</x:v>
      </x:c>
      <x:c r="B6" t="n">
        <x:v>4</x:v>
      </x:c>
      <x:c r="C6" s="16" t="n">
        <x:v>46136</x:v>
      </x:c>
      <x:c r="D6" t="str">
        <x:v>Account Access</x:v>
      </x:c>
      <x:c r="E6" t="str">
        <x:v>Resolved</x:v>
      </x:c>
      <x:c r="F6" t="n">
        <x:v>48</x:v>
      </x:c>
      <x:c r="G6" t="n">
        <x:v>4</x:v>
      </x:c>
    </x:row>
    <x:row r="7">
      <x:c r="A7" t="n">
        <x:v>6</x:v>
      </x:c>
      <x:c r="B7" t="n">
        <x:v>8</x:v>
      </x:c>
      <x:c r="C7" s="16" t="n">
        <x:v>46172</x:v>
      </x:c>
      <x:c r="D7" t="str">
        <x:v>Card Delivery</x:v>
      </x:c>
      <x:c r="E7" t="str">
        <x:v>Resolved</x:v>
      </x:c>
      <x:c r="F7" t="n">
        <x:v>96</x:v>
      </x:c>
      <x:c r="G7" t="n">
        <x:v>3</x:v>
      </x:c>
    </x:row>
    <x:row r="8">
      <x:c r="A8" t="n">
        <x:v>7</x:v>
      </x:c>
      <x:c r="B8" t="n">
        <x:v>26</x:v>
      </x:c>
      <x:c r="C8" s="16" t="n">
        <x:v>46201</x:v>
      </x:c>
      <x:c r="D8" t="str">
        <x:v>Payment Failed</x:v>
      </x:c>
      <x:c r="E8" t="str">
        <x:v>Resolved</x:v>
      </x:c>
      <x:c r="F8" t="n">
        <x:v>72</x:v>
      </x:c>
      <x:c r="G8" t="n">
        <x:v>3</x:v>
      </x:c>
    </x:row>
    <x:row r="9">
      <x:c r="A9" t="n">
        <x:v>8</x:v>
      </x:c>
      <x:c r="B9" t="n">
        <x:v>28</x:v>
      </x:c>
      <x:c r="C9" s="16" t="n">
        <x:v>46165</x:v>
      </x:c>
      <x:c r="D9" t="str">
        <x:v>Account Access</x:v>
      </x:c>
      <x:c r="E9" t="str">
        <x:v>Resolved</x:v>
      </x:c>
      <x:c r="F9" t="n">
        <x:v>3</x:v>
      </x:c>
      <x:c r="G9" t="n">
        <x:v>2</x:v>
      </x:c>
    </x:row>
    <x:row r="10">
      <x:c r="A10" t="n">
        <x:v>9</x:v>
      </x:c>
      <x:c r="B10" t="n">
        <x:v>29</x:v>
      </x:c>
      <x:c r="C10" s="16" t="n">
        <x:v>46168</x:v>
      </x:c>
      <x:c r="D10" t="str">
        <x:v>Payment Failed</x:v>
      </x:c>
      <x:c r="E10" t="str">
        <x:v>Resolved</x:v>
      </x:c>
      <x:c r="F10" t="n">
        <x:v>48</x:v>
      </x:c>
      <x:c r="G10" t="n">
        <x:v>1</x:v>
      </x:c>
    </x:row>
    <x:row r="11">
      <x:c r="A11" t="n">
        <x:v>10</x:v>
      </x:c>
      <x:c r="B11" t="n">
        <x:v>31</x:v>
      </x:c>
      <x:c r="C11" s="16" t="n">
        <x:v>46281</x:v>
      </x:c>
      <x:c r="D11" t="str">
        <x:v>Payment Failed</x:v>
      </x:c>
      <x:c r="E11" t="str">
        <x:v>Resolved</x:v>
      </x:c>
      <x:c r="F11" t="n">
        <x:v>24</x:v>
      </x:c>
      <x:c r="G11" t="n">
        <x:v>1</x:v>
      </x:c>
    </x:row>
    <x:row r="12">
      <x:c r="A12" t="n">
        <x:v>11</x:v>
      </x:c>
      <x:c r="B12" t="n">
        <x:v>31</x:v>
      </x:c>
      <x:c r="C12" s="16" t="n">
        <x:v>46197</x:v>
      </x:c>
      <x:c r="D12" t="str">
        <x:v>FX Dispute</x:v>
      </x:c>
      <x:c r="E12" t="str">
        <x:v>Resolved</x:v>
      </x:c>
      <x:c r="F12" t="n">
        <x:v>7</x:v>
      </x:c>
      <x:c r="G12" t="n">
        <x:v>5</x:v>
      </x:c>
    </x:row>
    <x:row r="13">
      <x:c r="A13" t="n">
        <x:v>12</x:v>
      </x:c>
      <x:c r="B13" t="n">
        <x:v>31</x:v>
      </x:c>
      <x:c r="C13" s="16" t="n">
        <x:v>46230</x:v>
      </x:c>
      <x:c r="D13" t="str">
        <x:v>Payment Failed</x:v>
      </x:c>
      <x:c r="E13" t="str">
        <x:v>Resolved</x:v>
      </x:c>
      <x:c r="F13" t="n">
        <x:v>24</x:v>
      </x:c>
      <x:c r="G13" t="n">
        <x:v>2</x:v>
      </x:c>
    </x:row>
    <x:row r="14">
      <x:c r="A14" t="n">
        <x:v>13</x:v>
      </x:c>
      <x:c r="B14" t="n">
        <x:v>35</x:v>
      </x:c>
      <x:c r="C14" s="16" t="n">
        <x:v>46182</x:v>
      </x:c>
      <x:c r="D14" t="str">
        <x:v>Account Access</x:v>
      </x:c>
      <x:c r="E14" t="str">
        <x:v>Resolved</x:v>
      </x:c>
      <x:c r="F14" t="n">
        <x:v>36</x:v>
      </x:c>
      <x:c r="G14" t="n">
        <x:v>4</x:v>
      </x:c>
    </x:row>
    <x:row r="15">
      <x:c r="A15" t="n">
        <x:v>14</x:v>
      </x:c>
      <x:c r="B15" t="n">
        <x:v>42</x:v>
      </x:c>
      <x:c r="C15" s="16" t="n">
        <x:v>46223</x:v>
      </x:c>
      <x:c r="D15" t="str">
        <x:v>FX Dispute</x:v>
      </x:c>
      <x:c r="E15" t="str">
        <x:v>Resolved</x:v>
      </x:c>
      <x:c r="F15" t="n">
        <x:v>72</x:v>
      </x:c>
      <x:c r="G15" t="n">
        <x:v>1</x:v>
      </x:c>
    </x:row>
    <x:row r="16">
      <x:c r="A16" t="n">
        <x:v>15</x:v>
      </x:c>
      <x:c r="B16" t="n">
        <x:v>43</x:v>
      </x:c>
      <x:c r="C16" s="16" t="n">
        <x:v>46176</x:v>
      </x:c>
      <x:c r="D16" t="str">
        <x:v>Card Delivery</x:v>
      </x:c>
      <x:c r="E16" t="str">
        <x:v>Resolved</x:v>
      </x:c>
      <x:c r="F16" t="n">
        <x:v>48</x:v>
      </x:c>
      <x:c r="G16" t="n">
        <x:v>5</x:v>
      </x:c>
    </x:row>
    <x:row r="17">
      <x:c r="A17" t="n">
        <x:v>16</x:v>
      </x:c>
      <x:c r="B17" t="n">
        <x:v>43</x:v>
      </x:c>
      <x:c r="C17" s="16" t="n">
        <x:v>46128</x:v>
      </x:c>
      <x:c r="D17" t="str">
        <x:v>Account Access</x:v>
      </x:c>
      <x:c r="E17" t="str">
        <x:v>Resolved</x:v>
      </x:c>
      <x:c r="F17" t="n">
        <x:v>96</x:v>
      </x:c>
      <x:c r="G17" t="n">
        <x:v>1</x:v>
      </x:c>
    </x:row>
    <x:row r="18">
      <x:c r="A18" t="n">
        <x:v>17</x:v>
      </x:c>
      <x:c r="B18" t="n">
        <x:v>44</x:v>
      </x:c>
      <x:c r="C18" s="16" t="n">
        <x:v>46236</x:v>
      </x:c>
      <x:c r="D18" t="str">
        <x:v>Payment Failed</x:v>
      </x:c>
      <x:c r="E18" t="str">
        <x:v>Resolved</x:v>
      </x:c>
      <x:c r="F18" t="n">
        <x:v>48</x:v>
      </x:c>
      <x:c r="G18" t="n">
        <x:v>3</x:v>
      </x:c>
    </x:row>
    <x:row r="19">
      <x:c r="A19" t="n">
        <x:v>18</x:v>
      </x:c>
      <x:c r="B19" t="n">
        <x:v>44</x:v>
      </x:c>
      <x:c r="C19" s="16" t="n">
        <x:v>46136</x:v>
      </x:c>
      <x:c r="D19" t="str">
        <x:v>FX Dispute</x:v>
      </x:c>
      <x:c r="E19" t="str">
        <x:v>Resolved</x:v>
      </x:c>
      <x:c r="F19" t="n">
        <x:v>36</x:v>
      </x:c>
      <x:c r="G19" t="n">
        <x:v>3</x:v>
      </x:c>
    </x:row>
    <x:row r="20">
      <x:c r="A20" t="n">
        <x:v>19</x:v>
      </x:c>
      <x:c r="B20" t="n">
        <x:v>47</x:v>
      </x:c>
      <x:c r="C20" s="16" t="n">
        <x:v>46154</x:v>
      </x:c>
      <x:c r="D20" t="str">
        <x:v>Card Delivery</x:v>
      </x:c>
      <x:c r="E20" t="str">
        <x:v>Resolved</x:v>
      </x:c>
      <x:c r="F20" t="n">
        <x:v>96</x:v>
      </x:c>
      <x:c r="G20" t="n">
        <x:v>5</x:v>
      </x:c>
    </x:row>
    <x:row r="21">
      <x:c r="A21" t="n">
        <x:v>20</x:v>
      </x:c>
      <x:c r="B21" t="n">
        <x:v>50</x:v>
      </x:c>
      <x:c r="C21" s="16" t="n">
        <x:v>46115</x:v>
      </x:c>
      <x:c r="D21" t="str">
        <x:v>Card Delivery</x:v>
      </x:c>
      <x:c r="E21" t="str">
        <x:v>Resolved</x:v>
      </x:c>
      <x:c r="F21" t="n">
        <x:v>96</x:v>
      </x:c>
      <x:c r="G21" t="n">
        <x:v>1</x:v>
      </x:c>
    </x:row>
    <x:row r="22">
      <x:c r="A22" t="n">
        <x:v>21</x:v>
      </x:c>
      <x:c r="B22" t="n">
        <x:v>58</x:v>
      </x:c>
      <x:c r="C22" s="16" t="n">
        <x:v>46164</x:v>
      </x:c>
      <x:c r="D22" t="str">
        <x:v>Account Access</x:v>
      </x:c>
      <x:c r="E22" t="str">
        <x:v>Resolved</x:v>
      </x:c>
      <x:c r="F22" t="n">
        <x:v>96</x:v>
      </x:c>
      <x:c r="G22" t="n">
        <x:v>1</x:v>
      </x:c>
    </x:row>
    <x:row r="23">
      <x:c r="A23" t="n">
        <x:v>22</x:v>
      </x:c>
      <x:c r="B23" t="n">
        <x:v>58</x:v>
      </x:c>
      <x:c r="C23" s="16" t="n">
        <x:v>46185</x:v>
      </x:c>
      <x:c r="D23" t="str">
        <x:v>Account Access</x:v>
      </x:c>
      <x:c r="E23" t="str">
        <x:v>Resolved</x:v>
      </x:c>
      <x:c r="F23" t="n">
        <x:v>24</x:v>
      </x:c>
      <x:c r="G23" t="n">
        <x:v>3</x:v>
      </x:c>
    </x:row>
    <x:row r="24">
      <x:c r="A24" t="n">
        <x:v>23</x:v>
      </x:c>
      <x:c r="B24" t="n">
        <x:v>62</x:v>
      </x:c>
      <x:c r="C24" s="16" t="n">
        <x:v>46282</x:v>
      </x:c>
      <x:c r="D24" t="str">
        <x:v>Card Delivery</x:v>
      </x:c>
      <x:c r="E24" t="str">
        <x:v>Resolved</x:v>
      </x:c>
      <x:c r="F24" t="n">
        <x:v>3</x:v>
      </x:c>
      <x:c r="G24" t="n">
        <x:v>1</x:v>
      </x:c>
    </x:row>
    <x:row r="25">
      <x:c r="A25" t="n">
        <x:v>24</x:v>
      </x:c>
      <x:c r="B25" t="n">
        <x:v>63</x:v>
      </x:c>
      <x:c r="C25" s="16" t="n">
        <x:v>46170</x:v>
      </x:c>
      <x:c r="D25" t="str">
        <x:v>Payment Failed</x:v>
      </x:c>
      <x:c r="E25" t="str">
        <x:v>Resolved</x:v>
      </x:c>
      <x:c r="F25" t="n">
        <x:v>36</x:v>
      </x:c>
      <x:c r="G25" t="n">
        <x:v>1</x:v>
      </x:c>
    </x:row>
    <x:row r="26">
      <x:c r="A26" t="n">
        <x:v>25</x:v>
      </x:c>
      <x:c r="B26" t="n">
        <x:v>65</x:v>
      </x:c>
      <x:c r="C26" s="16" t="n">
        <x:v>46272</x:v>
      </x:c>
      <x:c r="D26" t="str">
        <x:v>Card Delivery</x:v>
      </x:c>
      <x:c r="E26" t="str">
        <x:v>Resolved</x:v>
      </x:c>
      <x:c r="F26" t="n">
        <x:v>24</x:v>
      </x:c>
      <x:c r="G26" t="n">
        <x:v>3</x:v>
      </x:c>
    </x:row>
    <x:row r="27">
      <x:c r="A27" t="n">
        <x:v>26</x:v>
      </x:c>
      <x:c r="B27" t="n">
        <x:v>66</x:v>
      </x:c>
      <x:c r="C27" s="16" t="n">
        <x:v>46234</x:v>
      </x:c>
      <x:c r="D27" t="str">
        <x:v>Card Delivery</x:v>
      </x:c>
      <x:c r="E27" t="str">
        <x:v>Resolved</x:v>
      </x:c>
      <x:c r="F27" t="n">
        <x:v>48</x:v>
      </x:c>
      <x:c r="G27" t="n">
        <x:v>5</x:v>
      </x:c>
    </x:row>
    <x:row r="28">
      <x:c r="A28" t="n">
        <x:v>27</x:v>
      </x:c>
      <x:c r="B28" t="n">
        <x:v>67</x:v>
      </x:c>
      <x:c r="C28" s="16" t="n">
        <x:v>46149</x:v>
      </x:c>
      <x:c r="D28" t="str">
        <x:v>FX Dispute</x:v>
      </x:c>
      <x:c r="E28" t="str">
        <x:v>Resolved</x:v>
      </x:c>
      <x:c r="F28" t="n">
        <x:v>72</x:v>
      </x:c>
      <x:c r="G28" t="n">
        <x:v>4</x:v>
      </x:c>
    </x:row>
    <x:row r="29">
      <x:c r="A29" t="n">
        <x:v>28</x:v>
      </x:c>
      <x:c r="B29" t="n">
        <x:v>73</x:v>
      </x:c>
      <x:c r="C29" s="16" t="n">
        <x:v>46175</x:v>
      </x:c>
      <x:c r="D29" t="str">
        <x:v>FX Dispute</x:v>
      </x:c>
      <x:c r="E29" t="str">
        <x:v>Open</x:v>
      </x:c>
      <x:c r="F29" t="n">
        <x:v>14</x:v>
      </x:c>
      <x:c r="G29" t="n">
        <x:v>3</x:v>
      </x:c>
    </x:row>
    <x:row r="30">
      <x:c r="A30" t="n">
        <x:v>29</x:v>
      </x:c>
      <x:c r="B30" t="n">
        <x:v>76</x:v>
      </x:c>
      <x:c r="C30" s="16" t="n">
        <x:v>46166</x:v>
      </x:c>
      <x:c r="D30" t="str">
        <x:v>Payment Failed</x:v>
      </x:c>
      <x:c r="E30" t="str">
        <x:v>Open</x:v>
      </x:c>
      <x:c r="F30" t="n">
        <x:v>7</x:v>
      </x:c>
      <x:c r="G30" t="n">
        <x:v>2</x:v>
      </x:c>
    </x:row>
    <x:row r="31">
      <x:c r="A31" t="n">
        <x:v>30</x:v>
      </x:c>
      <x:c r="B31" t="n">
        <x:v>80</x:v>
      </x:c>
      <x:c r="C31" s="16" t="n">
        <x:v>46221</x:v>
      </x:c>
      <x:c r="D31" t="str">
        <x:v>Payment Failed</x:v>
      </x:c>
      <x:c r="E31" t="str">
        <x:v>Resolved</x:v>
      </x:c>
      <x:c r="F31" t="n">
        <x:v>24</x:v>
      </x:c>
      <x:c r="G31" t="n">
        <x:v>2</x:v>
      </x:c>
    </x:row>
    <x:row r="32">
      <x:c r="A32" t="n">
        <x:v>31</x:v>
      </x:c>
      <x:c r="B32" t="n">
        <x:v>80</x:v>
      </x:c>
      <x:c r="C32" s="16" t="n">
        <x:v>46159</x:v>
      </x:c>
      <x:c r="D32" t="str">
        <x:v>Payment Failed</x:v>
      </x:c>
      <x:c r="E32" t="str">
        <x:v>Resolved</x:v>
      </x:c>
      <x:c r="F32" t="n">
        <x:v>14</x:v>
      </x:c>
      <x:c r="G32" t="n">
        <x:v>2</x:v>
      </x:c>
    </x:row>
    <x:row r="33">
      <x:c r="A33" t="n">
        <x:v>32</x:v>
      </x:c>
      <x:c r="B33" t="n">
        <x:v>82</x:v>
      </x:c>
      <x:c r="C33" s="16" t="n">
        <x:v>46230</x:v>
      </x:c>
      <x:c r="D33" t="str">
        <x:v>Payment Failed</x:v>
      </x:c>
      <x:c r="E33" t="str">
        <x:v>Resolved</x:v>
      </x:c>
      <x:c r="F33" t="n">
        <x:v>14</x:v>
      </x:c>
      <x:c r="G33" t="n">
        <x:v>2</x:v>
      </x:c>
    </x:row>
    <x:row r="34">
      <x:c r="A34" t="n">
        <x:v>33</x:v>
      </x:c>
      <x:c r="B34" t="n">
        <x:v>90</x:v>
      </x:c>
      <x:c r="C34" s="16" t="n">
        <x:v>46223</x:v>
      </x:c>
      <x:c r="D34" t="str">
        <x:v>FX Dispute</x:v>
      </x:c>
      <x:c r="E34" t="str">
        <x:v>Resolved</x:v>
      </x:c>
      <x:c r="F34" t="n">
        <x:v>24</x:v>
      </x:c>
      <x:c r="G34" t="n">
        <x:v>3</x:v>
      </x:c>
    </x:row>
    <x:row r="35">
      <x:c r="A35" t="n">
        <x:v>34</x:v>
      </x:c>
      <x:c r="B35" t="n">
        <x:v>91</x:v>
      </x:c>
      <x:c r="C35" s="16" t="n">
        <x:v>46255</x:v>
      </x:c>
      <x:c r="D35" t="str">
        <x:v>FX Dispute</x:v>
      </x:c>
      <x:c r="E35" t="str">
        <x:v>Resolved</x:v>
      </x:c>
      <x:c r="F35" t="n">
        <x:v>24</x:v>
      </x:c>
      <x:c r="G35" t="n">
        <x:v>1</x:v>
      </x:c>
    </x:row>
    <x:row r="36">
      <x:c r="A36" t="n">
        <x:v>35</x:v>
      </x:c>
      <x:c r="B36" t="n">
        <x:v>97</x:v>
      </x:c>
      <x:c r="C36" s="16" t="n">
        <x:v>46206</x:v>
      </x:c>
      <x:c r="D36" t="str">
        <x:v>Account Access</x:v>
      </x:c>
      <x:c r="E36" t="str">
        <x:v>Resolved</x:v>
      </x:c>
      <x:c r="F36" t="n">
        <x:v>48</x:v>
      </x:c>
      <x:c r="G36" t="n">
        <x:v>5</x:v>
      </x:c>
    </x:row>
    <x:row r="37">
      <x:c r="A37" t="n">
        <x:v>36</x:v>
      </x:c>
      <x:c r="B37" t="n">
        <x:v>98</x:v>
      </x:c>
      <x:c r="C37" s="16" t="n">
        <x:v>46290</x:v>
      </x:c>
      <x:c r="D37" t="str">
        <x:v>Account Access</x:v>
      </x:c>
      <x:c r="E37" t="str">
        <x:v>Resolved</x:v>
      </x:c>
      <x:c r="F37" t="n">
        <x:v>96</x:v>
      </x:c>
      <x:c r="G37" t="n">
        <x:v>2</x:v>
      </x:c>
    </x:row>
    <x:row r="38">
      <x:c r="A38" t="n">
        <x:v>37</x:v>
      </x:c>
      <x:c r="B38" t="n">
        <x:v>101</x:v>
      </x:c>
      <x:c r="C38" s="16" t="n">
        <x:v>46248</x:v>
      </x:c>
      <x:c r="D38" t="str">
        <x:v>Card Delivery</x:v>
      </x:c>
      <x:c r="E38" t="str">
        <x:v>Resolved</x:v>
      </x:c>
      <x:c r="F38" t="n">
        <x:v>96</x:v>
      </x:c>
      <x:c r="G38" t="n">
        <x:v>5</x:v>
      </x:c>
    </x:row>
    <x:row r="39">
      <x:c r="A39" t="n">
        <x:v>38</x:v>
      </x:c>
      <x:c r="B39" t="n">
        <x:v>103</x:v>
      </x:c>
      <x:c r="C39" s="16" t="n">
        <x:v>46166</x:v>
      </x:c>
      <x:c r="D39" t="str">
        <x:v>Card Delivery</x:v>
      </x:c>
      <x:c r="E39" t="str">
        <x:v>Resolved</x:v>
      </x:c>
      <x:c r="F39" t="n">
        <x:v>48</x:v>
      </x:c>
      <x:c r="G39" t="n">
        <x:v>5</x:v>
      </x:c>
    </x:row>
    <x:row r="40">
      <x:c r="A40" t="n">
        <x:v>39</x:v>
      </x:c>
      <x:c r="B40" t="n">
        <x:v>103</x:v>
      </x:c>
      <x:c r="C40" s="16" t="n">
        <x:v>46233</x:v>
      </x:c>
      <x:c r="D40" t="str">
        <x:v>FX Dispute</x:v>
      </x:c>
      <x:c r="E40" t="str">
        <x:v>Resolved</x:v>
      </x:c>
      <x:c r="F40" t="n">
        <x:v>72</x:v>
      </x:c>
      <x:c r="G40" t="n">
        <x:v>1</x:v>
      </x:c>
    </x:row>
    <x:row r="41">
      <x:c r="A41" t="n">
        <x:v>40</x:v>
      </x:c>
      <x:c r="B41" t="n">
        <x:v>103</x:v>
      </x:c>
      <x:c r="C41" s="16" t="n">
        <x:v>46200</x:v>
      </x:c>
      <x:c r="D41" t="str">
        <x:v>Other</x:v>
      </x:c>
      <x:c r="E41" t="str">
        <x:v>Resolved</x:v>
      </x:c>
      <x:c r="F41" t="n">
        <x:v>3</x:v>
      </x:c>
      <x:c r="G41" t="n">
        <x:v>4</x:v>
      </x:c>
    </x:row>
    <x:row r="42">
      <x:c r="A42" t="n">
        <x:v>41</x:v>
      </x:c>
      <x:c r="B42" t="n">
        <x:v>104</x:v>
      </x:c>
      <x:c r="C42" s="16" t="n">
        <x:v>46201</x:v>
      </x:c>
      <x:c r="D42" t="str">
        <x:v>FX Dispute</x:v>
      </x:c>
      <x:c r="E42" t="str">
        <x:v>Resolved</x:v>
      </x:c>
      <x:c r="F42" t="n">
        <x:v>96</x:v>
      </x:c>
      <x:c r="G42" t="n">
        <x:v>1</x:v>
      </x:c>
    </x:row>
    <x:row r="43">
      <x:c r="A43" t="n">
        <x:v>42</x:v>
      </x:c>
      <x:c r="B43" t="n">
        <x:v>104</x:v>
      </x:c>
      <x:c r="C43" s="16" t="n">
        <x:v>46278</x:v>
      </x:c>
      <x:c r="D43" t="str">
        <x:v>Payment Failed</x:v>
      </x:c>
      <x:c r="E43" t="str">
        <x:v>Resolved</x:v>
      </x:c>
      <x:c r="F43" t="n">
        <x:v>48</x:v>
      </x:c>
      <x:c r="G43" t="n">
        <x:v>2</x:v>
      </x:c>
    </x:row>
    <x:row r="44">
      <x:c r="A44" t="n">
        <x:v>43</x:v>
      </x:c>
      <x:c r="B44" t="n">
        <x:v>105</x:v>
      </x:c>
      <x:c r="C44" s="16" t="n">
        <x:v>46188</x:v>
      </x:c>
      <x:c r="D44" t="str">
        <x:v>Payment Failed</x:v>
      </x:c>
      <x:c r="E44" t="str">
        <x:v>Resolved</x:v>
      </x:c>
      <x:c r="F44" t="n">
        <x:v>96</x:v>
      </x:c>
      <x:c r="G44" t="n">
        <x:v>5</x:v>
      </x:c>
    </x:row>
    <x:row r="45">
      <x:c r="A45" t="n">
        <x:v>44</x:v>
      </x:c>
      <x:c r="B45" t="n">
        <x:v>109</x:v>
      </x:c>
      <x:c r="C45" s="16" t="n">
        <x:v>46270</x:v>
      </x:c>
      <x:c r="D45" t="str">
        <x:v>Account Access</x:v>
      </x:c>
      <x:c r="E45" t="str">
        <x:v>Resolved</x:v>
      </x:c>
      <x:c r="F45" t="n">
        <x:v>24</x:v>
      </x:c>
      <x:c r="G45" t="n">
        <x:v>1</x:v>
      </x:c>
    </x:row>
    <x:row r="46">
      <x:c r="A46" t="n">
        <x:v>45</x:v>
      </x:c>
      <x:c r="B46" t="n">
        <x:v>111</x:v>
      </x:c>
      <x:c r="C46" s="16" t="n">
        <x:v>46273</x:v>
      </x:c>
      <x:c r="D46" t="str">
        <x:v>Card Delivery</x:v>
      </x:c>
      <x:c r="E46" t="str">
        <x:v>Resolved</x:v>
      </x:c>
      <x:c r="F46" t="n">
        <x:v>3</x:v>
      </x:c>
      <x:c r="G46" t="n">
        <x:v>4</x:v>
      </x:c>
    </x:row>
    <x:row r="47">
      <x:c r="A47" t="n">
        <x:v>46</x:v>
      </x:c>
      <x:c r="B47" t="n">
        <x:v>118</x:v>
      </x:c>
      <x:c r="C47" s="16" t="n">
        <x:v>46131</x:v>
      </x:c>
      <x:c r="D47" t="str">
        <x:v>Payment Failed</x:v>
      </x:c>
      <x:c r="E47" t="str">
        <x:v>Resolved</x:v>
      </x:c>
      <x:c r="F47" t="n">
        <x:v>24</x:v>
      </x:c>
      <x:c r="G47" t="n">
        <x:v>2</x:v>
      </x:c>
    </x:row>
    <x:row r="48">
      <x:c r="A48" t="n">
        <x:v>47</x:v>
      </x:c>
      <x:c r="B48" t="n">
        <x:v>119</x:v>
      </x:c>
      <x:c r="C48" s="16" t="n">
        <x:v>46154</x:v>
      </x:c>
      <x:c r="D48" t="str">
        <x:v>Account Access</x:v>
      </x:c>
      <x:c r="E48" t="str">
        <x:v>Resolved</x:v>
      </x:c>
      <x:c r="F48" t="n">
        <x:v>48</x:v>
      </x:c>
      <x:c r="G48" t="n">
        <x:v>1</x:v>
      </x:c>
    </x:row>
    <x:row r="49">
      <x:c r="A49" t="n">
        <x:v>48</x:v>
      </x:c>
      <x:c r="B49" t="n">
        <x:v>120</x:v>
      </x:c>
      <x:c r="C49" s="16" t="n">
        <x:v>46117</x:v>
      </x:c>
      <x:c r="D49" t="str">
        <x:v>Other</x:v>
      </x:c>
      <x:c r="E49" t="str">
        <x:v>Resolved</x:v>
      </x:c>
      <x:c r="F49" t="n">
        <x:v>7</x:v>
      </x:c>
      <x:c r="G49" t="n">
        <x:v>4</x:v>
      </x:c>
    </x:row>
    <x:row r="50">
      <x:c r="A50" t="n">
        <x:v>49</x:v>
      </x:c>
      <x:c r="B50" t="n">
        <x:v>123</x:v>
      </x:c>
      <x:c r="C50" s="16" t="n">
        <x:v>46200</x:v>
      </x:c>
      <x:c r="D50" t="str">
        <x:v>Payment Failed</x:v>
      </x:c>
      <x:c r="E50" t="str">
        <x:v>Resolved</x:v>
      </x:c>
      <x:c r="F50" t="n">
        <x:v>24</x:v>
      </x:c>
      <x:c r="G50" t="n">
        <x:v>5</x:v>
      </x:c>
    </x:row>
    <x:row r="51">
      <x:c r="A51" t="n">
        <x:v>50</x:v>
      </x:c>
      <x:c r="B51" t="n">
        <x:v>126</x:v>
      </x:c>
      <x:c r="C51" s="16" t="n">
        <x:v>46185</x:v>
      </x:c>
      <x:c r="D51" t="str">
        <x:v>Account Access</x:v>
      </x:c>
      <x:c r="E51" t="str">
        <x:v>Resolved</x:v>
      </x:c>
      <x:c r="F51" t="n">
        <x:v>36</x:v>
      </x:c>
      <x:c r="G51" t="n">
        <x:v>5</x:v>
      </x:c>
    </x:row>
    <x:row r="52">
      <x:c r="A52" t="n">
        <x:v>51</x:v>
      </x:c>
      <x:c r="B52" t="n">
        <x:v>126</x:v>
      </x:c>
      <x:c r="C52" s="16" t="n">
        <x:v>46264</x:v>
      </x:c>
      <x:c r="D52" t="str">
        <x:v>Other</x:v>
      </x:c>
      <x:c r="E52" t="str">
        <x:v>Resolved</x:v>
      </x:c>
      <x:c r="F52" t="n">
        <x:v>24</x:v>
      </x:c>
      <x:c r="G52" t="n">
        <x:v>5</x:v>
      </x:c>
    </x:row>
    <x:row r="53">
      <x:c r="A53" t="n">
        <x:v>52</x:v>
      </x:c>
      <x:c r="B53" t="n">
        <x:v>128</x:v>
      </x:c>
      <x:c r="C53" s="16" t="n">
        <x:v>46239</x:v>
      </x:c>
      <x:c r="D53" t="str">
        <x:v>Payment Failed</x:v>
      </x:c>
      <x:c r="E53" t="str">
        <x:v>Resolved</x:v>
      </x:c>
      <x:c r="F53" t="n">
        <x:v>24</x:v>
      </x:c>
      <x:c r="G53" t="n">
        <x:v>1</x:v>
      </x:c>
    </x:row>
    <x:row r="54">
      <x:c r="A54" t="n">
        <x:v>53</x:v>
      </x:c>
      <x:c r="B54" t="n">
        <x:v>128</x:v>
      </x:c>
      <x:c r="C54" s="16" t="n">
        <x:v>46180</x:v>
      </x:c>
      <x:c r="D54" t="str">
        <x:v>Account Access</x:v>
      </x:c>
      <x:c r="E54" t="str">
        <x:v>Resolved</x:v>
      </x:c>
      <x:c r="F54" t="n">
        <x:v>36</x:v>
      </x:c>
      <x:c r="G54" t="n">
        <x:v>3</x:v>
      </x:c>
    </x:row>
    <x:row r="55">
      <x:c r="A55" t="n">
        <x:v>54</x:v>
      </x:c>
      <x:c r="B55" t="n">
        <x:v>132</x:v>
      </x:c>
      <x:c r="C55" s="16" t="n">
        <x:v>46242</x:v>
      </x:c>
      <x:c r="D55" t="str">
        <x:v>Payment Failed</x:v>
      </x:c>
      <x:c r="E55" t="str">
        <x:v>Resolved</x:v>
      </x:c>
      <x:c r="F55" t="n">
        <x:v>7</x:v>
      </x:c>
      <x:c r="G55" t="n">
        <x:v>5</x:v>
      </x:c>
    </x:row>
    <x:row r="56">
      <x:c r="A56" t="n">
        <x:v>55</x:v>
      </x:c>
      <x:c r="B56" t="n">
        <x:v>137</x:v>
      </x:c>
      <x:c r="C56" s="16" t="n">
        <x:v>46256</x:v>
      </x:c>
      <x:c r="D56" t="str">
        <x:v>Account Access</x:v>
      </x:c>
      <x:c r="E56" t="str">
        <x:v>Open</x:v>
      </x:c>
      <x:c r="F56" t="n">
        <x:v>24</x:v>
      </x:c>
      <x:c r="G56" t="n">
        <x:v>5</x:v>
      </x:c>
    </x:row>
    <x:row r="57">
      <x:c r="A57" t="n">
        <x:v>56</x:v>
      </x:c>
      <x:c r="B57" t="n">
        <x:v>139</x:v>
      </x:c>
      <x:c r="C57" s="16" t="n">
        <x:v>46192</x:v>
      </x:c>
      <x:c r="D57" t="str">
        <x:v>Account Access</x:v>
      </x:c>
      <x:c r="E57" t="str">
        <x:v>Resolved</x:v>
      </x:c>
      <x:c r="F57" t="n">
        <x:v>48</x:v>
      </x:c>
      <x:c r="G57" t="n">
        <x:v>2</x:v>
      </x:c>
    </x:row>
    <x:row r="58">
      <x:c r="A58" t="n">
        <x:v>57</x:v>
      </x:c>
      <x:c r="B58" t="n">
        <x:v>141</x:v>
      </x:c>
      <x:c r="C58" s="16" t="n">
        <x:v>46217</x:v>
      </x:c>
      <x:c r="D58" t="str">
        <x:v>FX Dispute</x:v>
      </x:c>
      <x:c r="E58" t="str">
        <x:v>Resolved</x:v>
      </x:c>
      <x:c r="F58" t="n">
        <x:v>72</x:v>
      </x:c>
      <x:c r="G58" t="n">
        <x:v>1</x:v>
      </x:c>
    </x:row>
    <x:row r="59">
      <x:c r="A59" t="n">
        <x:v>58</x:v>
      </x:c>
      <x:c r="B59" t="n">
        <x:v>141</x:v>
      </x:c>
      <x:c r="C59" s="16" t="n">
        <x:v>46121</x:v>
      </x:c>
      <x:c r="D59" t="str">
        <x:v>Other</x:v>
      </x:c>
      <x:c r="E59" t="str">
        <x:v>Resolved</x:v>
      </x:c>
      <x:c r="F59" t="n">
        <x:v>96</x:v>
      </x:c>
      <x:c r="G59" t="n">
        <x:v>3</x:v>
      </x:c>
    </x:row>
    <x:row r="60">
      <x:c r="A60" t="n">
        <x:v>59</x:v>
      </x:c>
      <x:c r="B60" t="n">
        <x:v>150</x:v>
      </x:c>
      <x:c r="C60" s="16" t="n">
        <x:v>46192</x:v>
      </x:c>
      <x:c r="D60" t="str">
        <x:v>Account Access</x:v>
      </x:c>
      <x:c r="E60" t="str">
        <x:v>Resolved</x:v>
      </x:c>
      <x:c r="F60" t="n">
        <x:v>7</x:v>
      </x:c>
      <x:c r="G60" t="n">
        <x:v>4</x:v>
      </x:c>
    </x:row>
    <x:row r="61">
      <x:c r="A61" t="n">
        <x:v>60</x:v>
      </x:c>
      <x:c r="B61" t="n">
        <x:v>152</x:v>
      </x:c>
      <x:c r="C61" s="16" t="n">
        <x:v>46157</x:v>
      </x:c>
      <x:c r="D61" t="str">
        <x:v>FX Dispute</x:v>
      </x:c>
      <x:c r="E61" t="str">
        <x:v>Resolved</x:v>
      </x:c>
      <x:c r="F61" t="n">
        <x:v>3</x:v>
      </x:c>
      <x:c r="G61" t="n">
        <x:v>5</x:v>
      </x:c>
    </x:row>
    <x:row r="62">
      <x:c r="A62" t="n">
        <x:v>61</x:v>
      </x:c>
      <x:c r="B62" t="n">
        <x:v>155</x:v>
      </x:c>
      <x:c r="C62" s="16" t="n">
        <x:v>46180</x:v>
      </x:c>
      <x:c r="D62" t="str">
        <x:v>Card Delivery</x:v>
      </x:c>
      <x:c r="E62" t="str">
        <x:v>Resolved</x:v>
      </x:c>
      <x:c r="F62" t="n">
        <x:v>14</x:v>
      </x:c>
      <x:c r="G62" t="n">
        <x:v>4</x:v>
      </x:c>
    </x:row>
    <x:row r="63">
      <x:c r="A63" t="n">
        <x:v>62</x:v>
      </x:c>
      <x:c r="B63" t="n">
        <x:v>157</x:v>
      </x:c>
      <x:c r="C63" s="16" t="n">
        <x:v>46173</x:v>
      </x:c>
      <x:c r="D63" t="str">
        <x:v>Payment Failed</x:v>
      </x:c>
      <x:c r="E63" t="str">
        <x:v>Open</x:v>
      </x:c>
      <x:c r="F63" t="n">
        <x:v>24</x:v>
      </x:c>
      <x:c r="G63" t="n">
        <x:v>5</x:v>
      </x:c>
    </x:row>
    <x:row r="64">
      <x:c r="A64" t="n">
        <x:v>63</x:v>
      </x:c>
      <x:c r="B64" t="n">
        <x:v>159</x:v>
      </x:c>
      <x:c r="C64" s="16" t="n">
        <x:v>46244</x:v>
      </x:c>
      <x:c r="D64" t="str">
        <x:v>FX Dispute</x:v>
      </x:c>
      <x:c r="E64" t="str">
        <x:v>Resolved</x:v>
      </x:c>
      <x:c r="F64" t="n">
        <x:v>36</x:v>
      </x:c>
      <x:c r="G64" t="n">
        <x:v>5</x:v>
      </x:c>
    </x:row>
    <x:row r="65">
      <x:c r="A65" t="n">
        <x:v>64</x:v>
      </x:c>
      <x:c r="B65" t="n">
        <x:v>159</x:v>
      </x:c>
      <x:c r="C65" s="16" t="n">
        <x:v>46265</x:v>
      </x:c>
      <x:c r="D65" t="str">
        <x:v>FX Dispute</x:v>
      </x:c>
      <x:c r="E65" t="str">
        <x:v>Resolved</x:v>
      </x:c>
      <x:c r="F65" t="n">
        <x:v>48</x:v>
      </x:c>
      <x:c r="G65" t="n">
        <x:v>2</x:v>
      </x:c>
    </x:row>
    <x:row r="66">
      <x:c r="A66" t="n">
        <x:v>65</x:v>
      </x:c>
      <x:c r="B66" t="n">
        <x:v>161</x:v>
      </x:c>
      <x:c r="C66" s="16" t="n">
        <x:v>46146</x:v>
      </x:c>
      <x:c r="D66" t="str">
        <x:v>Account Access</x:v>
      </x:c>
      <x:c r="E66" t="str">
        <x:v>Resolved</x:v>
      </x:c>
      <x:c r="F66" t="n">
        <x:v>3</x:v>
      </x:c>
      <x:c r="G66" t="n">
        <x:v>2</x:v>
      </x:c>
    </x:row>
    <x:row r="67">
      <x:c r="A67" t="n">
        <x:v>66</x:v>
      </x:c>
      <x:c r="B67" t="n">
        <x:v>161</x:v>
      </x:c>
      <x:c r="C67" s="16" t="n">
        <x:v>46208</x:v>
      </x:c>
      <x:c r="D67" t="str">
        <x:v>FX Dispute</x:v>
      </x:c>
      <x:c r="E67" t="str">
        <x:v>Resolved</x:v>
      </x:c>
      <x:c r="F67" t="n">
        <x:v>72</x:v>
      </x:c>
      <x:c r="G67" t="n">
        <x:v>3</x:v>
      </x:c>
    </x:row>
    <x:row r="68">
      <x:c r="A68" t="n">
        <x:v>67</x:v>
      </x:c>
      <x:c r="B68" t="n">
        <x:v>162</x:v>
      </x:c>
      <x:c r="C68" s="16" t="n">
        <x:v>46231</x:v>
      </x:c>
      <x:c r="D68" t="str">
        <x:v>FX Dispute</x:v>
      </x:c>
      <x:c r="E68" t="str">
        <x:v>Resolved</x:v>
      </x:c>
      <x:c r="F68" t="n">
        <x:v>7</x:v>
      </x:c>
      <x:c r="G68" t="n">
        <x:v>1</x:v>
      </x:c>
    </x:row>
    <x:row r="69">
      <x:c r="A69" t="n">
        <x:v>68</x:v>
      </x:c>
      <x:c r="B69" t="n">
        <x:v>166</x:v>
      </x:c>
      <x:c r="C69" s="16" t="n">
        <x:v>46268</x:v>
      </x:c>
      <x:c r="D69" t="str">
        <x:v>Account Access</x:v>
      </x:c>
      <x:c r="E69" t="str">
        <x:v>Resolved</x:v>
      </x:c>
      <x:c r="F69" t="n">
        <x:v>48</x:v>
      </x:c>
      <x:c r="G69" t="n">
        <x:v>1</x:v>
      </x:c>
    </x:row>
    <x:row r="70">
      <x:c r="A70" t="n">
        <x:v>69</x:v>
      </x:c>
      <x:c r="B70" t="n">
        <x:v>167</x:v>
      </x:c>
      <x:c r="C70" s="16" t="n">
        <x:v>46254</x:v>
      </x:c>
      <x:c r="D70" t="str">
        <x:v>Payment Failed</x:v>
      </x:c>
      <x:c r="E70" t="str">
        <x:v>Resolved</x:v>
      </x:c>
      <x:c r="F70" t="n">
        <x:v>72</x:v>
      </x:c>
      <x:c r="G70" t="n">
        <x:v>4</x:v>
      </x:c>
    </x:row>
    <x:row r="71">
      <x:c r="A71" t="n">
        <x:v>70</x:v>
      </x:c>
      <x:c r="B71" t="n">
        <x:v>167</x:v>
      </x:c>
      <x:c r="C71" s="16" t="n">
        <x:v>46173</x:v>
      </x:c>
      <x:c r="D71" t="str">
        <x:v>Card Delivery</x:v>
      </x:c>
      <x:c r="E71" t="str">
        <x:v>Resolved</x:v>
      </x:c>
      <x:c r="F71" t="n">
        <x:v>96</x:v>
      </x:c>
      <x:c r="G71" t="n">
        <x:v>5</x:v>
      </x:c>
    </x:row>
    <x:row r="72">
      <x:c r="A72" t="n">
        <x:v>71</x:v>
      </x:c>
      <x:c r="B72" t="n">
        <x:v>168</x:v>
      </x:c>
      <x:c r="C72" s="16" t="n">
        <x:v>46284</x:v>
      </x:c>
      <x:c r="D72" t="str">
        <x:v>Account Access</x:v>
      </x:c>
      <x:c r="E72" t="str">
        <x:v>Resolved</x:v>
      </x:c>
      <x:c r="F72" t="n">
        <x:v>36</x:v>
      </x:c>
      <x:c r="G72" t="n">
        <x:v>4</x:v>
      </x:c>
    </x:row>
    <x:row r="73">
      <x:c r="A73" t="n">
        <x:v>72</x:v>
      </x:c>
      <x:c r="B73" t="n">
        <x:v>176</x:v>
      </x:c>
      <x:c r="C73" s="16" t="n">
        <x:v>46271</x:v>
      </x:c>
      <x:c r="D73" t="str">
        <x:v>Card Delivery</x:v>
      </x:c>
      <x:c r="E73" t="str">
        <x:v>Resolved</x:v>
      </x:c>
      <x:c r="F73" t="n">
        <x:v>14</x:v>
      </x:c>
      <x:c r="G73" t="n">
        <x:v>4</x:v>
      </x:c>
    </x:row>
    <x:row r="74">
      <x:c r="A74" t="n">
        <x:v>73</x:v>
      </x:c>
      <x:c r="B74" t="n">
        <x:v>177</x:v>
      </x:c>
      <x:c r="C74" s="16" t="n">
        <x:v>46142</x:v>
      </x:c>
      <x:c r="D74" t="str">
        <x:v>Card Delivery</x:v>
      </x:c>
      <x:c r="E74" t="str">
        <x:v>Resolved</x:v>
      </x:c>
      <x:c r="F74" t="n">
        <x:v>14</x:v>
      </x:c>
      <x:c r="G74" t="n">
        <x:v>1</x:v>
      </x:c>
    </x:row>
    <x:row r="75">
      <x:c r="A75" t="n">
        <x:v>74</x:v>
      </x:c>
      <x:c r="B75" t="n">
        <x:v>183</x:v>
      </x:c>
      <x:c r="C75" s="16" t="n">
        <x:v>46147</x:v>
      </x:c>
      <x:c r="D75" t="str">
        <x:v>Other</x:v>
      </x:c>
      <x:c r="E75" t="str">
        <x:v>Resolved</x:v>
      </x:c>
      <x:c r="F75" t="n">
        <x:v>3</x:v>
      </x:c>
      <x:c r="G75" t="n">
        <x:v>4</x:v>
      </x:c>
    </x:row>
    <x:row r="76">
      <x:c r="A76" t="n">
        <x:v>75</x:v>
      </x:c>
      <x:c r="B76" t="n">
        <x:v>185</x:v>
      </x:c>
      <x:c r="C76" s="16" t="n">
        <x:v>46141</x:v>
      </x:c>
      <x:c r="D76" t="str">
        <x:v>Other</x:v>
      </x:c>
      <x:c r="E76" t="str">
        <x:v>Resolved</x:v>
      </x:c>
      <x:c r="F76" t="n">
        <x:v>24</x:v>
      </x:c>
      <x:c r="G76" t="n">
        <x:v>4</x:v>
      </x:c>
    </x:row>
    <x:row r="77">
      <x:c r="A77" t="n">
        <x:v>76</x:v>
      </x:c>
      <x:c r="B77" t="n">
        <x:v>189</x:v>
      </x:c>
      <x:c r="C77" s="16" t="n">
        <x:v>46172</x:v>
      </x:c>
      <x:c r="D77" t="str">
        <x:v>FX Dispute</x:v>
      </x:c>
      <x:c r="E77" t="str">
        <x:v>Open</x:v>
      </x:c>
      <x:c r="F77" t="n">
        <x:v>72</x:v>
      </x:c>
      <x:c r="G77" t="n">
        <x:v>3</x:v>
      </x:c>
    </x:row>
    <x:row r="78">
      <x:c r="A78" t="n">
        <x:v>77</x:v>
      </x:c>
      <x:c r="B78" t="n">
        <x:v>189</x:v>
      </x:c>
      <x:c r="C78" s="16" t="n">
        <x:v>46230</x:v>
      </x:c>
      <x:c r="D78" t="str">
        <x:v>Payment Failed</x:v>
      </x:c>
      <x:c r="E78" t="str">
        <x:v>Resolved</x:v>
      </x:c>
      <x:c r="F78" t="n">
        <x:v>96</x:v>
      </x:c>
      <x:c r="G78" t="n">
        <x:v>2</x:v>
      </x:c>
    </x:row>
    <x:row r="79">
      <x:c r="A79" t="n">
        <x:v>78</x:v>
      </x:c>
      <x:c r="B79" t="n">
        <x:v>189</x:v>
      </x:c>
      <x:c r="C79" s="16" t="n">
        <x:v>46192</x:v>
      </x:c>
      <x:c r="D79" t="str">
        <x:v>Other</x:v>
      </x:c>
      <x:c r="E79" t="str">
        <x:v>Resolved</x:v>
      </x:c>
      <x:c r="F79" t="n">
        <x:v>3</x:v>
      </x:c>
      <x:c r="G79" t="n">
        <x:v>3</x:v>
      </x:c>
    </x:row>
    <x:row r="80">
      <x:c r="A80" t="n">
        <x:v>79</x:v>
      </x:c>
      <x:c r="B80" t="n">
        <x:v>190</x:v>
      </x:c>
      <x:c r="C80" s="16" t="n">
        <x:v>46187</x:v>
      </x:c>
      <x:c r="D80" t="str">
        <x:v>Card Delivery</x:v>
      </x:c>
      <x:c r="E80" t="str">
        <x:v>Resolved</x:v>
      </x:c>
      <x:c r="F80" t="n">
        <x:v>36</x:v>
      </x:c>
      <x:c r="G80" t="n">
        <x:v>2</x:v>
      </x:c>
    </x:row>
    <x:row r="81">
      <x:c r="A81" t="n">
        <x:v>80</x:v>
      </x:c>
      <x:c r="B81" t="n">
        <x:v>196</x:v>
      </x:c>
      <x:c r="C81" s="16" t="n">
        <x:v>46125</x:v>
      </x:c>
      <x:c r="D81" t="str">
        <x:v>Account Access</x:v>
      </x:c>
      <x:c r="E81" t="str">
        <x:v>Resolved</x:v>
      </x:c>
      <x:c r="F81" t="n">
        <x:v>14</x:v>
      </x:c>
      <x:c r="G81" t="n">
        <x:v>1</x:v>
      </x:c>
    </x:row>
    <x:row r="82">
      <x:c r="A82" t="n">
        <x:v>81</x:v>
      </x:c>
      <x:c r="B82" t="n">
        <x:v>197</x:v>
      </x:c>
      <x:c r="C82" s="16" t="n">
        <x:v>46225</x:v>
      </x:c>
      <x:c r="D82" t="str">
        <x:v>FX Dispute</x:v>
      </x:c>
      <x:c r="E82" t="str">
        <x:v>Resolved</x:v>
      </x:c>
      <x:c r="F82" t="n">
        <x:v>48</x:v>
      </x:c>
      <x:c r="G82" t="n">
        <x:v>5</x:v>
      </x:c>
    </x:row>
    <x:row r="83">
      <x:c r="A83" t="n">
        <x:v>82</x:v>
      </x:c>
      <x:c r="B83" t="n">
        <x:v>199</x:v>
      </x:c>
      <x:c r="C83" s="16" t="n">
        <x:v>46144</x:v>
      </x:c>
      <x:c r="D83" t="str">
        <x:v>Account Access</x:v>
      </x:c>
      <x:c r="E83" t="str">
        <x:v>Resolved</x:v>
      </x:c>
      <x:c r="F83" t="n">
        <x:v>24</x:v>
      </x:c>
      <x:c r="G83" t="n">
        <x:v>3</x:v>
      </x:c>
    </x:row>
    <x:row r="84">
      <x:c r="A84" t="n">
        <x:v>83</x:v>
      </x:c>
      <x:c r="B84" t="n">
        <x:v>200</x:v>
      </x:c>
      <x:c r="C84" s="16" t="n">
        <x:v>46264</x:v>
      </x:c>
      <x:c r="D84" t="str">
        <x:v>Payment Failed</x:v>
      </x:c>
      <x:c r="E84" t="str">
        <x:v>Resolved</x:v>
      </x:c>
      <x:c r="F84" t="n">
        <x:v>7</x:v>
      </x:c>
      <x:c r="G84" t="n">
        <x:v>2</x:v>
      </x:c>
    </x:row>
    <x:row r="85">
      <x:c r="A85" t="n">
        <x:v>84</x:v>
      </x:c>
      <x:c r="B85" t="n">
        <x:v>200</x:v>
      </x:c>
      <x:c r="C85" s="16" t="n">
        <x:v>46249</x:v>
      </x:c>
      <x:c r="D85" t="str">
        <x:v>FX Dispute</x:v>
      </x:c>
      <x:c r="E85" t="str">
        <x:v>Resolved</x:v>
      </x:c>
      <x:c r="F85" t="n">
        <x:v>48</x:v>
      </x:c>
      <x:c r="G85" t="n">
        <x:v>1</x:v>
      </x:c>
    </x:row>
    <x:row r="86">
      <x:c r="A86" t="n">
        <x:v>85</x:v>
      </x:c>
      <x:c r="B86" t="n">
        <x:v>201</x:v>
      </x:c>
      <x:c r="C86" s="16" t="n">
        <x:v>46204</x:v>
      </x:c>
      <x:c r="D86" t="str">
        <x:v>FX Dispute</x:v>
      </x:c>
      <x:c r="E86" t="str">
        <x:v>Open</x:v>
      </x:c>
      <x:c r="F86" t="n">
        <x:v>24</x:v>
      </x:c>
      <x:c r="G86" t="n">
        <x:v>4</x:v>
      </x:c>
    </x:row>
    <x:row r="87">
      <x:c r="A87" t="n">
        <x:v>86</x:v>
      </x:c>
      <x:c r="B87" t="n">
        <x:v>208</x:v>
      </x:c>
      <x:c r="C87" s="16" t="n">
        <x:v>46281</x:v>
      </x:c>
      <x:c r="D87" t="str">
        <x:v>Account Access</x:v>
      </x:c>
      <x:c r="E87" t="str">
        <x:v>Resolved</x:v>
      </x:c>
      <x:c r="F87" t="n">
        <x:v>24</x:v>
      </x:c>
      <x:c r="G87" t="n">
        <x:v>4</x:v>
      </x:c>
    </x:row>
    <x:row r="88">
      <x:c r="A88" t="n">
        <x:v>87</x:v>
      </x:c>
      <x:c r="B88" t="n">
        <x:v>208</x:v>
      </x:c>
      <x:c r="C88" s="16" t="n">
        <x:v>46196</x:v>
      </x:c>
      <x:c r="D88" t="str">
        <x:v>Card Delivery</x:v>
      </x:c>
      <x:c r="E88" t="str">
        <x:v>Open</x:v>
      </x:c>
      <x:c r="F88" t="n">
        <x:v>72</x:v>
      </x:c>
      <x:c r="G88" t="n">
        <x:v>1</x:v>
      </x:c>
    </x:row>
    <x:row r="89">
      <x:c r="A89" t="n">
        <x:v>88</x:v>
      </x:c>
      <x:c r="B89" t="n">
        <x:v>213</x:v>
      </x:c>
      <x:c r="C89" s="16" t="n">
        <x:v>46124</x:v>
      </x:c>
      <x:c r="D89" t="str">
        <x:v>Account Access</x:v>
      </x:c>
      <x:c r="E89" t="str">
        <x:v>Resolved</x:v>
      </x:c>
      <x:c r="F89" t="n">
        <x:v>96</x:v>
      </x:c>
      <x:c r="G89" t="n">
        <x:v>5</x:v>
      </x:c>
    </x:row>
    <x:row r="90">
      <x:c r="A90" t="n">
        <x:v>89</x:v>
      </x:c>
      <x:c r="B90" t="n">
        <x:v>222</x:v>
      </x:c>
      <x:c r="C90" s="16" t="n">
        <x:v>46215</x:v>
      </x:c>
      <x:c r="D90" t="str">
        <x:v>FX Dispute</x:v>
      </x:c>
      <x:c r="E90" t="str">
        <x:v>Resolved</x:v>
      </x:c>
      <x:c r="F90" t="n">
        <x:v>14</x:v>
      </x:c>
      <x:c r="G90" t="n">
        <x:v>3</x:v>
      </x:c>
    </x:row>
    <x:row r="91">
      <x:c r="A91" t="n">
        <x:v>90</x:v>
      </x:c>
      <x:c r="B91" t="n">
        <x:v>223</x:v>
      </x:c>
      <x:c r="C91" s="16" t="n">
        <x:v>46136</x:v>
      </x:c>
      <x:c r="D91" t="str">
        <x:v>FX Dispute</x:v>
      </x:c>
      <x:c r="E91" t="str">
        <x:v>Resolved</x:v>
      </x:c>
      <x:c r="F91" t="n">
        <x:v>24</x:v>
      </x:c>
      <x:c r="G91" t="n">
        <x:v>2</x:v>
      </x:c>
    </x:row>
    <x:row r="92">
      <x:c r="A92" t="n">
        <x:v>91</x:v>
      </x:c>
      <x:c r="B92" t="n">
        <x:v>224</x:v>
      </x:c>
      <x:c r="C92" s="16" t="n">
        <x:v>46192</x:v>
      </x:c>
      <x:c r="D92" t="str">
        <x:v>Account Access</x:v>
      </x:c>
      <x:c r="E92" t="str">
        <x:v>Resolved</x:v>
      </x:c>
      <x:c r="F92" t="n">
        <x:v>14</x:v>
      </x:c>
      <x:c r="G92" t="n">
        <x:v>4</x:v>
      </x:c>
    </x:row>
    <x:row r="93">
      <x:c r="A93" t="n">
        <x:v>92</x:v>
      </x:c>
      <x:c r="B93" t="n">
        <x:v>229</x:v>
      </x:c>
      <x:c r="C93" s="16" t="n">
        <x:v>46184</x:v>
      </x:c>
      <x:c r="D93" t="str">
        <x:v>Card Delivery</x:v>
      </x:c>
      <x:c r="E93" t="str">
        <x:v>Resolved</x:v>
      </x:c>
      <x:c r="F93" t="n">
        <x:v>7</x:v>
      </x:c>
      <x:c r="G93" t="n">
        <x:v>2</x:v>
      </x:c>
    </x:row>
    <x:row r="94">
      <x:c r="A94" t="n">
        <x:v>93</x:v>
      </x:c>
      <x:c r="B94" t="n">
        <x:v>230</x:v>
      </x:c>
      <x:c r="C94" s="16" t="n">
        <x:v>46114</x:v>
      </x:c>
      <x:c r="D94" t="str">
        <x:v>Card Delivery</x:v>
      </x:c>
      <x:c r="E94" t="str">
        <x:v>Resolved</x:v>
      </x:c>
      <x:c r="F94" t="n">
        <x:v>24</x:v>
      </x:c>
      <x:c r="G94" t="n">
        <x:v>5</x:v>
      </x:c>
    </x:row>
    <x:row r="95">
      <x:c r="A95" t="n">
        <x:v>94</x:v>
      </x:c>
      <x:c r="B95" t="n">
        <x:v>230</x:v>
      </x:c>
      <x:c r="C95" s="16" t="n">
        <x:v>46193</x:v>
      </x:c>
      <x:c r="D95" t="str">
        <x:v>Payment Failed</x:v>
      </x:c>
      <x:c r="E95" t="str">
        <x:v>Resolved</x:v>
      </x:c>
      <x:c r="F95" t="n">
        <x:v>48</x:v>
      </x:c>
      <x:c r="G95" t="n">
        <x:v>2</x:v>
      </x:c>
    </x:row>
    <x:row r="96">
      <x:c r="A96" t="n">
        <x:v>95</x:v>
      </x:c>
      <x:c r="B96" t="n">
        <x:v>230</x:v>
      </x:c>
      <x:c r="C96" s="16" t="n">
        <x:v>46188</x:v>
      </x:c>
      <x:c r="D96" t="str">
        <x:v>Other</x:v>
      </x:c>
      <x:c r="E96" t="str">
        <x:v>Resolved</x:v>
      </x:c>
      <x:c r="F96" t="n">
        <x:v>24</x:v>
      </x:c>
      <x:c r="G96" t="n">
        <x:v>5</x:v>
      </x:c>
    </x:row>
    <x:row r="97">
      <x:c r="A97" t="n">
        <x:v>96</x:v>
      </x:c>
      <x:c r="B97" t="n">
        <x:v>231</x:v>
      </x:c>
      <x:c r="C97" s="16" t="n">
        <x:v>46119</x:v>
      </x:c>
      <x:c r="D97" t="str">
        <x:v>Payment Failed</x:v>
      </x:c>
      <x:c r="E97" t="str">
        <x:v>Resolved</x:v>
      </x:c>
      <x:c r="F97" t="n">
        <x:v>14</x:v>
      </x:c>
      <x:c r="G97" t="n">
        <x:v>2</x:v>
      </x:c>
    </x:row>
    <x:row r="98">
      <x:c r="A98" t="n">
        <x:v>97</x:v>
      </x:c>
      <x:c r="B98" t="n">
        <x:v>231</x:v>
      </x:c>
      <x:c r="C98" s="16" t="n">
        <x:v>46198</x:v>
      </x:c>
      <x:c r="D98" t="str">
        <x:v>Account Access</x:v>
      </x:c>
      <x:c r="E98" t="str">
        <x:v>Open</x:v>
      </x:c>
      <x:c r="F98" t="n">
        <x:v>72</x:v>
      </x:c>
      <x:c r="G98" t="n">
        <x:v>4</x:v>
      </x:c>
    </x:row>
    <x:row r="99">
      <x:c r="A99" t="n">
        <x:v>98</x:v>
      </x:c>
      <x:c r="B99" t="n">
        <x:v>231</x:v>
      </x:c>
      <x:c r="C99" s="16" t="n">
        <x:v>46291</x:v>
      </x:c>
      <x:c r="D99" t="str">
        <x:v>Payment Failed</x:v>
      </x:c>
      <x:c r="E99" t="str">
        <x:v>Resolved</x:v>
      </x:c>
      <x:c r="F99" t="n">
        <x:v>96</x:v>
      </x:c>
      <x:c r="G99" t="n">
        <x:v>2</x:v>
      </x:c>
    </x:row>
    <x:row r="100">
      <x:c r="A100" t="n">
        <x:v>99</x:v>
      </x:c>
      <x:c r="B100" t="n">
        <x:v>232</x:v>
      </x:c>
      <x:c r="C100" s="16" t="n">
        <x:v>46208</x:v>
      </x:c>
      <x:c r="D100" t="str">
        <x:v>Payment Failed</x:v>
      </x:c>
      <x:c r="E100" t="str">
        <x:v>Resolved</x:v>
      </x:c>
      <x:c r="F100" t="n">
        <x:v>72</x:v>
      </x:c>
      <x:c r="G100" t="n">
        <x:v>4</x:v>
      </x:c>
    </x:row>
    <x:row r="101">
      <x:c r="A101" t="n">
        <x:v>100</x:v>
      </x:c>
      <x:c r="B101" t="n">
        <x:v>233</x:v>
      </x:c>
      <x:c r="C101" s="16" t="n">
        <x:v>46171</x:v>
      </x:c>
      <x:c r="D101" t="str">
        <x:v>Payment Failed</x:v>
      </x:c>
      <x:c r="E101" t="str">
        <x:v>Resolved</x:v>
      </x:c>
      <x:c r="F101" t="n">
        <x:v>3</x:v>
      </x:c>
      <x:c r="G101" t="n">
        <x:v>5</x:v>
      </x:c>
    </x:row>
    <x:row r="102">
      <x:c r="A102" t="n">
        <x:v>101</x:v>
      </x:c>
      <x:c r="B102" t="n">
        <x:v>239</x:v>
      </x:c>
      <x:c r="C102" s="16" t="n">
        <x:v>46204</x:v>
      </x:c>
      <x:c r="D102" t="str">
        <x:v>Other</x:v>
      </x:c>
      <x:c r="E102" t="str">
        <x:v>Resolved</x:v>
      </x:c>
      <x:c r="F102" t="n">
        <x:v>3</x:v>
      </x:c>
      <x:c r="G102" t="n">
        <x:v>3</x:v>
      </x:c>
    </x:row>
    <x:row r="103">
      <x:c r="A103" t="n">
        <x:v>102</x:v>
      </x:c>
      <x:c r="B103" t="n">
        <x:v>239</x:v>
      </x:c>
      <x:c r="C103" s="16" t="n">
        <x:v>46203</x:v>
      </x:c>
      <x:c r="D103" t="str">
        <x:v>Account Access</x:v>
      </x:c>
      <x:c r="E103" t="str">
        <x:v>Resolved</x:v>
      </x:c>
      <x:c r="F103" t="n">
        <x:v>3</x:v>
      </x:c>
      <x:c r="G103" t="n">
        <x:v>3</x:v>
      </x:c>
    </x:row>
    <x:row r="104">
      <x:c r="A104" t="n">
        <x:v>103</x:v>
      </x:c>
      <x:c r="B104" t="n">
        <x:v>241</x:v>
      </x:c>
      <x:c r="C104" s="16" t="n">
        <x:v>46281</x:v>
      </x:c>
      <x:c r="D104" t="str">
        <x:v>Payment Failed</x:v>
      </x:c>
      <x:c r="E104" t="str">
        <x:v>Resolved</x:v>
      </x:c>
      <x:c r="F104" t="n">
        <x:v>14</x:v>
      </x:c>
      <x:c r="G104" t="n">
        <x:v>2</x:v>
      </x:c>
    </x:row>
    <x:row r="105">
      <x:c r="A105" t="n">
        <x:v>104</x:v>
      </x:c>
      <x:c r="B105" t="n">
        <x:v>243</x:v>
      </x:c>
      <x:c r="C105" s="16" t="n">
        <x:v>46201</x:v>
      </x:c>
      <x:c r="D105" t="str">
        <x:v>Card Delivery</x:v>
      </x:c>
      <x:c r="E105" t="str">
        <x:v>Resolved</x:v>
      </x:c>
      <x:c r="F105" t="n">
        <x:v>48</x:v>
      </x:c>
      <x:c r="G105" t="n">
        <x:v>5</x:v>
      </x:c>
    </x:row>
    <x:row r="106">
      <x:c r="A106" t="n">
        <x:v>105</x:v>
      </x:c>
      <x:c r="B106" t="n">
        <x:v>246</x:v>
      </x:c>
      <x:c r="C106" s="16" t="n">
        <x:v>46239</x:v>
      </x:c>
      <x:c r="D106" t="str">
        <x:v>Payment Failed</x:v>
      </x:c>
      <x:c r="E106" t="str">
        <x:v>Resolved</x:v>
      </x:c>
      <x:c r="F106" t="n">
        <x:v>14</x:v>
      </x:c>
      <x:c r="G106" t="n">
        <x:v>2</x:v>
      </x:c>
    </x:row>
    <x:row r="107">
      <x:c r="A107" t="n">
        <x:v>106</x:v>
      </x:c>
      <x:c r="B107" t="n">
        <x:v>247</x:v>
      </x:c>
      <x:c r="C107" s="16" t="n">
        <x:v>46284</x:v>
      </x:c>
      <x:c r="D107" t="str">
        <x:v>Card Delivery</x:v>
      </x:c>
      <x:c r="E107" t="str">
        <x:v>Resolved</x:v>
      </x:c>
      <x:c r="F107" t="n">
        <x:v>96</x:v>
      </x:c>
      <x:c r="G107" t="n">
        <x:v>1</x:v>
      </x:c>
    </x:row>
    <x:row r="108">
      <x:c r="A108" t="n">
        <x:v>107</x:v>
      </x:c>
      <x:c r="B108" t="n">
        <x:v>247</x:v>
      </x:c>
      <x:c r="C108" s="16" t="n">
        <x:v>46190</x:v>
      </x:c>
      <x:c r="D108" t="str">
        <x:v>Payment Failed</x:v>
      </x:c>
      <x:c r="E108" t="str">
        <x:v>Resolved</x:v>
      </x:c>
      <x:c r="F108" t="n">
        <x:v>96</x:v>
      </x:c>
      <x:c r="G108" t="n">
        <x:v>1</x:v>
      </x:c>
    </x:row>
    <x:row r="109">
      <x:c r="A109" t="n">
        <x:v>108</x:v>
      </x:c>
      <x:c r="B109" t="n">
        <x:v>256</x:v>
      </x:c>
      <x:c r="C109" s="16" t="n">
        <x:v>46122</x:v>
      </x:c>
      <x:c r="D109" t="str">
        <x:v>Account Access</x:v>
      </x:c>
      <x:c r="E109" t="str">
        <x:v>Open</x:v>
      </x:c>
      <x:c r="F109" t="n">
        <x:v>36</x:v>
      </x:c>
      <x:c r="G109" t="n">
        <x:v>5</x:v>
      </x:c>
    </x:row>
    <x:row r="110">
      <x:c r="A110" t="n">
        <x:v>109</x:v>
      </x:c>
      <x:c r="B110" t="n">
        <x:v>264</x:v>
      </x:c>
      <x:c r="C110" s="16" t="n">
        <x:v>46233</x:v>
      </x:c>
      <x:c r="D110" t="str">
        <x:v>Account Access</x:v>
      </x:c>
      <x:c r="E110" t="str">
        <x:v>Resolved</x:v>
      </x:c>
      <x:c r="F110" t="n">
        <x:v>14</x:v>
      </x:c>
      <x:c r="G110" t="n">
        <x:v>2</x:v>
      </x:c>
    </x:row>
    <x:row r="111">
      <x:c r="A111" t="n">
        <x:v>110</x:v>
      </x:c>
      <x:c r="B111" t="n">
        <x:v>264</x:v>
      </x:c>
      <x:c r="C111" s="16" t="n">
        <x:v>46255</x:v>
      </x:c>
      <x:c r="D111" t="str">
        <x:v>Other</x:v>
      </x:c>
      <x:c r="E111" t="str">
        <x:v>Resolved</x:v>
      </x:c>
      <x:c r="F111" t="n">
        <x:v>36</x:v>
      </x:c>
      <x:c r="G111" t="n">
        <x:v>2</x:v>
      </x:c>
    </x:row>
    <x:row r="112">
      <x:c r="A112" t="n">
        <x:v>111</x:v>
      </x:c>
      <x:c r="B112" t="n">
        <x:v>265</x:v>
      </x:c>
      <x:c r="C112" s="16" t="n">
        <x:v>46202</x:v>
      </x:c>
      <x:c r="D112" t="str">
        <x:v>FX Dispute</x:v>
      </x:c>
      <x:c r="E112" t="str">
        <x:v>Resolved</x:v>
      </x:c>
      <x:c r="F112" t="n">
        <x:v>7</x:v>
      </x:c>
      <x:c r="G112" t="n">
        <x:v>5</x:v>
      </x:c>
    </x:row>
    <x:row r="113">
      <x:c r="A113" t="n">
        <x:v>112</x:v>
      </x:c>
      <x:c r="B113" t="n">
        <x:v>266</x:v>
      </x:c>
      <x:c r="C113" s="16" t="n">
        <x:v>46288</x:v>
      </x:c>
      <x:c r="D113" t="str">
        <x:v>Payment Failed</x:v>
      </x:c>
      <x:c r="E113" t="str">
        <x:v>Resolved</x:v>
      </x:c>
      <x:c r="F113" t="n">
        <x:v>7</x:v>
      </x:c>
      <x:c r="G113" t="n">
        <x:v>2</x:v>
      </x:c>
    </x:row>
    <x:row r="114">
      <x:c r="A114" t="n">
        <x:v>113</x:v>
      </x:c>
      <x:c r="B114" t="n">
        <x:v>266</x:v>
      </x:c>
      <x:c r="C114" s="16" t="n">
        <x:v>46195</x:v>
      </x:c>
      <x:c r="D114" t="str">
        <x:v>Card Delivery</x:v>
      </x:c>
      <x:c r="E114" t="str">
        <x:v>Resolved</x:v>
      </x:c>
      <x:c r="F114" t="n">
        <x:v>24</x:v>
      </x:c>
      <x:c r="G114" t="n">
        <x:v>4</x:v>
      </x:c>
    </x:row>
    <x:row r="115">
      <x:c r="A115" t="n">
        <x:v>114</x:v>
      </x:c>
      <x:c r="B115" t="n">
        <x:v>272</x:v>
      </x:c>
      <x:c r="C115" s="16" t="n">
        <x:v>46274</x:v>
      </x:c>
      <x:c r="D115" t="str">
        <x:v>Payment Failed</x:v>
      </x:c>
      <x:c r="E115" t="str">
        <x:v>Resolved</x:v>
      </x:c>
      <x:c r="F115" t="n">
        <x:v>72</x:v>
      </x:c>
      <x:c r="G115" t="n">
        <x:v>2</x:v>
      </x:c>
    </x:row>
    <x:row r="116">
      <x:c r="A116" t="n">
        <x:v>115</x:v>
      </x:c>
      <x:c r="B116" t="n">
        <x:v>276</x:v>
      </x:c>
      <x:c r="C116" s="16" t="n">
        <x:v>46202</x:v>
      </x:c>
      <x:c r="D116" t="str">
        <x:v>Payment Failed</x:v>
      </x:c>
      <x:c r="E116" t="str">
        <x:v>Resolved</x:v>
      </x:c>
      <x:c r="F116" t="n">
        <x:v>96</x:v>
      </x:c>
      <x:c r="G116" t="n">
        <x:v>5</x:v>
      </x:c>
    </x:row>
    <x:row r="117">
      <x:c r="A117" t="n">
        <x:v>116</x:v>
      </x:c>
      <x:c r="B117" t="n">
        <x:v>276</x:v>
      </x:c>
      <x:c r="C117" s="16" t="n">
        <x:v>46157</x:v>
      </x:c>
      <x:c r="D117" t="str">
        <x:v>Other</x:v>
      </x:c>
      <x:c r="E117" t="str">
        <x:v>Resolved</x:v>
      </x:c>
      <x:c r="F117" t="n">
        <x:v>7</x:v>
      </x:c>
      <x:c r="G117" t="n">
        <x:v>1</x:v>
      </x:c>
    </x:row>
    <x:row r="118">
      <x:c r="A118" t="n">
        <x:v>117</x:v>
      </x:c>
      <x:c r="B118" t="n">
        <x:v>280</x:v>
      </x:c>
      <x:c r="C118" s="16" t="n">
        <x:v>46217</x:v>
      </x:c>
      <x:c r="D118" t="str">
        <x:v>Payment Failed</x:v>
      </x:c>
      <x:c r="E118" t="str">
        <x:v>Resolved</x:v>
      </x:c>
      <x:c r="F118" t="n">
        <x:v>36</x:v>
      </x:c>
      <x:c r="G118" t="n">
        <x:v>5</x:v>
      </x:c>
    </x:row>
    <x:row r="119">
      <x:c r="A119" t="n">
        <x:v>118</x:v>
      </x:c>
      <x:c r="B119" t="n">
        <x:v>280</x:v>
      </x:c>
      <x:c r="C119" s="16" t="n">
        <x:v>46164</x:v>
      </x:c>
      <x:c r="D119" t="str">
        <x:v>Account Access</x:v>
      </x:c>
      <x:c r="E119" t="str">
        <x:v>Resolved</x:v>
      </x:c>
      <x:c r="F119" t="n">
        <x:v>24</x:v>
      </x:c>
      <x:c r="G119" t="n">
        <x:v>1</x:v>
      </x:c>
    </x:row>
    <x:row r="120">
      <x:c r="A120" t="n">
        <x:v>119</x:v>
      </x:c>
      <x:c r="B120" t="n">
        <x:v>285</x:v>
      </x:c>
      <x:c r="C120" s="16" t="n">
        <x:v>46187</x:v>
      </x:c>
      <x:c r="D120" t="str">
        <x:v>Payment Failed</x:v>
      </x:c>
      <x:c r="E120" t="str">
        <x:v>Resolved</x:v>
      </x:c>
      <x:c r="F120" t="n">
        <x:v>7</x:v>
      </x:c>
      <x:c r="G120" t="n">
        <x:v>3</x:v>
      </x:c>
    </x:row>
    <x:row r="121">
      <x:c r="A121" t="n">
        <x:v>120</x:v>
      </x:c>
      <x:c r="B121" t="n">
        <x:v>294</x:v>
      </x:c>
      <x:c r="C121" s="16" t="n">
        <x:v>46144</x:v>
      </x:c>
      <x:c r="D121" t="str">
        <x:v>FX Dispute</x:v>
      </x:c>
      <x:c r="E121" t="str">
        <x:v>Resolved</x:v>
      </x:c>
      <x:c r="F121" t="n">
        <x:v>48</x:v>
      </x:c>
      <x:c r="G121" t="n">
        <x:v>3</x:v>
      </x:c>
    </x:row>
    <x:row r="122">
      <x:c r="A122" t="n">
        <x:v>121</x:v>
      </x:c>
      <x:c r="B122" t="n">
        <x:v>294</x:v>
      </x:c>
      <x:c r="C122" s="16" t="n">
        <x:v>46283</x:v>
      </x:c>
      <x:c r="D122" t="str">
        <x:v>Card Delivery</x:v>
      </x:c>
      <x:c r="E122" t="str">
        <x:v>Resolved</x:v>
      </x:c>
      <x:c r="F122" t="n">
        <x:v>72</x:v>
      </x:c>
      <x:c r="G122" t="n">
        <x:v>1</x:v>
      </x:c>
    </x:row>
    <x:row r="123">
      <x:c r="A123" t="n">
        <x:v>122</x:v>
      </x:c>
      <x:c r="B123" t="n">
        <x:v>296</x:v>
      </x:c>
      <x:c r="C123" s="16" t="n">
        <x:v>46154</x:v>
      </x:c>
      <x:c r="D123" t="str">
        <x:v>FX Dispute</x:v>
      </x:c>
      <x:c r="E123" t="str">
        <x:v>Resolved</x:v>
      </x:c>
      <x:c r="F123" t="n">
        <x:v>14</x:v>
      </x:c>
      <x:c r="G123" t="n">
        <x:v>3</x:v>
      </x:c>
    </x:row>
    <x:row r="124">
      <x:c r="A124" t="n">
        <x:v>123</x:v>
      </x:c>
      <x:c r="B124" t="n">
        <x:v>307</x:v>
      </x:c>
      <x:c r="C124" s="16" t="n">
        <x:v>46215</x:v>
      </x:c>
      <x:c r="D124" t="str">
        <x:v>Account Access</x:v>
      </x:c>
      <x:c r="E124" t="str">
        <x:v>Resolved</x:v>
      </x:c>
      <x:c r="F124" t="n">
        <x:v>96</x:v>
      </x:c>
      <x:c r="G124" t="n">
        <x:v>4</x:v>
      </x:c>
    </x:row>
    <x:row r="125">
      <x:c r="A125" t="n">
        <x:v>124</x:v>
      </x:c>
      <x:c r="B125" t="n">
        <x:v>309</x:v>
      </x:c>
      <x:c r="C125" s="16" t="n">
        <x:v>46139</x:v>
      </x:c>
      <x:c r="D125" t="str">
        <x:v>FX Dispute</x:v>
      </x:c>
      <x:c r="E125" t="str">
        <x:v>Resolved</x:v>
      </x:c>
      <x:c r="F125" t="n">
        <x:v>36</x:v>
      </x:c>
      <x:c r="G125" t="n">
        <x:v>5</x:v>
      </x:c>
    </x:row>
    <x:row r="126">
      <x:c r="A126" t="n">
        <x:v>125</x:v>
      </x:c>
      <x:c r="B126" t="n">
        <x:v>310</x:v>
      </x:c>
      <x:c r="C126" s="16" t="n">
        <x:v>46261</x:v>
      </x:c>
      <x:c r="D126" t="str">
        <x:v>FX Dispute</x:v>
      </x:c>
      <x:c r="E126" t="str">
        <x:v>Resolved</x:v>
      </x:c>
      <x:c r="F126" t="n">
        <x:v>14</x:v>
      </x:c>
      <x:c r="G126" t="n">
        <x:v>4</x:v>
      </x:c>
    </x:row>
    <x:row r="127">
      <x:c r="A127" t="n">
        <x:v>126</x:v>
      </x:c>
      <x:c r="B127" t="n">
        <x:v>312</x:v>
      </x:c>
      <x:c r="C127" s="16" t="n">
        <x:v>46193</x:v>
      </x:c>
      <x:c r="D127" t="str">
        <x:v>Account Access</x:v>
      </x:c>
      <x:c r="E127" t="str">
        <x:v>Resolved</x:v>
      </x:c>
      <x:c r="F127" t="n">
        <x:v>14</x:v>
      </x:c>
      <x:c r="G127" t="n">
        <x:v>4</x:v>
      </x:c>
    </x:row>
    <x:row r="128">
      <x:c r="A128" t="n">
        <x:v>127</x:v>
      </x:c>
      <x:c r="B128" t="n">
        <x:v>312</x:v>
      </x:c>
      <x:c r="C128" s="16" t="n">
        <x:v>46253</x:v>
      </x:c>
      <x:c r="D128" t="str">
        <x:v>Account Access</x:v>
      </x:c>
      <x:c r="E128" t="str">
        <x:v>Resolved</x:v>
      </x:c>
      <x:c r="F128" t="n">
        <x:v>7</x:v>
      </x:c>
      <x:c r="G128" t="n">
        <x:v>3</x:v>
      </x:c>
    </x:row>
    <x:row r="129">
      <x:c r="A129" t="n">
        <x:v>128</x:v>
      </x:c>
      <x:c r="B129" t="n">
        <x:v>312</x:v>
      </x:c>
      <x:c r="C129" s="16" t="n">
        <x:v>46291</x:v>
      </x:c>
      <x:c r="D129" t="str">
        <x:v>Account Access</x:v>
      </x:c>
      <x:c r="E129" t="str">
        <x:v>Resolved</x:v>
      </x:c>
      <x:c r="F129" t="n">
        <x:v>14</x:v>
      </x:c>
      <x:c r="G129" t="n">
        <x:v>3</x:v>
      </x:c>
    </x:row>
    <x:row r="130">
      <x:c r="A130" t="n">
        <x:v>129</x:v>
      </x:c>
      <x:c r="B130" t="n">
        <x:v>314</x:v>
      </x:c>
      <x:c r="C130" s="16" t="n">
        <x:v>46113</x:v>
      </x:c>
      <x:c r="D130" t="str">
        <x:v>Other</x:v>
      </x:c>
      <x:c r="E130" t="str">
        <x:v>Resolved</x:v>
      </x:c>
      <x:c r="F130" t="n">
        <x:v>48</x:v>
      </x:c>
      <x:c r="G130" t="n">
        <x:v>3</x:v>
      </x:c>
    </x:row>
    <x:row r="131">
      <x:c r="A131" t="n">
        <x:v>130</x:v>
      </x:c>
      <x:c r="B131" t="n">
        <x:v>320</x:v>
      </x:c>
      <x:c r="C131" s="16" t="n">
        <x:v>46220</x:v>
      </x:c>
      <x:c r="D131" t="str">
        <x:v>FX Dispute</x:v>
      </x:c>
      <x:c r="E131" t="str">
        <x:v>Resolved</x:v>
      </x:c>
      <x:c r="F131" t="n">
        <x:v>36</x:v>
      </x:c>
      <x:c r="G131" t="n">
        <x:v>4</x:v>
      </x:c>
    </x:row>
    <x:row r="132">
      <x:c r="A132" t="n">
        <x:v>131</x:v>
      </x:c>
      <x:c r="B132" t="n">
        <x:v>323</x:v>
      </x:c>
      <x:c r="C132" s="16" t="n">
        <x:v>46235</x:v>
      </x:c>
      <x:c r="D132" t="str">
        <x:v>Account Access</x:v>
      </x:c>
      <x:c r="E132" t="str">
        <x:v>Resolved</x:v>
      </x:c>
      <x:c r="F132" t="n">
        <x:v>14</x:v>
      </x:c>
      <x:c r="G132" t="n">
        <x:v>4</x:v>
      </x:c>
    </x:row>
    <x:row r="133">
      <x:c r="A133" t="n">
        <x:v>132</x:v>
      </x:c>
      <x:c r="B133" t="n">
        <x:v>324</x:v>
      </x:c>
      <x:c r="C133" s="16" t="n">
        <x:v>46244</x:v>
      </x:c>
      <x:c r="D133" t="str">
        <x:v>Payment Failed</x:v>
      </x:c>
      <x:c r="E133" t="str">
        <x:v>Open</x:v>
      </x:c>
      <x:c r="F133" t="n">
        <x:v>24</x:v>
      </x:c>
      <x:c r="G133" t="n">
        <x:v>4</x:v>
      </x:c>
    </x:row>
    <x:row r="134">
      <x:c r="A134" t="n">
        <x:v>133</x:v>
      </x:c>
      <x:c r="B134" t="n">
        <x:v>326</x:v>
      </x:c>
      <x:c r="C134" s="16" t="n">
        <x:v>46141</x:v>
      </x:c>
      <x:c r="D134" t="str">
        <x:v>Payment Failed</x:v>
      </x:c>
      <x:c r="E134" t="str">
        <x:v>Resolved</x:v>
      </x:c>
      <x:c r="F134" t="n">
        <x:v>96</x:v>
      </x:c>
      <x:c r="G134" t="n">
        <x:v>2</x:v>
      </x:c>
    </x:row>
    <x:row r="135">
      <x:c r="A135" t="n">
        <x:v>134</x:v>
      </x:c>
      <x:c r="B135" t="n">
        <x:v>326</x:v>
      </x:c>
      <x:c r="C135" s="16" t="n">
        <x:v>46262</x:v>
      </x:c>
      <x:c r="D135" t="str">
        <x:v>Account Access</x:v>
      </x:c>
      <x:c r="E135" t="str">
        <x:v>Resolved</x:v>
      </x:c>
      <x:c r="F135" t="n">
        <x:v>96</x:v>
      </x:c>
      <x:c r="G135" t="n">
        <x:v>4</x:v>
      </x:c>
    </x:row>
    <x:row r="136">
      <x:c r="A136" t="n">
        <x:v>135</x:v>
      </x:c>
      <x:c r="B136" t="n">
        <x:v>330</x:v>
      </x:c>
      <x:c r="C136" s="16" t="n">
        <x:v>46135</x:v>
      </x:c>
      <x:c r="D136" t="str">
        <x:v>Other</x:v>
      </x:c>
      <x:c r="E136" t="str">
        <x:v>Resolved</x:v>
      </x:c>
      <x:c r="F136" t="n">
        <x:v>36</x:v>
      </x:c>
      <x:c r="G136" t="n">
        <x:v>5</x:v>
      </x:c>
    </x:row>
    <x:row r="137">
      <x:c r="A137" t="n">
        <x:v>136</x:v>
      </x:c>
      <x:c r="B137" t="n">
        <x:v>332</x:v>
      </x:c>
      <x:c r="C137" s="16" t="n">
        <x:v>46180</x:v>
      </x:c>
      <x:c r="D137" t="str">
        <x:v>Payment Failed</x:v>
      </x:c>
      <x:c r="E137" t="str">
        <x:v>Resolved</x:v>
      </x:c>
      <x:c r="F137" t="n">
        <x:v>3</x:v>
      </x:c>
      <x:c r="G137" t="n">
        <x:v>5</x:v>
      </x:c>
    </x:row>
    <x:row r="138">
      <x:c r="A138" t="n">
        <x:v>137</x:v>
      </x:c>
      <x:c r="B138" t="n">
        <x:v>342</x:v>
      </x:c>
      <x:c r="C138" s="16" t="n">
        <x:v>46295</x:v>
      </x:c>
      <x:c r="D138" t="str">
        <x:v>Payment Failed</x:v>
      </x:c>
      <x:c r="E138" t="str">
        <x:v>Resolved</x:v>
      </x:c>
      <x:c r="F138" t="n">
        <x:v>48</x:v>
      </x:c>
      <x:c r="G138" t="n">
        <x:v>4</x:v>
      </x:c>
    </x:row>
    <x:row r="139">
      <x:c r="A139" t="n">
        <x:v>138</x:v>
      </x:c>
      <x:c r="B139" t="n">
        <x:v>350</x:v>
      </x:c>
      <x:c r="C139" s="16" t="n">
        <x:v>46285</x:v>
      </x:c>
      <x:c r="D139" t="str">
        <x:v>Account Access</x:v>
      </x:c>
      <x:c r="E139" t="str">
        <x:v>Open</x:v>
      </x:c>
      <x:c r="F139" t="n">
        <x:v>72</x:v>
      </x:c>
      <x:c r="G139" t="n">
        <x:v>5</x:v>
      </x:c>
    </x:row>
    <x:row r="140">
      <x:c r="A140" t="n">
        <x:v>139</x:v>
      </x:c>
      <x:c r="B140" t="n">
        <x:v>353</x:v>
      </x:c>
      <x:c r="C140" s="16" t="n">
        <x:v>46136</x:v>
      </x:c>
      <x:c r="D140" t="str">
        <x:v>Other</x:v>
      </x:c>
      <x:c r="E140" t="str">
        <x:v>Resolved</x:v>
      </x:c>
      <x:c r="F140" t="n">
        <x:v>96</x:v>
      </x:c>
      <x:c r="G140" t="n">
        <x:v>2</x:v>
      </x:c>
    </x:row>
    <x:row r="141">
      <x:c r="A141" t="n">
        <x:v>140</x:v>
      </x:c>
      <x:c r="B141" t="n">
        <x:v>355</x:v>
      </x:c>
      <x:c r="C141" s="16" t="n">
        <x:v>46226</x:v>
      </x:c>
      <x:c r="D141" t="str">
        <x:v>Payment Failed</x:v>
      </x:c>
      <x:c r="E141" t="str">
        <x:v>Resolved</x:v>
      </x:c>
      <x:c r="F141" t="n">
        <x:v>72</x:v>
      </x:c>
      <x:c r="G141" t="n">
        <x:v>1</x:v>
      </x:c>
    </x:row>
    <x:row r="142">
      <x:c r="A142" t="n">
        <x:v>141</x:v>
      </x:c>
      <x:c r="B142" t="n">
        <x:v>358</x:v>
      </x:c>
      <x:c r="C142" s="16" t="n">
        <x:v>46232</x:v>
      </x:c>
      <x:c r="D142" t="str">
        <x:v>FX Dispute</x:v>
      </x:c>
      <x:c r="E142" t="str">
        <x:v>Resolved</x:v>
      </x:c>
      <x:c r="F142" t="n">
        <x:v>7</x:v>
      </x:c>
      <x:c r="G142" t="n">
        <x:v>4</x:v>
      </x:c>
    </x:row>
    <x:row r="143">
      <x:c r="A143" t="n">
        <x:v>142</x:v>
      </x:c>
      <x:c r="B143" t="n">
        <x:v>358</x:v>
      </x:c>
      <x:c r="C143" s="16" t="n">
        <x:v>46261</x:v>
      </x:c>
      <x:c r="D143" t="str">
        <x:v>Other</x:v>
      </x:c>
      <x:c r="E143" t="str">
        <x:v>Resolved</x:v>
      </x:c>
      <x:c r="F143" t="n">
        <x:v>14</x:v>
      </x:c>
      <x:c r="G143" t="n">
        <x:v>5</x:v>
      </x:c>
    </x:row>
    <x:row r="144">
      <x:c r="A144" t="n">
        <x:v>143</x:v>
      </x:c>
      <x:c r="B144" t="n">
        <x:v>362</x:v>
      </x:c>
      <x:c r="C144" s="16" t="n">
        <x:v>46267</x:v>
      </x:c>
      <x:c r="D144" t="str">
        <x:v>Card Delivery</x:v>
      </x:c>
      <x:c r="E144" t="str">
        <x:v>Resolved</x:v>
      </x:c>
      <x:c r="F144" t="n">
        <x:v>96</x:v>
      </x:c>
      <x:c r="G144" t="n">
        <x:v>5</x:v>
      </x:c>
    </x:row>
    <x:row r="145">
      <x:c r="A145" t="n">
        <x:v>144</x:v>
      </x:c>
      <x:c r="B145" t="n">
        <x:v>369</x:v>
      </x:c>
      <x:c r="C145" s="16" t="n">
        <x:v>46115</x:v>
      </x:c>
      <x:c r="D145" t="str">
        <x:v>Account Access</x:v>
      </x:c>
      <x:c r="E145" t="str">
        <x:v>Resolved</x:v>
      </x:c>
      <x:c r="F145" t="n">
        <x:v>14</x:v>
      </x:c>
      <x:c r="G145" t="n">
        <x:v>3</x:v>
      </x:c>
    </x:row>
    <x:row r="146">
      <x:c r="A146" t="n">
        <x:v>145</x:v>
      </x:c>
      <x:c r="B146" t="n">
        <x:v>370</x:v>
      </x:c>
      <x:c r="C146" s="16" t="n">
        <x:v>46150</x:v>
      </x:c>
      <x:c r="D146" t="str">
        <x:v>Payment Failed</x:v>
      </x:c>
      <x:c r="E146" t="str">
        <x:v>Resolved</x:v>
      </x:c>
      <x:c r="F146" t="n">
        <x:v>7</x:v>
      </x:c>
      <x:c r="G146" t="n">
        <x:v>5</x:v>
      </x:c>
    </x:row>
    <x:row r="147">
      <x:c r="A147" t="n">
        <x:v>146</x:v>
      </x:c>
      <x:c r="B147" t="n">
        <x:v>371</x:v>
      </x:c>
      <x:c r="C147" s="16" t="n">
        <x:v>46147</x:v>
      </x:c>
      <x:c r="D147" t="str">
        <x:v>Account Access</x:v>
      </x:c>
      <x:c r="E147" t="str">
        <x:v>Resolved</x:v>
      </x:c>
      <x:c r="F147" t="n">
        <x:v>48</x:v>
      </x:c>
      <x:c r="G147" t="n">
        <x:v>4</x:v>
      </x:c>
    </x:row>
    <x:row r="148">
      <x:c r="A148" t="n">
        <x:v>147</x:v>
      </x:c>
      <x:c r="B148" t="n">
        <x:v>373</x:v>
      </x:c>
      <x:c r="C148" s="16" t="n">
        <x:v>46188</x:v>
      </x:c>
      <x:c r="D148" t="str">
        <x:v>FX Dispute</x:v>
      </x:c>
      <x:c r="E148" t="str">
        <x:v>Resolved</x:v>
      </x:c>
      <x:c r="F148" t="n">
        <x:v>3</x:v>
      </x:c>
      <x:c r="G148" t="n">
        <x:v>4</x:v>
      </x:c>
    </x:row>
    <x:row r="149">
      <x:c r="A149" t="n">
        <x:v>148</x:v>
      </x:c>
      <x:c r="B149" t="n">
        <x:v>375</x:v>
      </x:c>
      <x:c r="C149" s="16" t="n">
        <x:v>46168</x:v>
      </x:c>
      <x:c r="D149" t="str">
        <x:v>Card Delivery</x:v>
      </x:c>
      <x:c r="E149" t="str">
        <x:v>Open</x:v>
      </x:c>
      <x:c r="F149" t="n">
        <x:v>7</x:v>
      </x:c>
      <x:c r="G149" t="n">
        <x:v>2</x:v>
      </x:c>
    </x:row>
    <x:row r="150">
      <x:c r="A150" t="n">
        <x:v>149</x:v>
      </x:c>
      <x:c r="B150" t="n">
        <x:v>375</x:v>
      </x:c>
      <x:c r="C150" s="16" t="n">
        <x:v>46273</x:v>
      </x:c>
      <x:c r="D150" t="str">
        <x:v>Card Delivery</x:v>
      </x:c>
      <x:c r="E150" t="str">
        <x:v>Resolved</x:v>
      </x:c>
      <x:c r="F150" t="n">
        <x:v>36</x:v>
      </x:c>
      <x:c r="G150" t="n">
        <x:v>3</x:v>
      </x:c>
    </x:row>
    <x:row r="151">
      <x:c r="A151" t="n">
        <x:v>150</x:v>
      </x:c>
      <x:c r="B151" t="n">
        <x:v>377</x:v>
      </x:c>
      <x:c r="C151" s="16" t="n">
        <x:v>46226</x:v>
      </x:c>
      <x:c r="D151" t="str">
        <x:v>Account Access</x:v>
      </x:c>
      <x:c r="E151" t="str">
        <x:v>Resolved</x:v>
      </x:c>
      <x:c r="F151" t="n">
        <x:v>96</x:v>
      </x:c>
      <x:c r="G151" t="n">
        <x:v>1</x:v>
      </x:c>
    </x:row>
    <x:row r="152">
      <x:c r="A152" t="n">
        <x:v>151</x:v>
      </x:c>
      <x:c r="B152" t="n">
        <x:v>377</x:v>
      </x:c>
      <x:c r="C152" s="16" t="n">
        <x:v>46166</x:v>
      </x:c>
      <x:c r="D152" t="str">
        <x:v>Payment Failed</x:v>
      </x:c>
      <x:c r="E152" t="str">
        <x:v>Open</x:v>
      </x:c>
      <x:c r="F152" t="n">
        <x:v>24</x:v>
      </x:c>
      <x:c r="G152" t="n">
        <x:v>5</x:v>
      </x:c>
    </x:row>
    <x:row r="153">
      <x:c r="A153" t="n">
        <x:v>152</x:v>
      </x:c>
      <x:c r="B153" t="n">
        <x:v>381</x:v>
      </x:c>
      <x:c r="C153" s="16" t="n">
        <x:v>46245</x:v>
      </x:c>
      <x:c r="D153" t="str">
        <x:v>Other</x:v>
      </x:c>
      <x:c r="E153" t="str">
        <x:v>Resolved</x:v>
      </x:c>
      <x:c r="F153" t="n">
        <x:v>3</x:v>
      </x:c>
      <x:c r="G153" t="n">
        <x:v>1</x:v>
      </x:c>
    </x:row>
    <x:row r="154">
      <x:c r="A154" t="n">
        <x:v>153</x:v>
      </x:c>
      <x:c r="B154" t="n">
        <x:v>382</x:v>
      </x:c>
      <x:c r="C154" s="16" t="n">
        <x:v>46124</x:v>
      </x:c>
      <x:c r="D154" t="str">
        <x:v>Account Access</x:v>
      </x:c>
      <x:c r="E154" t="str">
        <x:v>Resolved</x:v>
      </x:c>
      <x:c r="F154" t="n">
        <x:v>7</x:v>
      </x:c>
      <x:c r="G154" t="n">
        <x:v>1</x:v>
      </x:c>
    </x:row>
    <x:row r="155">
      <x:c r="A155" t="n">
        <x:v>154</x:v>
      </x:c>
      <x:c r="B155" t="n">
        <x:v>382</x:v>
      </x:c>
      <x:c r="C155" s="16" t="n">
        <x:v>46184</x:v>
      </x:c>
      <x:c r="D155" t="str">
        <x:v>Account Access</x:v>
      </x:c>
      <x:c r="E155" t="str">
        <x:v>Resolved</x:v>
      </x:c>
      <x:c r="F155" t="n">
        <x:v>3</x:v>
      </x:c>
      <x:c r="G155" t="n">
        <x:v>3</x:v>
      </x:c>
    </x:row>
    <x:row r="156">
      <x:c r="A156" t="n">
        <x:v>155</x:v>
      </x:c>
      <x:c r="B156" t="n">
        <x:v>389</x:v>
      </x:c>
      <x:c r="C156" s="16" t="n">
        <x:v>46268</x:v>
      </x:c>
      <x:c r="D156" t="str">
        <x:v>Account Access</x:v>
      </x:c>
      <x:c r="E156" t="str">
        <x:v>Resolved</x:v>
      </x:c>
      <x:c r="F156" t="n">
        <x:v>3</x:v>
      </x:c>
      <x:c r="G156" t="n">
        <x:v>4</x:v>
      </x:c>
    </x:row>
    <x:row r="157">
      <x:c r="A157" t="n">
        <x:v>156</x:v>
      </x:c>
      <x:c r="B157" t="n">
        <x:v>389</x:v>
      </x:c>
      <x:c r="C157" s="16" t="n">
        <x:v>46191</x:v>
      </x:c>
      <x:c r="D157" t="str">
        <x:v>Card Delivery</x:v>
      </x:c>
      <x:c r="E157" t="str">
        <x:v>Resolved</x:v>
      </x:c>
      <x:c r="F157" t="n">
        <x:v>36</x:v>
      </x:c>
      <x:c r="G157" t="n">
        <x:v>2</x:v>
      </x:c>
    </x:row>
    <x:row r="158">
      <x:c r="A158" t="n">
        <x:v>157</x:v>
      </x:c>
      <x:c r="B158" t="n">
        <x:v>389</x:v>
      </x:c>
      <x:c r="C158" s="16" t="n">
        <x:v>46216</x:v>
      </x:c>
      <x:c r="D158" t="str">
        <x:v>Payment Failed</x:v>
      </x:c>
      <x:c r="E158" t="str">
        <x:v>Open</x:v>
      </x:c>
      <x:c r="F158" t="n">
        <x:v>24</x:v>
      </x:c>
      <x:c r="G158" t="n">
        <x:v>5</x:v>
      </x:c>
    </x:row>
    <x:row r="159">
      <x:c r="A159" t="n">
        <x:v>158</x:v>
      </x:c>
      <x:c r="B159" t="n">
        <x:v>390</x:v>
      </x:c>
      <x:c r="C159" s="16" t="n">
        <x:v>46276</x:v>
      </x:c>
      <x:c r="D159" t="str">
        <x:v>Account Access</x:v>
      </x:c>
      <x:c r="E159" t="str">
        <x:v>Open</x:v>
      </x:c>
      <x:c r="F159" t="n">
        <x:v>36</x:v>
      </x:c>
      <x:c r="G159" t="n">
        <x:v>1</x:v>
      </x:c>
    </x:row>
    <x:row r="160">
      <x:c r="A160" t="n">
        <x:v>159</x:v>
      </x:c>
      <x:c r="B160" t="n">
        <x:v>390</x:v>
      </x:c>
      <x:c r="C160" s="16" t="n">
        <x:v>46141</x:v>
      </x:c>
      <x:c r="D160" t="str">
        <x:v>Account Access</x:v>
      </x:c>
      <x:c r="E160" t="str">
        <x:v>Resolved</x:v>
      </x:c>
      <x:c r="F160" t="n">
        <x:v>48</x:v>
      </x:c>
      <x:c r="G160" t="n">
        <x:v>4</x:v>
      </x:c>
    </x:row>
    <x:row r="161">
      <x:c r="A161" t="n">
        <x:v>160</x:v>
      </x:c>
      <x:c r="B161" t="n">
        <x:v>392</x:v>
      </x:c>
      <x:c r="C161" s="16" t="n">
        <x:v>46230</x:v>
      </x:c>
      <x:c r="D161" t="str">
        <x:v>Account Access</x:v>
      </x:c>
      <x:c r="E161" t="str">
        <x:v>Resolved</x:v>
      </x:c>
      <x:c r="F161" t="n">
        <x:v>14</x:v>
      </x:c>
      <x:c r="G161" t="n">
        <x:v>2</x:v>
      </x:c>
    </x:row>
    <x:row r="162">
      <x:c r="A162" t="n">
        <x:v>161</x:v>
      </x:c>
      <x:c r="B162" t="n">
        <x:v>393</x:v>
      </x:c>
      <x:c r="C162" s="16" t="n">
        <x:v>46254</x:v>
      </x:c>
      <x:c r="D162" t="str">
        <x:v>Payment Failed</x:v>
      </x:c>
      <x:c r="E162" t="str">
        <x:v>Resolved</x:v>
      </x:c>
      <x:c r="F162" t="n">
        <x:v>48</x:v>
      </x:c>
      <x:c r="G162" t="n">
        <x:v>2</x:v>
      </x:c>
    </x:row>
    <x:row r="163">
      <x:c r="A163" t="n">
        <x:v>162</x:v>
      </x:c>
      <x:c r="B163" t="n">
        <x:v>394</x:v>
      </x:c>
      <x:c r="C163" s="16" t="n">
        <x:v>46125</x:v>
      </x:c>
      <x:c r="D163" t="str">
        <x:v>Card Delivery</x:v>
      </x:c>
      <x:c r="E163" t="str">
        <x:v>Resolved</x:v>
      </x:c>
      <x:c r="F163" t="n">
        <x:v>3</x:v>
      </x:c>
      <x:c r="G163" t="n">
        <x:v>3</x:v>
      </x:c>
    </x:row>
    <x:row r="164">
      <x:c r="A164" t="n">
        <x:v>163</x:v>
      </x:c>
      <x:c r="B164" t="n">
        <x:v>394</x:v>
      </x:c>
      <x:c r="C164" s="16" t="n">
        <x:v>46136</x:v>
      </x:c>
      <x:c r="D164" t="str">
        <x:v>Account Access</x:v>
      </x:c>
      <x:c r="E164" t="str">
        <x:v>Open</x:v>
      </x:c>
      <x:c r="F164" t="n">
        <x:v>96</x:v>
      </x:c>
      <x:c r="G164" t="n">
        <x:v>4</x:v>
      </x:c>
    </x:row>
    <x:row r="165">
      <x:c r="A165" t="n">
        <x:v>164</x:v>
      </x:c>
      <x:c r="B165" t="n">
        <x:v>398</x:v>
      </x:c>
      <x:c r="C165" s="16" t="n">
        <x:v>46193</x:v>
      </x:c>
      <x:c r="D165" t="str">
        <x:v>Account Access</x:v>
      </x:c>
      <x:c r="E165" t="str">
        <x:v>Resolved</x:v>
      </x:c>
      <x:c r="F165" t="n">
        <x:v>3</x:v>
      </x:c>
      <x:c r="G165" t="n">
        <x:v>4</x:v>
      </x:c>
    </x:row>
    <x:row r="166">
      <x:c r="A166" t="n">
        <x:v>165</x:v>
      </x:c>
      <x:c r="B166" t="n">
        <x:v>398</x:v>
      </x:c>
      <x:c r="C166" s="16" t="n">
        <x:v>46292</x:v>
      </x:c>
      <x:c r="D166" t="str">
        <x:v>Account Access</x:v>
      </x:c>
      <x:c r="E166" t="str">
        <x:v>Resolved</x:v>
      </x:c>
      <x:c r="F166" t="n">
        <x:v>36</x:v>
      </x:c>
      <x:c r="G166" t="n">
        <x:v>4</x:v>
      </x:c>
    </x:row>
    <x:row r="167">
      <x:c r="A167" t="n">
        <x:v>166</x:v>
      </x:c>
      <x:c r="B167" t="n">
        <x:v>400</x:v>
      </x:c>
      <x:c r="C167" s="16" t="n">
        <x:v>46194</x:v>
      </x:c>
      <x:c r="D167" t="str">
        <x:v>Other</x:v>
      </x:c>
      <x:c r="E167" t="str">
        <x:v>Resolved</x:v>
      </x:c>
      <x:c r="F167" t="n">
        <x:v>48</x:v>
      </x:c>
      <x:c r="G167" t="n">
        <x:v>5</x:v>
      </x:c>
    </x:row>
    <x:row r="168">
      <x:c r="A168" t="n">
        <x:v>167</x:v>
      </x:c>
      <x:c r="B168" t="n">
        <x:v>400</x:v>
      </x:c>
      <x:c r="C168" s="16" t="n">
        <x:v>46113</x:v>
      </x:c>
      <x:c r="D168" t="str">
        <x:v>Account Access</x:v>
      </x:c>
      <x:c r="E168" t="str">
        <x:v>Resolved</x:v>
      </x:c>
      <x:c r="F168" t="n">
        <x:v>96</x:v>
      </x:c>
      <x:c r="G168" t="n">
        <x:v>1</x:v>
      </x:c>
    </x:row>
    <x:row r="169">
      <x:c r="A169" t="n">
        <x:v>168</x:v>
      </x:c>
      <x:c r="B169" t="n">
        <x:v>400</x:v>
      </x:c>
      <x:c r="C169" s="16" t="n">
        <x:v>46263</x:v>
      </x:c>
      <x:c r="D169" t="str">
        <x:v>Account Access</x:v>
      </x:c>
      <x:c r="E169" t="str">
        <x:v>Open</x:v>
      </x:c>
      <x:c r="F169" t="n">
        <x:v>72</x:v>
      </x:c>
      <x:c r="G169" t="n">
        <x:v>1</x:v>
      </x:c>
    </x:row>
    <x:row r="170">
      <x:c r="A170" t="n">
        <x:v>169</x:v>
      </x:c>
      <x:c r="B170" t="n">
        <x:v>401</x:v>
      </x:c>
      <x:c r="C170" s="16" t="n">
        <x:v>46185</x:v>
      </x:c>
      <x:c r="D170" t="str">
        <x:v>Account Access</x:v>
      </x:c>
      <x:c r="E170" t="str">
        <x:v>Open</x:v>
      </x:c>
      <x:c r="F170" t="n">
        <x:v>96</x:v>
      </x:c>
      <x:c r="G170" t="n">
        <x:v>4</x:v>
      </x:c>
    </x:row>
    <x:row r="171">
      <x:c r="A171" t="n">
        <x:v>170</x:v>
      </x:c>
      <x:c r="B171" t="n">
        <x:v>405</x:v>
      </x:c>
      <x:c r="C171" s="16" t="n">
        <x:v>46146</x:v>
      </x:c>
      <x:c r="D171" t="str">
        <x:v>FX Dispute</x:v>
      </x:c>
      <x:c r="E171" t="str">
        <x:v>Resolved</x:v>
      </x:c>
      <x:c r="F171" t="n">
        <x:v>24</x:v>
      </x:c>
      <x:c r="G171" t="n">
        <x:v>4</x:v>
      </x:c>
    </x:row>
    <x:row r="172">
      <x:c r="A172" t="n">
        <x:v>171</x:v>
      </x:c>
      <x:c r="B172" t="n">
        <x:v>412</x:v>
      </x:c>
      <x:c r="C172" s="16" t="n">
        <x:v>46289</x:v>
      </x:c>
      <x:c r="D172" t="str">
        <x:v>Account Access</x:v>
      </x:c>
      <x:c r="E172" t="str">
        <x:v>Open</x:v>
      </x:c>
      <x:c r="F172" t="n">
        <x:v>7</x:v>
      </x:c>
      <x:c r="G172" t="n">
        <x:v>1</x:v>
      </x:c>
    </x:row>
    <x:row r="173">
      <x:c r="A173" t="n">
        <x:v>172</x:v>
      </x:c>
      <x:c r="B173" t="n">
        <x:v>419</x:v>
      </x:c>
      <x:c r="C173" s="16" t="n">
        <x:v>46130</x:v>
      </x:c>
      <x:c r="D173" t="str">
        <x:v>Card Delivery</x:v>
      </x:c>
      <x:c r="E173" t="str">
        <x:v>Open</x:v>
      </x:c>
      <x:c r="F173" t="n">
        <x:v>36</x:v>
      </x:c>
      <x:c r="G173" t="n">
        <x:v>5</x:v>
      </x:c>
    </x:row>
    <x:row r="174">
      <x:c r="A174" t="n">
        <x:v>173</x:v>
      </x:c>
      <x:c r="B174" t="n">
        <x:v>422</x:v>
      </x:c>
      <x:c r="C174" s="16" t="n">
        <x:v>46218</x:v>
      </x:c>
      <x:c r="D174" t="str">
        <x:v>Card Delivery</x:v>
      </x:c>
      <x:c r="E174" t="str">
        <x:v>Open</x:v>
      </x:c>
      <x:c r="F174" t="n">
        <x:v>36</x:v>
      </x:c>
      <x:c r="G174" t="n">
        <x:v>1</x:v>
      </x:c>
    </x:row>
    <x:row r="175">
      <x:c r="A175" t="n">
        <x:v>174</x:v>
      </x:c>
      <x:c r="B175" t="n">
        <x:v>423</x:v>
      </x:c>
      <x:c r="C175" s="16" t="n">
        <x:v>46190</x:v>
      </x:c>
      <x:c r="D175" t="str">
        <x:v>Other</x:v>
      </x:c>
      <x:c r="E175" t="str">
        <x:v>Resolved</x:v>
      </x:c>
      <x:c r="F175" t="n">
        <x:v>72</x:v>
      </x:c>
      <x:c r="G175" t="n">
        <x:v>1</x:v>
      </x:c>
    </x:row>
    <x:row r="176">
      <x:c r="A176" t="n">
        <x:v>175</x:v>
      </x:c>
      <x:c r="B176" t="n">
        <x:v>428</x:v>
      </x:c>
      <x:c r="C176" s="16" t="n">
        <x:v>46264</x:v>
      </x:c>
      <x:c r="D176" t="str">
        <x:v>Payment Failed</x:v>
      </x:c>
      <x:c r="E176" t="str">
        <x:v>Resolved</x:v>
      </x:c>
      <x:c r="F176" t="n">
        <x:v>3</x:v>
      </x:c>
      <x:c r="G176" t="n">
        <x:v>2</x:v>
      </x:c>
    </x:row>
    <x:row r="177">
      <x:c r="A177" t="n">
        <x:v>176</x:v>
      </x:c>
      <x:c r="B177" t="n">
        <x:v>429</x:v>
      </x:c>
      <x:c r="C177" s="16" t="n">
        <x:v>46258</x:v>
      </x:c>
      <x:c r="D177" t="str">
        <x:v>Card Delivery</x:v>
      </x:c>
      <x:c r="E177" t="str">
        <x:v>Resolved</x:v>
      </x:c>
      <x:c r="F177" t="n">
        <x:v>48</x:v>
      </x:c>
      <x:c r="G177" t="n">
        <x:v>2</x:v>
      </x:c>
    </x:row>
    <x:row r="178">
      <x:c r="A178" t="n">
        <x:v>177</x:v>
      </x:c>
      <x:c r="B178" t="n">
        <x:v>429</x:v>
      </x:c>
      <x:c r="C178" s="16" t="n">
        <x:v>46192</x:v>
      </x:c>
      <x:c r="D178" t="str">
        <x:v>Card Delivery</x:v>
      </x:c>
      <x:c r="E178" t="str">
        <x:v>Resolved</x:v>
      </x:c>
      <x:c r="F178" t="n">
        <x:v>36</x:v>
      </x:c>
      <x:c r="G178" t="n">
        <x:v>5</x:v>
      </x:c>
    </x:row>
    <x:row r="179">
      <x:c r="A179" t="n">
        <x:v>178</x:v>
      </x:c>
      <x:c r="B179" t="n">
        <x:v>432</x:v>
      </x:c>
      <x:c r="C179" s="16" t="n">
        <x:v>46148</x:v>
      </x:c>
      <x:c r="D179" t="str">
        <x:v>FX Dispute</x:v>
      </x:c>
      <x:c r="E179" t="str">
        <x:v>Resolved</x:v>
      </x:c>
      <x:c r="F179" t="n">
        <x:v>24</x:v>
      </x:c>
      <x:c r="G179" t="n">
        <x:v>5</x:v>
      </x:c>
    </x:row>
    <x:row r="180">
      <x:c r="A180" t="n">
        <x:v>179</x:v>
      </x:c>
      <x:c r="B180" t="n">
        <x:v>432</x:v>
      </x:c>
      <x:c r="C180" s="16" t="n">
        <x:v>46279</x:v>
      </x:c>
      <x:c r="D180" t="str">
        <x:v>Other</x:v>
      </x:c>
      <x:c r="E180" t="str">
        <x:v>Resolved</x:v>
      </x:c>
      <x:c r="F180" t="n">
        <x:v>24</x:v>
      </x:c>
      <x:c r="G180" t="n">
        <x:v>3</x:v>
      </x:c>
    </x:row>
    <x:row r="181">
      <x:c r="A181" t="n">
        <x:v>180</x:v>
      </x:c>
      <x:c r="B181" t="n">
        <x:v>438</x:v>
      </x:c>
      <x:c r="C181" s="16" t="n">
        <x:v>46137</x:v>
      </x:c>
      <x:c r="D181" t="str">
        <x:v>Payment Failed</x:v>
      </x:c>
      <x:c r="E181" t="str">
        <x:v>Resolved</x:v>
      </x:c>
      <x:c r="F181" t="n">
        <x:v>72</x:v>
      </x:c>
      <x:c r="G181" t="n">
        <x:v>2</x:v>
      </x:c>
    </x:row>
    <x:row r="182">
      <x:c r="A182" t="n">
        <x:v>181</x:v>
      </x:c>
      <x:c r="B182" t="n">
        <x:v>439</x:v>
      </x:c>
      <x:c r="C182" s="16" t="n">
        <x:v>46198</x:v>
      </x:c>
      <x:c r="D182" t="str">
        <x:v>Card Delivery</x:v>
      </x:c>
      <x:c r="E182" t="str">
        <x:v>Resolved</x:v>
      </x:c>
      <x:c r="F182" t="n">
        <x:v>3</x:v>
      </x:c>
      <x:c r="G182" t="n">
        <x:v>5</x:v>
      </x:c>
    </x:row>
    <x:row r="183">
      <x:c r="A183" t="n">
        <x:v>182</x:v>
      </x:c>
      <x:c r="B183" t="n">
        <x:v>442</x:v>
      </x:c>
      <x:c r="C183" s="16" t="n">
        <x:v>46246</x:v>
      </x:c>
      <x:c r="D183" t="str">
        <x:v>Other</x:v>
      </x:c>
      <x:c r="E183" t="str">
        <x:v>Resolved</x:v>
      </x:c>
      <x:c r="F183" t="n">
        <x:v>7</x:v>
      </x:c>
      <x:c r="G183" t="n">
        <x:v>2</x:v>
      </x:c>
    </x:row>
    <x:row r="184">
      <x:c r="A184" t="n">
        <x:v>183</x:v>
      </x:c>
      <x:c r="B184" t="n">
        <x:v>443</x:v>
      </x:c>
      <x:c r="C184" s="16" t="n">
        <x:v>46281</x:v>
      </x:c>
      <x:c r="D184" t="str">
        <x:v>FX Dispute</x:v>
      </x:c>
      <x:c r="E184" t="str">
        <x:v>Resolved</x:v>
      </x:c>
      <x:c r="F184" t="n">
        <x:v>36</x:v>
      </x:c>
      <x:c r="G184" t="n">
        <x:v>1</x:v>
      </x:c>
    </x:row>
    <x:row r="185">
      <x:c r="A185" t="n">
        <x:v>184</x:v>
      </x:c>
      <x:c r="B185" t="n">
        <x:v>443</x:v>
      </x:c>
      <x:c r="C185" s="16" t="n">
        <x:v>46168</x:v>
      </x:c>
      <x:c r="D185" t="str">
        <x:v>FX Dispute</x:v>
      </x:c>
      <x:c r="E185" t="str">
        <x:v>Resolved</x:v>
      </x:c>
      <x:c r="F185" t="n">
        <x:v>14</x:v>
      </x:c>
      <x:c r="G185" t="n">
        <x:v>2</x:v>
      </x:c>
    </x:row>
  </x:sheetData>
  <x:pageMargins left="0.7" right="0.7" top="0.75" bottom="0.75" header="0.3" footer="0.3"/>
</x:worksheet>
</file>